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355TX\Documents\Académico\Administración Riesgos curso\Clases\2020-2\Apuntes\"/>
    </mc:Choice>
  </mc:AlternateContent>
  <xr:revisionPtr revIDLastSave="0" documentId="13_ncr:1_{B321F2E9-B983-4DB3-AE35-6EB7BD7D4D04}" xr6:coauthVersionLast="44" xr6:coauthVersionMax="44" xr10:uidLastSave="{00000000-0000-0000-0000-000000000000}"/>
  <bookViews>
    <workbookView xWindow="-120" yWindow="-120" windowWidth="29040" windowHeight="15840" firstSheet="6" activeTab="8" xr2:uid="{00000000-000D-0000-FFFF-FFFF00000000}"/>
  </bookViews>
  <sheets>
    <sheet name="EstadoResultados Microfinanzas" sheetId="11" r:id="rId1"/>
    <sheet name="EstadoResultados Empresarial" sheetId="10" r:id="rId2"/>
    <sheet name="EstadoResultados Planauto" sheetId="9" r:id="rId3"/>
    <sheet name="EstadoResultados TDC" sheetId="8" state="hidden" r:id="rId4"/>
    <sheet name="EstadoResultados General" sheetId="7" state="hidden" r:id="rId5"/>
    <sheet name="Generadora" sheetId="3" r:id="rId6"/>
    <sheet name="Sheet1" sheetId="14" r:id="rId7"/>
    <sheet name="BDClientes" sheetId="1" r:id="rId8"/>
    <sheet name="CreditMetrics" sheetId="4" r:id="rId9"/>
    <sheet name="Escenarios" sheetId="5" r:id="rId10"/>
    <sheet name="CrediRisk+" sheetId="12" r:id="rId11"/>
    <sheet name="beta" sheetId="13" r:id="rId12"/>
    <sheet name="EstadoResultados" sheetId="6" state="hidden" r:id="rId13"/>
  </sheets>
  <functionGroups builtInGroupCount="19"/>
  <definedNames>
    <definedName name="_xlnm._FilterDatabase" localSheetId="7" hidden="1">BDClientes!$V$1:$V$1190</definedName>
    <definedName name="solver_adj" localSheetId="11" hidden="1">beta!$K$9:$L$9</definedName>
    <definedName name="solver_cvg" localSheetId="11" hidden="1">0.0001</definedName>
    <definedName name="solver_drv" localSheetId="11" hidden="1">1</definedName>
    <definedName name="solver_eng" localSheetId="11" hidden="1">1</definedName>
    <definedName name="solver_est" localSheetId="11" hidden="1">1</definedName>
    <definedName name="solver_itr" localSheetId="11" hidden="1">100</definedName>
    <definedName name="solver_lhs1" localSheetId="11" hidden="1">beta!$K$9</definedName>
    <definedName name="solver_lhs2" localSheetId="11" hidden="1">beta!$L$9</definedName>
    <definedName name="solver_lin" localSheetId="11" hidden="1">2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2</definedName>
    <definedName name="solver_nod" localSheetId="11" hidden="1">2147483647</definedName>
    <definedName name="solver_num" localSheetId="11" hidden="1">2</definedName>
    <definedName name="solver_nwt" localSheetId="11" hidden="1">1</definedName>
    <definedName name="solver_opt" localSheetId="11" hidden="1">beta!$M$9</definedName>
    <definedName name="solver_pre" localSheetId="11" hidden="1">0.000001</definedName>
    <definedName name="solver_rbv" localSheetId="11" hidden="1">1</definedName>
    <definedName name="solver_rel1" localSheetId="11" hidden="1">3</definedName>
    <definedName name="solver_rel2" localSheetId="11" hidden="1">3</definedName>
    <definedName name="solver_rhs1" localSheetId="11" hidden="1">0.0001</definedName>
    <definedName name="solver_rhs2" localSheetId="11" hidden="1">0.001</definedName>
    <definedName name="solver_rlx" localSheetId="11" hidden="1">1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100</definedName>
    <definedName name="solver_tol" localSheetId="11" hidden="1">0.05</definedName>
    <definedName name="solver_typ" localSheetId="11" hidden="1">2</definedName>
    <definedName name="solver_val" localSheetId="11" hidden="1">0</definedName>
    <definedName name="solver_ver" localSheetId="11" hidden="1">3</definedName>
  </definedNames>
  <calcPr calcId="191029"/>
  <pivotCaches>
    <pivotCache cacheId="0" r:id="rId14"/>
    <pivotCache cacheId="1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3" l="1"/>
  <c r="C371" i="4"/>
  <c r="AB1370" i="13"/>
  <c r="AB1369" i="13"/>
  <c r="AB1368" i="13"/>
  <c r="AB1367" i="13"/>
  <c r="AB1366" i="13"/>
  <c r="AB1365" i="13"/>
  <c r="AB1364" i="13"/>
  <c r="AB1363" i="13"/>
  <c r="AB1362" i="13"/>
  <c r="AB1361" i="13"/>
  <c r="AB1360" i="13"/>
  <c r="AB1359" i="13"/>
  <c r="AB1358" i="13"/>
  <c r="AB1357" i="13"/>
  <c r="AB1356" i="13"/>
  <c r="AB1355" i="13"/>
  <c r="AB1354" i="13"/>
  <c r="AB1353" i="13"/>
  <c r="AB1352" i="13"/>
  <c r="AB1351" i="13"/>
  <c r="AB1350" i="13"/>
  <c r="AB1349" i="13"/>
  <c r="AB1348" i="13"/>
  <c r="AB1347" i="13"/>
  <c r="AB1346" i="13"/>
  <c r="AB1345" i="13"/>
  <c r="AB1344" i="13"/>
  <c r="AB1343" i="13"/>
  <c r="AB1342" i="13"/>
  <c r="AB1341" i="13"/>
  <c r="AB1340" i="13"/>
  <c r="AB1339" i="13"/>
  <c r="AB1338" i="13"/>
  <c r="AB1337" i="13"/>
  <c r="AB1336" i="13"/>
  <c r="AB1335" i="13"/>
  <c r="AB1334" i="13"/>
  <c r="AB1333" i="13"/>
  <c r="AB1332" i="13"/>
  <c r="AB1331" i="13"/>
  <c r="AB1330" i="13"/>
  <c r="AB1329" i="13"/>
  <c r="AB1328" i="13"/>
  <c r="AB1327" i="13"/>
  <c r="AB1326" i="13"/>
  <c r="AB1325" i="13"/>
  <c r="AB1324" i="13"/>
  <c r="AB1323" i="13"/>
  <c r="AB1322" i="13"/>
  <c r="AB1321" i="13"/>
  <c r="AB1320" i="13"/>
  <c r="AB1319" i="13"/>
  <c r="AB1318" i="13"/>
  <c r="AB1317" i="13"/>
  <c r="AB1316" i="13"/>
  <c r="AB1315" i="13"/>
  <c r="AB1314" i="13"/>
  <c r="AB1313" i="13"/>
  <c r="AB1312" i="13"/>
  <c r="AB1311" i="13"/>
  <c r="AB1310" i="13"/>
  <c r="AB1309" i="13"/>
  <c r="AB1308" i="13"/>
  <c r="AB1307" i="13"/>
  <c r="AB1306" i="13"/>
  <c r="AB1305" i="13"/>
  <c r="AB1304" i="13"/>
  <c r="AB1303" i="13"/>
  <c r="AB1302" i="13"/>
  <c r="AB1301" i="13"/>
  <c r="AB1300" i="13"/>
  <c r="AB1299" i="13"/>
  <c r="AB1298" i="13"/>
  <c r="AB1297" i="13"/>
  <c r="AB1296" i="13"/>
  <c r="AB1295" i="13"/>
  <c r="AB1294" i="13"/>
  <c r="AB1293" i="13"/>
  <c r="AB1292" i="13"/>
  <c r="AB1291" i="13"/>
  <c r="AB1290" i="13"/>
  <c r="AB1289" i="13"/>
  <c r="AB1288" i="13"/>
  <c r="AB1287" i="13"/>
  <c r="AB1286" i="13"/>
  <c r="AB1285" i="13"/>
  <c r="AB1284" i="13"/>
  <c r="AB1283" i="13"/>
  <c r="AB1282" i="13"/>
  <c r="AB1281" i="13"/>
  <c r="AB1280" i="13"/>
  <c r="AB1279" i="13"/>
  <c r="AB1278" i="13"/>
  <c r="AB1277" i="13"/>
  <c r="AB1276" i="13"/>
  <c r="AB1275" i="13"/>
  <c r="AB1274" i="13"/>
  <c r="AB1273" i="13"/>
  <c r="AB1272" i="13"/>
  <c r="AB1271" i="13"/>
  <c r="AB1270" i="13"/>
  <c r="AB1269" i="13"/>
  <c r="AB1268" i="13"/>
  <c r="AB1267" i="13"/>
  <c r="AB1266" i="13"/>
  <c r="AB1265" i="13"/>
  <c r="AB1264" i="13"/>
  <c r="AB1263" i="13"/>
  <c r="AB1262" i="13"/>
  <c r="AB1261" i="13"/>
  <c r="AB1260" i="13"/>
  <c r="AB1259" i="13"/>
  <c r="AB1258" i="13"/>
  <c r="AB1257" i="13"/>
  <c r="AB1256" i="13"/>
  <c r="AB1255" i="13"/>
  <c r="AB1254" i="13"/>
  <c r="AB1253" i="13"/>
  <c r="AB1252" i="13"/>
  <c r="AB1251" i="13"/>
  <c r="AB1250" i="13"/>
  <c r="AB1249" i="13"/>
  <c r="AB1248" i="13"/>
  <c r="AB1247" i="13"/>
  <c r="AB1246" i="13"/>
  <c r="AB1245" i="13"/>
  <c r="AB1244" i="13"/>
  <c r="AB1243" i="13"/>
  <c r="AB1242" i="13"/>
  <c r="AB1241" i="13"/>
  <c r="AB1240" i="13"/>
  <c r="AB1239" i="13"/>
  <c r="AB1238" i="13"/>
  <c r="AB1237" i="13"/>
  <c r="AB1236" i="13"/>
  <c r="AB1235" i="13"/>
  <c r="AB1234" i="13"/>
  <c r="AB1233" i="13"/>
  <c r="AB1232" i="13"/>
  <c r="AB1231" i="13"/>
  <c r="AB1230" i="13"/>
  <c r="AB1229" i="13"/>
  <c r="AB1228" i="13"/>
  <c r="AB1227" i="13"/>
  <c r="AB1226" i="13"/>
  <c r="AB1225" i="13"/>
  <c r="AB1224" i="13"/>
  <c r="AB1223" i="13"/>
  <c r="AB1222" i="13"/>
  <c r="AB1221" i="13"/>
  <c r="AB1220" i="13"/>
  <c r="AB1219" i="13"/>
  <c r="AB1218" i="13"/>
  <c r="AB1217" i="13"/>
  <c r="AB1216" i="13"/>
  <c r="AB1215" i="13"/>
  <c r="AB1214" i="13"/>
  <c r="AB1213" i="13"/>
  <c r="AB1212" i="13"/>
  <c r="AB1211" i="13"/>
  <c r="AB1210" i="13"/>
  <c r="AB1209" i="13"/>
  <c r="AB1208" i="13"/>
  <c r="AB1207" i="13"/>
  <c r="AB1206" i="13"/>
  <c r="AB1205" i="13"/>
  <c r="AB1204" i="13"/>
  <c r="AB1203" i="13"/>
  <c r="AB1202" i="13"/>
  <c r="AB1201" i="13"/>
  <c r="AB1200" i="13"/>
  <c r="AB1199" i="13"/>
  <c r="AB1198" i="13"/>
  <c r="AB1197" i="13"/>
  <c r="AB1196" i="13"/>
  <c r="AB1195" i="13"/>
  <c r="AB1194" i="13"/>
  <c r="AB1193" i="13"/>
  <c r="AB1192" i="13"/>
  <c r="AB1191" i="13"/>
  <c r="AB1190" i="13"/>
  <c r="AB1189" i="13"/>
  <c r="AB1188" i="13"/>
  <c r="AB1187" i="13"/>
  <c r="AB1186" i="13"/>
  <c r="AB1185" i="13"/>
  <c r="AB1184" i="13"/>
  <c r="AB1183" i="13"/>
  <c r="AB1182" i="13"/>
  <c r="AB1181" i="13"/>
  <c r="AB1180" i="13"/>
  <c r="AB1179" i="13"/>
  <c r="AB1178" i="13"/>
  <c r="AB1177" i="13"/>
  <c r="AB1176" i="13"/>
  <c r="AB1175" i="13"/>
  <c r="AB1174" i="13"/>
  <c r="AB1173" i="13"/>
  <c r="AB1172" i="13"/>
  <c r="AB1171" i="13"/>
  <c r="AB1170" i="13"/>
  <c r="AB1169" i="13"/>
  <c r="AB1168" i="13"/>
  <c r="AB1167" i="13"/>
  <c r="AB1166" i="13"/>
  <c r="AB1165" i="13"/>
  <c r="AB1164" i="13"/>
  <c r="AB1163" i="13"/>
  <c r="AB1162" i="13"/>
  <c r="AB1161" i="13"/>
  <c r="AB1160" i="13"/>
  <c r="AB1159" i="13"/>
  <c r="AB1158" i="13"/>
  <c r="AB1157" i="13"/>
  <c r="AB1156" i="13"/>
  <c r="AB1155" i="13"/>
  <c r="AB1154" i="13"/>
  <c r="AB1153" i="13"/>
  <c r="AB1152" i="13"/>
  <c r="AB1151" i="13"/>
  <c r="AB1150" i="13"/>
  <c r="AB1149" i="13"/>
  <c r="AB1148" i="13"/>
  <c r="AB1147" i="13"/>
  <c r="AB1146" i="13"/>
  <c r="AB1145" i="13"/>
  <c r="AB1144" i="13"/>
  <c r="AB1143" i="13"/>
  <c r="AB1142" i="13"/>
  <c r="AB1141" i="13"/>
  <c r="AB1140" i="13"/>
  <c r="AB1139" i="13"/>
  <c r="AB1138" i="13"/>
  <c r="AB1137" i="13"/>
  <c r="AB1136" i="13"/>
  <c r="AB1135" i="13"/>
  <c r="AB1134" i="13"/>
  <c r="AB1133" i="13"/>
  <c r="AB1132" i="13"/>
  <c r="AB1131" i="13"/>
  <c r="AB1130" i="13"/>
  <c r="AB1129" i="13"/>
  <c r="AB1128" i="13"/>
  <c r="AB1127" i="13"/>
  <c r="AB1126" i="13"/>
  <c r="AB1125" i="13"/>
  <c r="AB1124" i="13"/>
  <c r="AB1123" i="13"/>
  <c r="AB1122" i="13"/>
  <c r="AB1121" i="13"/>
  <c r="AB1120" i="13"/>
  <c r="AB1119" i="13"/>
  <c r="AB1118" i="13"/>
  <c r="AB1117" i="13"/>
  <c r="AB1116" i="13"/>
  <c r="AB1115" i="13"/>
  <c r="AB1114" i="13"/>
  <c r="AB1113" i="13"/>
  <c r="AB1112" i="13"/>
  <c r="AB1111" i="13"/>
  <c r="AB1110" i="13"/>
  <c r="AB1109" i="13"/>
  <c r="AB1108" i="13"/>
  <c r="AB1107" i="13"/>
  <c r="AB1106" i="13"/>
  <c r="AB1105" i="13"/>
  <c r="AB1104" i="13"/>
  <c r="AB1103" i="13"/>
  <c r="AB1102" i="13"/>
  <c r="AB1101" i="13"/>
  <c r="AB1100" i="13"/>
  <c r="AB1099" i="13"/>
  <c r="AB1098" i="13"/>
  <c r="AB1097" i="13"/>
  <c r="AB1096" i="13"/>
  <c r="AB1095" i="13"/>
  <c r="AB1094" i="13"/>
  <c r="AB1093" i="13"/>
  <c r="AB1092" i="13"/>
  <c r="AB1091" i="13"/>
  <c r="AB1090" i="13"/>
  <c r="AB1089" i="13"/>
  <c r="AB1088" i="13"/>
  <c r="AB1087" i="13"/>
  <c r="AB1086" i="13"/>
  <c r="AB1085" i="13"/>
  <c r="AB1084" i="13"/>
  <c r="AB1083" i="13"/>
  <c r="AB1082" i="13"/>
  <c r="AB1081" i="13"/>
  <c r="AB1080" i="13"/>
  <c r="AB1079" i="13"/>
  <c r="AB1078" i="13"/>
  <c r="AB1077" i="13"/>
  <c r="AB1076" i="13"/>
  <c r="AB1075" i="13"/>
  <c r="AB1074" i="13"/>
  <c r="AB1073" i="13"/>
  <c r="AB1072" i="13"/>
  <c r="AB1071" i="13"/>
  <c r="AB1070" i="13"/>
  <c r="AB1069" i="13"/>
  <c r="AB1068" i="13"/>
  <c r="AB1067" i="13"/>
  <c r="AB1066" i="13"/>
  <c r="AB1065" i="13"/>
  <c r="AB1064" i="13"/>
  <c r="AB1063" i="13"/>
  <c r="AB1062" i="13"/>
  <c r="AB1061" i="13"/>
  <c r="AB1060" i="13"/>
  <c r="AB1059" i="13"/>
  <c r="AB1058" i="13"/>
  <c r="AB1057" i="13"/>
  <c r="AB1056" i="13"/>
  <c r="AB1055" i="13"/>
  <c r="AB1054" i="13"/>
  <c r="AB1053" i="13"/>
  <c r="AB1052" i="13"/>
  <c r="AB1051" i="13"/>
  <c r="AB1050" i="13"/>
  <c r="AB1049" i="13"/>
  <c r="AB1048" i="13"/>
  <c r="AB1047" i="13"/>
  <c r="AB1046" i="13"/>
  <c r="AB1045" i="13"/>
  <c r="AB1044" i="13"/>
  <c r="AB1043" i="13"/>
  <c r="AB1042" i="13"/>
  <c r="AB1041" i="13"/>
  <c r="AB1040" i="13"/>
  <c r="AB1039" i="13"/>
  <c r="AB1038" i="13"/>
  <c r="AB1037" i="13"/>
  <c r="AB1036" i="13"/>
  <c r="AB1035" i="13"/>
  <c r="AB1034" i="13"/>
  <c r="AB1033" i="13"/>
  <c r="AB1032" i="13"/>
  <c r="AB1031" i="13"/>
  <c r="AB1030" i="13"/>
  <c r="AB1029" i="13"/>
  <c r="AB1028" i="13"/>
  <c r="AB1027" i="13"/>
  <c r="AB1026" i="13"/>
  <c r="AB1025" i="13"/>
  <c r="AB1024" i="13"/>
  <c r="AB1023" i="13"/>
  <c r="AB1022" i="13"/>
  <c r="AB1021" i="13"/>
  <c r="AB1020" i="13"/>
  <c r="AB1019" i="13"/>
  <c r="AB1018" i="13"/>
  <c r="AB1017" i="13"/>
  <c r="AB1016" i="13"/>
  <c r="AB1015" i="13"/>
  <c r="AB1014" i="13"/>
  <c r="AB1013" i="13"/>
  <c r="AB1012" i="13"/>
  <c r="AB1011" i="13"/>
  <c r="AB1010" i="13"/>
  <c r="AB1009" i="13"/>
  <c r="AB1008" i="13"/>
  <c r="AB1007" i="13"/>
  <c r="AB1006" i="13"/>
  <c r="AB1005" i="13"/>
  <c r="AB1004" i="13"/>
  <c r="AB1003" i="13"/>
  <c r="AB1002" i="13"/>
  <c r="AB1001" i="13"/>
  <c r="AB1000" i="13"/>
  <c r="AB999" i="13"/>
  <c r="AB998" i="13"/>
  <c r="AB997" i="13"/>
  <c r="AB996" i="13"/>
  <c r="AB995" i="13"/>
  <c r="AB994" i="13"/>
  <c r="AB993" i="13"/>
  <c r="AB992" i="13"/>
  <c r="AB991" i="13"/>
  <c r="AB990" i="13"/>
  <c r="AB989" i="13"/>
  <c r="AB988" i="13"/>
  <c r="AB987" i="13"/>
  <c r="AB986" i="13"/>
  <c r="AB985" i="13"/>
  <c r="AB984" i="13"/>
  <c r="AB983" i="13"/>
  <c r="AB982" i="13"/>
  <c r="AB981" i="13"/>
  <c r="AB980" i="13"/>
  <c r="AB979" i="13"/>
  <c r="AB978" i="13"/>
  <c r="AB977" i="13"/>
  <c r="AB976" i="13"/>
  <c r="AB975" i="13"/>
  <c r="AB974" i="13"/>
  <c r="AB973" i="13"/>
  <c r="AB972" i="13"/>
  <c r="AB971" i="13"/>
  <c r="AB970" i="13"/>
  <c r="AB969" i="13"/>
  <c r="AB968" i="13"/>
  <c r="AB967" i="13"/>
  <c r="AB966" i="13"/>
  <c r="AB965" i="13"/>
  <c r="AB964" i="13"/>
  <c r="AB963" i="13"/>
  <c r="AB962" i="13"/>
  <c r="AB961" i="13"/>
  <c r="AB960" i="13"/>
  <c r="AB959" i="13"/>
  <c r="AB958" i="13"/>
  <c r="AB957" i="13"/>
  <c r="AB956" i="13"/>
  <c r="AB955" i="13"/>
  <c r="AB954" i="13"/>
  <c r="AB953" i="13"/>
  <c r="AB952" i="13"/>
  <c r="AB951" i="13"/>
  <c r="AB950" i="13"/>
  <c r="AB949" i="13"/>
  <c r="AB948" i="13"/>
  <c r="AB947" i="13"/>
  <c r="AB946" i="13"/>
  <c r="AB945" i="13"/>
  <c r="AB944" i="13"/>
  <c r="AB943" i="13"/>
  <c r="AB942" i="13"/>
  <c r="AB941" i="13"/>
  <c r="AB940" i="13"/>
  <c r="AB939" i="13"/>
  <c r="AB938" i="13"/>
  <c r="AB937" i="13"/>
  <c r="AB936" i="13"/>
  <c r="AB935" i="13"/>
  <c r="AB934" i="13"/>
  <c r="AB933" i="13"/>
  <c r="AB932" i="13"/>
  <c r="AB931" i="13"/>
  <c r="AB930" i="13"/>
  <c r="AB929" i="13"/>
  <c r="AB928" i="13"/>
  <c r="AB927" i="13"/>
  <c r="AB926" i="13"/>
  <c r="AB925" i="13"/>
  <c r="AB924" i="13"/>
  <c r="AB923" i="13"/>
  <c r="AB922" i="13"/>
  <c r="AB921" i="13"/>
  <c r="AB920" i="13"/>
  <c r="AB919" i="13"/>
  <c r="AB918" i="13"/>
  <c r="AB917" i="13"/>
  <c r="AB916" i="13"/>
  <c r="AB915" i="13"/>
  <c r="AB914" i="13"/>
  <c r="AB913" i="13"/>
  <c r="AB912" i="13"/>
  <c r="AB911" i="13"/>
  <c r="AB910" i="13"/>
  <c r="AB909" i="13"/>
  <c r="AB908" i="13"/>
  <c r="AB907" i="13"/>
  <c r="AB906" i="13"/>
  <c r="AB905" i="13"/>
  <c r="AB904" i="13"/>
  <c r="AB903" i="13"/>
  <c r="AB902" i="13"/>
  <c r="AB901" i="13"/>
  <c r="AB900" i="13"/>
  <c r="AB899" i="13"/>
  <c r="AB898" i="13"/>
  <c r="AB897" i="13"/>
  <c r="AB896" i="13"/>
  <c r="AB895" i="13"/>
  <c r="AB894" i="13"/>
  <c r="AB893" i="13"/>
  <c r="AB892" i="13"/>
  <c r="AB891" i="13"/>
  <c r="AB890" i="13"/>
  <c r="AB889" i="13"/>
  <c r="AB888" i="13"/>
  <c r="AB887" i="13"/>
  <c r="AB886" i="13"/>
  <c r="AB885" i="13"/>
  <c r="AB884" i="13"/>
  <c r="AB883" i="13"/>
  <c r="AB882" i="13"/>
  <c r="AB881" i="13"/>
  <c r="AB880" i="13"/>
  <c r="AB879" i="13"/>
  <c r="AB878" i="13"/>
  <c r="AB877" i="13"/>
  <c r="AB876" i="13"/>
  <c r="AB875" i="13"/>
  <c r="AB874" i="13"/>
  <c r="AB873" i="13"/>
  <c r="AB872" i="13"/>
  <c r="AB871" i="13"/>
  <c r="AB870" i="13"/>
  <c r="AB869" i="13"/>
  <c r="AB868" i="13"/>
  <c r="AB867" i="13"/>
  <c r="AB866" i="13"/>
  <c r="AB865" i="13"/>
  <c r="AB864" i="13"/>
  <c r="AB863" i="13"/>
  <c r="AB862" i="13"/>
  <c r="AB861" i="13"/>
  <c r="AB860" i="13"/>
  <c r="AB859" i="13"/>
  <c r="AB858" i="13"/>
  <c r="AB857" i="13"/>
  <c r="AB856" i="13"/>
  <c r="AB855" i="13"/>
  <c r="AB854" i="13"/>
  <c r="AB853" i="13"/>
  <c r="AB852" i="13"/>
  <c r="AB851" i="13"/>
  <c r="AB850" i="13"/>
  <c r="AB849" i="13"/>
  <c r="AB848" i="13"/>
  <c r="AB847" i="13"/>
  <c r="AB846" i="13"/>
  <c r="AB845" i="13"/>
  <c r="AB844" i="13"/>
  <c r="AB843" i="13"/>
  <c r="AB842" i="13"/>
  <c r="AB841" i="13"/>
  <c r="AB840" i="13"/>
  <c r="AB839" i="13"/>
  <c r="AB838" i="13"/>
  <c r="AB837" i="13"/>
  <c r="AB836" i="13"/>
  <c r="AB835" i="13"/>
  <c r="AB834" i="13"/>
  <c r="AB833" i="13"/>
  <c r="AB832" i="13"/>
  <c r="AB831" i="13"/>
  <c r="AB830" i="13"/>
  <c r="AB829" i="13"/>
  <c r="AB828" i="13"/>
  <c r="AB827" i="13"/>
  <c r="AB826" i="13"/>
  <c r="AB825" i="13"/>
  <c r="AB824" i="13"/>
  <c r="AB823" i="13"/>
  <c r="AB822" i="13"/>
  <c r="AB821" i="13"/>
  <c r="AB820" i="13"/>
  <c r="AB819" i="13"/>
  <c r="AB818" i="13"/>
  <c r="AB817" i="13"/>
  <c r="AB816" i="13"/>
  <c r="AB815" i="13"/>
  <c r="AB814" i="13"/>
  <c r="AB813" i="13"/>
  <c r="AB812" i="13"/>
  <c r="AB811" i="13"/>
  <c r="AB810" i="13"/>
  <c r="AB809" i="13"/>
  <c r="AB808" i="13"/>
  <c r="AB807" i="13"/>
  <c r="AB806" i="13"/>
  <c r="AB805" i="13"/>
  <c r="AB804" i="13"/>
  <c r="AB803" i="13"/>
  <c r="AB802" i="13"/>
  <c r="AB801" i="13"/>
  <c r="AB800" i="13"/>
  <c r="AB799" i="13"/>
  <c r="AB798" i="13"/>
  <c r="AB797" i="13"/>
  <c r="AB796" i="13"/>
  <c r="AB795" i="13"/>
  <c r="AB794" i="13"/>
  <c r="AB793" i="13"/>
  <c r="AB792" i="13"/>
  <c r="AB791" i="13"/>
  <c r="AB790" i="13"/>
  <c r="AB789" i="13"/>
  <c r="AB788" i="13"/>
  <c r="AB787" i="13"/>
  <c r="AB786" i="13"/>
  <c r="AB785" i="13"/>
  <c r="AB784" i="13"/>
  <c r="AB783" i="13"/>
  <c r="AB782" i="13"/>
  <c r="AB781" i="13"/>
  <c r="AB780" i="13"/>
  <c r="AB779" i="13"/>
  <c r="AB778" i="13"/>
  <c r="AB777" i="13"/>
  <c r="AB776" i="13"/>
  <c r="AB775" i="13"/>
  <c r="AB774" i="13"/>
  <c r="AB773" i="13"/>
  <c r="AB772" i="13"/>
  <c r="AB771" i="13"/>
  <c r="AB770" i="13"/>
  <c r="AB769" i="13"/>
  <c r="AB768" i="13"/>
  <c r="AB767" i="13"/>
  <c r="AB766" i="13"/>
  <c r="AB765" i="13"/>
  <c r="AB764" i="13"/>
  <c r="AB763" i="13"/>
  <c r="AB762" i="13"/>
  <c r="AB761" i="13"/>
  <c r="AB760" i="13"/>
  <c r="AB759" i="13"/>
  <c r="AB758" i="13"/>
  <c r="AB757" i="13"/>
  <c r="AB756" i="13"/>
  <c r="AB755" i="13"/>
  <c r="AB754" i="13"/>
  <c r="AB753" i="13"/>
  <c r="AB752" i="13"/>
  <c r="AB751" i="13"/>
  <c r="AB750" i="13"/>
  <c r="AB749" i="13"/>
  <c r="AB748" i="13"/>
  <c r="AB747" i="13"/>
  <c r="AB746" i="13"/>
  <c r="AB745" i="13"/>
  <c r="AB744" i="13"/>
  <c r="AB743" i="13"/>
  <c r="AB742" i="13"/>
  <c r="AB741" i="13"/>
  <c r="AB740" i="13"/>
  <c r="AB739" i="13"/>
  <c r="AB738" i="13"/>
  <c r="AB737" i="13"/>
  <c r="AB736" i="13"/>
  <c r="AB735" i="13"/>
  <c r="AB734" i="13"/>
  <c r="AB733" i="13"/>
  <c r="AB732" i="13"/>
  <c r="AB731" i="13"/>
  <c r="AB730" i="13"/>
  <c r="AB729" i="13"/>
  <c r="AB728" i="13"/>
  <c r="AB727" i="13"/>
  <c r="AB726" i="13"/>
  <c r="AB725" i="13"/>
  <c r="AB724" i="13"/>
  <c r="AB723" i="13"/>
  <c r="AB722" i="13"/>
  <c r="AB721" i="13"/>
  <c r="AB720" i="13"/>
  <c r="AB719" i="13"/>
  <c r="AB718" i="13"/>
  <c r="AB717" i="13"/>
  <c r="AB716" i="13"/>
  <c r="AB715" i="13"/>
  <c r="AB714" i="13"/>
  <c r="AB713" i="13"/>
  <c r="AB712" i="13"/>
  <c r="AB711" i="13"/>
  <c r="AB710" i="13"/>
  <c r="AB709" i="13"/>
  <c r="AB708" i="13"/>
  <c r="AB707" i="13"/>
  <c r="AB706" i="13"/>
  <c r="AB705" i="13"/>
  <c r="AB704" i="13"/>
  <c r="AB703" i="13"/>
  <c r="AB702" i="13"/>
  <c r="AB701" i="13"/>
  <c r="AB700" i="13"/>
  <c r="AB699" i="13"/>
  <c r="AB698" i="13"/>
  <c r="AB697" i="13"/>
  <c r="AB696" i="13"/>
  <c r="AB695" i="13"/>
  <c r="AB694" i="13"/>
  <c r="AB693" i="13"/>
  <c r="AB692" i="13"/>
  <c r="AB691" i="13"/>
  <c r="AB690" i="13"/>
  <c r="AB689" i="13"/>
  <c r="AB688" i="13"/>
  <c r="AB687" i="13"/>
  <c r="AB686" i="13"/>
  <c r="AB685" i="13"/>
  <c r="AB684" i="13"/>
  <c r="AB683" i="13"/>
  <c r="AB682" i="13"/>
  <c r="AB681" i="13"/>
  <c r="AB680" i="13"/>
  <c r="AB679" i="13"/>
  <c r="AB678" i="13"/>
  <c r="AB677" i="13"/>
  <c r="AB676" i="13"/>
  <c r="AB675" i="13"/>
  <c r="AB674" i="13"/>
  <c r="AB673" i="13"/>
  <c r="AB672" i="13"/>
  <c r="AB671" i="13"/>
  <c r="AB670" i="13"/>
  <c r="AB669" i="13"/>
  <c r="AB668" i="13"/>
  <c r="AB667" i="13"/>
  <c r="AB666" i="13"/>
  <c r="AB665" i="13"/>
  <c r="AB664" i="13"/>
  <c r="AB663" i="13"/>
  <c r="AB662" i="13"/>
  <c r="AB661" i="13"/>
  <c r="AB660" i="13"/>
  <c r="AB659" i="13"/>
  <c r="AB658" i="13"/>
  <c r="AB657" i="13"/>
  <c r="AB656" i="13"/>
  <c r="AB655" i="13"/>
  <c r="AB654" i="13"/>
  <c r="AB653" i="13"/>
  <c r="AB652" i="13"/>
  <c r="AB651" i="13"/>
  <c r="AB650" i="13"/>
  <c r="AB649" i="13"/>
  <c r="AB648" i="13"/>
  <c r="AB647" i="13"/>
  <c r="AB646" i="13"/>
  <c r="AB645" i="13"/>
  <c r="AB644" i="13"/>
  <c r="AB643" i="13"/>
  <c r="AB642" i="13"/>
  <c r="AB641" i="13"/>
  <c r="AB640" i="13"/>
  <c r="AB639" i="13"/>
  <c r="AB638" i="13"/>
  <c r="AB637" i="13"/>
  <c r="AB636" i="13"/>
  <c r="AB635" i="13"/>
  <c r="AB634" i="13"/>
  <c r="AB633" i="13"/>
  <c r="AB632" i="13"/>
  <c r="AB631" i="13"/>
  <c r="AB630" i="13"/>
  <c r="AB629" i="13"/>
  <c r="AB628" i="13"/>
  <c r="AB627" i="13"/>
  <c r="AB626" i="13"/>
  <c r="AB625" i="13"/>
  <c r="AB624" i="13"/>
  <c r="AB623" i="13"/>
  <c r="AB622" i="13"/>
  <c r="AB621" i="13"/>
  <c r="AB620" i="13"/>
  <c r="AB619" i="13"/>
  <c r="AB618" i="13"/>
  <c r="AB617" i="13"/>
  <c r="AB616" i="13"/>
  <c r="AB615" i="13"/>
  <c r="AB614" i="13"/>
  <c r="AB613" i="13"/>
  <c r="AB612" i="13"/>
  <c r="AB611" i="13"/>
  <c r="AB610" i="13"/>
  <c r="AB609" i="13"/>
  <c r="AB608" i="13"/>
  <c r="AB607" i="13"/>
  <c r="AB606" i="13"/>
  <c r="AB605" i="13"/>
  <c r="AB604" i="13"/>
  <c r="AB603" i="13"/>
  <c r="AB602" i="13"/>
  <c r="AB601" i="13"/>
  <c r="AB600" i="13"/>
  <c r="AB599" i="13"/>
  <c r="AB598" i="13"/>
  <c r="AB597" i="13"/>
  <c r="AB596" i="13"/>
  <c r="AB595" i="13"/>
  <c r="AB594" i="13"/>
  <c r="AB593" i="13"/>
  <c r="AB592" i="13"/>
  <c r="AB591" i="13"/>
  <c r="AB590" i="13"/>
  <c r="AB589" i="13"/>
  <c r="AB588" i="13"/>
  <c r="AB587" i="13"/>
  <c r="AB586" i="13"/>
  <c r="AB585" i="13"/>
  <c r="AB584" i="13"/>
  <c r="AB583" i="13"/>
  <c r="AB582" i="13"/>
  <c r="AB581" i="13"/>
  <c r="AB580" i="13"/>
  <c r="AB579" i="13"/>
  <c r="AB578" i="13"/>
  <c r="AB577" i="13"/>
  <c r="AB576" i="13"/>
  <c r="AB575" i="13"/>
  <c r="AB574" i="13"/>
  <c r="AB573" i="13"/>
  <c r="AB572" i="13"/>
  <c r="AB571" i="13"/>
  <c r="AB570" i="13"/>
  <c r="AB569" i="13"/>
  <c r="AB568" i="13"/>
  <c r="AB567" i="13"/>
  <c r="AB566" i="13"/>
  <c r="AB565" i="13"/>
  <c r="AB564" i="13"/>
  <c r="AB563" i="13"/>
  <c r="AB562" i="13"/>
  <c r="AB561" i="13"/>
  <c r="AB560" i="13"/>
  <c r="AB559" i="13"/>
  <c r="AB558" i="13"/>
  <c r="AB557" i="13"/>
  <c r="AB556" i="13"/>
  <c r="AB555" i="13"/>
  <c r="AB554" i="13"/>
  <c r="AB553" i="13"/>
  <c r="AB552" i="13"/>
  <c r="AB551" i="13"/>
  <c r="AB550" i="13"/>
  <c r="AB549" i="13"/>
  <c r="AB548" i="13"/>
  <c r="AB547" i="13"/>
  <c r="AB546" i="13"/>
  <c r="AB545" i="13"/>
  <c r="AB544" i="13"/>
  <c r="AB543" i="13"/>
  <c r="AB542" i="13"/>
  <c r="AB541" i="13"/>
  <c r="AB540" i="13"/>
  <c r="AB539" i="13"/>
  <c r="AB538" i="13"/>
  <c r="AB537" i="13"/>
  <c r="AB536" i="13"/>
  <c r="AB535" i="13"/>
  <c r="AB534" i="13"/>
  <c r="AB533" i="13"/>
  <c r="AB532" i="13"/>
  <c r="AB531" i="13"/>
  <c r="AB530" i="13"/>
  <c r="AB529" i="13"/>
  <c r="AB528" i="13"/>
  <c r="AB527" i="13"/>
  <c r="AB526" i="13"/>
  <c r="AB525" i="13"/>
  <c r="AB524" i="13"/>
  <c r="AB523" i="13"/>
  <c r="AB522" i="13"/>
  <c r="AB521" i="13"/>
  <c r="AB520" i="13"/>
  <c r="AB519" i="13"/>
  <c r="AB518" i="13"/>
  <c r="AB517" i="13"/>
  <c r="AB516" i="13"/>
  <c r="AB515" i="13"/>
  <c r="AB514" i="13"/>
  <c r="AB513" i="13"/>
  <c r="AB512" i="13"/>
  <c r="AB511" i="13"/>
  <c r="AB510" i="13"/>
  <c r="AB509" i="13"/>
  <c r="AB508" i="13"/>
  <c r="AB507" i="13"/>
  <c r="AB506" i="13"/>
  <c r="AB505" i="13"/>
  <c r="AB504" i="13"/>
  <c r="AB503" i="13"/>
  <c r="AB502" i="13"/>
  <c r="AB501" i="13"/>
  <c r="AB500" i="13"/>
  <c r="AB499" i="13"/>
  <c r="AB498" i="13"/>
  <c r="AB497" i="13"/>
  <c r="AB496" i="13"/>
  <c r="AB495" i="13"/>
  <c r="AB494" i="13"/>
  <c r="AB493" i="13"/>
  <c r="AB492" i="13"/>
  <c r="AB491" i="13"/>
  <c r="AB490" i="13"/>
  <c r="AB489" i="13"/>
  <c r="AB488" i="13"/>
  <c r="AB487" i="13"/>
  <c r="AB486" i="13"/>
  <c r="AB485" i="13"/>
  <c r="AB484" i="13"/>
  <c r="AB483" i="13"/>
  <c r="AB482" i="13"/>
  <c r="AB481" i="13"/>
  <c r="AB480" i="13"/>
  <c r="AB479" i="13"/>
  <c r="AB478" i="13"/>
  <c r="AB477" i="13"/>
  <c r="AB476" i="13"/>
  <c r="AB475" i="13"/>
  <c r="AB474" i="13"/>
  <c r="AB473" i="13"/>
  <c r="AB472" i="13"/>
  <c r="AB471" i="13"/>
  <c r="AB470" i="13"/>
  <c r="AB469" i="13"/>
  <c r="AB468" i="13"/>
  <c r="AB467" i="13"/>
  <c r="AB466" i="13"/>
  <c r="AB465" i="13"/>
  <c r="AB464" i="13"/>
  <c r="AB463" i="13"/>
  <c r="AB462" i="13"/>
  <c r="AB461" i="13"/>
  <c r="AB460" i="13"/>
  <c r="AB459" i="13"/>
  <c r="AB458" i="13"/>
  <c r="AB457" i="13"/>
  <c r="AB456" i="13"/>
  <c r="AB455" i="13"/>
  <c r="AB454" i="13"/>
  <c r="AB453" i="13"/>
  <c r="AB452" i="13"/>
  <c r="AB451" i="13"/>
  <c r="AB450" i="13"/>
  <c r="AB449" i="13"/>
  <c r="AB448" i="13"/>
  <c r="AB447" i="13"/>
  <c r="AB446" i="13"/>
  <c r="AB445" i="13"/>
  <c r="AB444" i="13"/>
  <c r="AB443" i="13"/>
  <c r="AB442" i="13"/>
  <c r="AB441" i="13"/>
  <c r="AB440" i="13"/>
  <c r="AB439" i="13"/>
  <c r="AB438" i="13"/>
  <c r="AB437" i="13"/>
  <c r="AB436" i="13"/>
  <c r="AB435" i="13"/>
  <c r="AB434" i="13"/>
  <c r="AB433" i="13"/>
  <c r="AB432" i="13"/>
  <c r="AB431" i="13"/>
  <c r="AB430" i="13"/>
  <c r="AB429" i="13"/>
  <c r="AB428" i="13"/>
  <c r="AB427" i="13"/>
  <c r="AB426" i="13"/>
  <c r="AB425" i="13"/>
  <c r="AB424" i="13"/>
  <c r="AB423" i="13"/>
  <c r="AB422" i="13"/>
  <c r="AB421" i="13"/>
  <c r="AB420" i="13"/>
  <c r="AB419" i="13"/>
  <c r="AB418" i="13"/>
  <c r="AB417" i="13"/>
  <c r="AB416" i="13"/>
  <c r="AB415" i="13"/>
  <c r="AB414" i="13"/>
  <c r="AB413" i="13"/>
  <c r="AB412" i="13"/>
  <c r="AB411" i="13"/>
  <c r="AB410" i="13"/>
  <c r="AB409" i="13"/>
  <c r="AB408" i="13"/>
  <c r="AB407" i="13"/>
  <c r="AB406" i="13"/>
  <c r="AB405" i="13"/>
  <c r="AB404" i="13"/>
  <c r="AB403" i="13"/>
  <c r="AB402" i="13"/>
  <c r="AB401" i="13"/>
  <c r="AB400" i="13"/>
  <c r="AB399" i="13"/>
  <c r="AB398" i="13"/>
  <c r="AB397" i="13"/>
  <c r="AB396" i="13"/>
  <c r="AB395" i="13"/>
  <c r="AB394" i="13"/>
  <c r="AB393" i="13"/>
  <c r="AB392" i="13"/>
  <c r="AB391" i="13"/>
  <c r="AB390" i="13"/>
  <c r="AB389" i="13"/>
  <c r="AB388" i="13"/>
  <c r="AB387" i="13"/>
  <c r="AB386" i="13"/>
  <c r="AB385" i="13"/>
  <c r="AB384" i="13"/>
  <c r="AB383" i="13"/>
  <c r="AB382" i="13"/>
  <c r="AB381" i="13"/>
  <c r="AB380" i="13"/>
  <c r="AB379" i="13"/>
  <c r="AB378" i="13"/>
  <c r="AB377" i="13"/>
  <c r="AB376" i="13"/>
  <c r="AB375" i="13"/>
  <c r="AB374" i="13"/>
  <c r="AB373" i="13"/>
  <c r="AB372" i="13"/>
  <c r="AB371" i="13"/>
  <c r="AB370" i="13"/>
  <c r="AB369" i="13"/>
  <c r="AB368" i="13"/>
  <c r="AB367" i="13"/>
  <c r="AB366" i="13"/>
  <c r="AB365" i="13"/>
  <c r="AB364" i="13"/>
  <c r="AB363" i="13"/>
  <c r="AB362" i="13"/>
  <c r="AB361" i="13"/>
  <c r="AB360" i="13"/>
  <c r="AB359" i="13"/>
  <c r="AB358" i="13"/>
  <c r="AB357" i="13"/>
  <c r="AB356" i="13"/>
  <c r="AB355" i="13"/>
  <c r="AB354" i="13"/>
  <c r="AB353" i="13"/>
  <c r="AB352" i="13"/>
  <c r="AB351" i="13"/>
  <c r="AB350" i="13"/>
  <c r="AB349" i="13"/>
  <c r="AB348" i="13"/>
  <c r="AB347" i="13"/>
  <c r="AB346" i="13"/>
  <c r="AB345" i="13"/>
  <c r="AB344" i="13"/>
  <c r="AB343" i="13"/>
  <c r="AB342" i="13"/>
  <c r="AB341" i="13"/>
  <c r="AB340" i="13"/>
  <c r="AB339" i="13"/>
  <c r="AB338" i="13"/>
  <c r="AB337" i="13"/>
  <c r="AB336" i="13"/>
  <c r="AB335" i="13"/>
  <c r="AB334" i="13"/>
  <c r="AB333" i="13"/>
  <c r="AB332" i="13"/>
  <c r="AB331" i="13"/>
  <c r="AB330" i="13"/>
  <c r="AB329" i="13"/>
  <c r="AB328" i="13"/>
  <c r="AB327" i="13"/>
  <c r="AB326" i="13"/>
  <c r="AB325" i="13"/>
  <c r="AB324" i="13"/>
  <c r="AB323" i="13"/>
  <c r="AB322" i="13"/>
  <c r="AB321" i="13"/>
  <c r="AB320" i="13"/>
  <c r="AB319" i="13"/>
  <c r="AB318" i="13"/>
  <c r="AB317" i="13"/>
  <c r="AB316" i="13"/>
  <c r="AB315" i="13"/>
  <c r="AB314" i="13"/>
  <c r="AB313" i="13"/>
  <c r="AB312" i="13"/>
  <c r="AB311" i="13"/>
  <c r="AB310" i="13"/>
  <c r="AB309" i="13"/>
  <c r="AB308" i="13"/>
  <c r="AB307" i="13"/>
  <c r="AB306" i="13"/>
  <c r="AB305" i="13"/>
  <c r="AB304" i="13"/>
  <c r="AB303" i="13"/>
  <c r="AB302" i="13"/>
  <c r="AB301" i="13"/>
  <c r="AB300" i="13"/>
  <c r="AB299" i="13"/>
  <c r="AB298" i="13"/>
  <c r="AB297" i="13"/>
  <c r="AB296" i="13"/>
  <c r="AB295" i="13"/>
  <c r="AB294" i="13"/>
  <c r="AB293" i="13"/>
  <c r="AB292" i="13"/>
  <c r="AB291" i="13"/>
  <c r="AB290" i="13"/>
  <c r="AB289" i="13"/>
  <c r="AB288" i="13"/>
  <c r="AB287" i="13"/>
  <c r="AB286" i="13"/>
  <c r="AB285" i="13"/>
  <c r="AB284" i="13"/>
  <c r="AB283" i="13"/>
  <c r="AB282" i="13"/>
  <c r="AB281" i="13"/>
  <c r="AB280" i="13"/>
  <c r="AB279" i="13"/>
  <c r="AB278" i="13"/>
  <c r="AB277" i="13"/>
  <c r="AB276" i="13"/>
  <c r="AB275" i="13"/>
  <c r="AB274" i="13"/>
  <c r="AB273" i="13"/>
  <c r="AB272" i="13"/>
  <c r="AB271" i="13"/>
  <c r="AB270" i="13"/>
  <c r="AB269" i="13"/>
  <c r="AB268" i="13"/>
  <c r="AB267" i="13"/>
  <c r="AB266" i="13"/>
  <c r="AB265" i="13"/>
  <c r="AB264" i="13"/>
  <c r="AB263" i="13"/>
  <c r="AB262" i="13"/>
  <c r="AB261" i="13"/>
  <c r="AB260" i="13"/>
  <c r="AB259" i="13"/>
  <c r="AB258" i="13"/>
  <c r="AB257" i="13"/>
  <c r="AB256" i="13"/>
  <c r="AB255" i="13"/>
  <c r="AB254" i="13"/>
  <c r="AB253" i="13"/>
  <c r="AB252" i="13"/>
  <c r="AB251" i="13"/>
  <c r="AB250" i="13"/>
  <c r="AB249" i="13"/>
  <c r="AB248" i="13"/>
  <c r="AB247" i="13"/>
  <c r="AB246" i="13"/>
  <c r="AB245" i="13"/>
  <c r="AB244" i="13"/>
  <c r="AB243" i="13"/>
  <c r="AB242" i="13"/>
  <c r="AB241" i="13"/>
  <c r="AB240" i="13"/>
  <c r="AB239" i="13"/>
  <c r="AB238" i="13"/>
  <c r="AB237" i="13"/>
  <c r="AB236" i="13"/>
  <c r="AB235" i="13"/>
  <c r="AB234" i="13"/>
  <c r="AB233" i="13"/>
  <c r="AB232" i="13"/>
  <c r="AB231" i="13"/>
  <c r="AB230" i="13"/>
  <c r="AB229" i="13"/>
  <c r="AB228" i="13"/>
  <c r="AB227" i="13"/>
  <c r="AB226" i="13"/>
  <c r="AB225" i="13"/>
  <c r="AB224" i="13"/>
  <c r="AB223" i="13"/>
  <c r="AB222" i="13"/>
  <c r="AB221" i="13"/>
  <c r="AB220" i="13"/>
  <c r="AB219" i="13"/>
  <c r="AB218" i="13"/>
  <c r="AB217" i="13"/>
  <c r="AB216" i="13"/>
  <c r="AB215" i="13"/>
  <c r="AB214" i="13"/>
  <c r="AB213" i="13"/>
  <c r="AB212" i="13"/>
  <c r="AB211" i="13"/>
  <c r="AB210" i="13"/>
  <c r="AB209" i="13"/>
  <c r="AB208" i="13"/>
  <c r="AB207" i="13"/>
  <c r="AB206" i="13"/>
  <c r="AB205" i="13"/>
  <c r="AB204" i="13"/>
  <c r="AB203" i="13"/>
  <c r="AB202" i="13"/>
  <c r="AB201" i="13"/>
  <c r="AB200" i="13"/>
  <c r="AB199" i="13"/>
  <c r="AB198" i="13"/>
  <c r="AB197" i="13"/>
  <c r="AB196" i="13"/>
  <c r="AB195" i="13"/>
  <c r="AB194" i="13"/>
  <c r="AB193" i="13"/>
  <c r="AB192" i="13"/>
  <c r="AB191" i="13"/>
  <c r="AB190" i="13"/>
  <c r="AB189" i="13"/>
  <c r="AB188" i="13"/>
  <c r="AB187" i="13"/>
  <c r="AB186" i="13"/>
  <c r="AB185" i="13"/>
  <c r="AB184" i="13"/>
  <c r="AB183" i="13"/>
  <c r="AB182" i="13"/>
  <c r="AB181" i="13"/>
  <c r="AB180" i="13"/>
  <c r="AB179" i="13"/>
  <c r="AB178" i="13"/>
  <c r="AB177" i="13"/>
  <c r="AB176" i="13"/>
  <c r="AB175" i="13"/>
  <c r="AB174" i="13"/>
  <c r="AB173" i="13"/>
  <c r="AB172" i="13"/>
  <c r="AB171" i="13"/>
  <c r="AB170" i="13"/>
  <c r="AB169" i="13"/>
  <c r="AB168" i="13"/>
  <c r="AB167" i="13"/>
  <c r="AB166" i="13"/>
  <c r="AB165" i="13"/>
  <c r="AB164" i="13"/>
  <c r="AB163" i="13"/>
  <c r="AB162" i="13"/>
  <c r="AB161" i="13"/>
  <c r="AB160" i="13"/>
  <c r="AB159" i="13"/>
  <c r="AB158" i="13"/>
  <c r="AB157" i="13"/>
  <c r="AB156" i="13"/>
  <c r="AB155" i="13"/>
  <c r="AB154" i="13"/>
  <c r="AB153" i="13"/>
  <c r="AB152" i="13"/>
  <c r="AB151" i="13"/>
  <c r="AB150" i="13"/>
  <c r="AB149" i="13"/>
  <c r="AB148" i="13"/>
  <c r="AB147" i="13"/>
  <c r="AB146" i="13"/>
  <c r="AB145" i="13"/>
  <c r="AB144" i="13"/>
  <c r="AB143" i="13"/>
  <c r="AB142" i="13"/>
  <c r="AB141" i="13"/>
  <c r="AB140" i="13"/>
  <c r="AB139" i="13"/>
  <c r="AB138" i="13"/>
  <c r="AB137" i="13"/>
  <c r="AB136" i="13"/>
  <c r="AB135" i="13"/>
  <c r="AB134" i="13"/>
  <c r="AB133" i="13"/>
  <c r="AB132" i="13"/>
  <c r="AB131" i="13"/>
  <c r="AB130" i="13"/>
  <c r="AB129" i="13"/>
  <c r="AB128" i="13"/>
  <c r="AB127" i="13"/>
  <c r="AB126" i="13"/>
  <c r="AB125" i="13"/>
  <c r="AB124" i="13"/>
  <c r="AB123" i="13"/>
  <c r="AB122" i="13"/>
  <c r="AB121" i="13"/>
  <c r="AB120" i="13"/>
  <c r="AB119" i="13"/>
  <c r="AB118" i="13"/>
  <c r="AB117" i="13"/>
  <c r="AB116" i="13"/>
  <c r="AB115" i="13"/>
  <c r="AB114" i="13"/>
  <c r="AB113" i="13"/>
  <c r="AB112" i="13"/>
  <c r="AB111" i="13"/>
  <c r="AB110" i="13"/>
  <c r="AB109" i="13"/>
  <c r="AB108" i="13"/>
  <c r="AB107" i="13"/>
  <c r="AB106" i="13"/>
  <c r="AB105" i="13"/>
  <c r="AB104" i="13"/>
  <c r="AB103" i="13"/>
  <c r="AB102" i="13"/>
  <c r="AB101" i="13"/>
  <c r="AB100" i="13"/>
  <c r="AB99" i="13"/>
  <c r="AB98" i="13"/>
  <c r="AB97" i="13"/>
  <c r="AB96" i="13"/>
  <c r="AB95" i="13"/>
  <c r="AB94" i="13"/>
  <c r="AB93" i="13"/>
  <c r="AB92" i="13"/>
  <c r="AB91" i="13"/>
  <c r="AB90" i="13"/>
  <c r="AB89" i="13"/>
  <c r="AB88" i="13"/>
  <c r="AB87" i="13"/>
  <c r="AB86" i="13"/>
  <c r="AB85" i="13"/>
  <c r="AB84" i="13"/>
  <c r="AB83" i="13"/>
  <c r="AB82" i="13"/>
  <c r="AB81" i="13"/>
  <c r="AB80" i="13"/>
  <c r="AB79" i="13"/>
  <c r="AB78" i="13"/>
  <c r="AB77" i="13"/>
  <c r="AB76" i="13"/>
  <c r="AB75" i="13"/>
  <c r="AB74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B4" i="13"/>
  <c r="AC11" i="1" a="1"/>
  <c r="AC12" i="1" s="1"/>
  <c r="I5" i="5"/>
  <c r="I6" i="5" s="1"/>
  <c r="I4" i="5"/>
  <c r="AA450" i="1" a="1"/>
  <c r="AA450" i="1" s="1"/>
  <c r="S35" i="14"/>
  <c r="E2" i="13"/>
  <c r="F2" i="13"/>
  <c r="G2" i="13"/>
  <c r="H2" i="13"/>
  <c r="C3" i="13"/>
  <c r="D3" i="13" s="1"/>
  <c r="E3" i="13"/>
  <c r="U3" i="13" s="1"/>
  <c r="W3" i="13" s="1"/>
  <c r="H3" i="13"/>
  <c r="C4" i="13"/>
  <c r="H4" i="13"/>
  <c r="H5" i="13"/>
  <c r="M5" i="13"/>
  <c r="C6" i="13"/>
  <c r="H6" i="13"/>
  <c r="C7" i="13"/>
  <c r="H7" i="13"/>
  <c r="C8" i="13"/>
  <c r="H8" i="13"/>
  <c r="C9" i="13"/>
  <c r="H9" i="13"/>
  <c r="C10" i="13"/>
  <c r="H10" i="13"/>
  <c r="C11" i="13"/>
  <c r="H11" i="13"/>
  <c r="C12" i="13"/>
  <c r="H12" i="13"/>
  <c r="C13" i="13"/>
  <c r="H13" i="13"/>
  <c r="C14" i="13"/>
  <c r="H14" i="13"/>
  <c r="C15" i="13"/>
  <c r="H15" i="13"/>
  <c r="C16" i="13"/>
  <c r="H16" i="13"/>
  <c r="C17" i="13"/>
  <c r="H17" i="13"/>
  <c r="C18" i="13"/>
  <c r="H18" i="13"/>
  <c r="C19" i="13"/>
  <c r="H19" i="13"/>
  <c r="C20" i="13"/>
  <c r="H20" i="13"/>
  <c r="C21" i="13"/>
  <c r="H21" i="13"/>
  <c r="C22" i="13"/>
  <c r="H22" i="13"/>
  <c r="C23" i="13"/>
  <c r="H23" i="13"/>
  <c r="C24" i="13"/>
  <c r="H24" i="13"/>
  <c r="G25" i="13" s="1"/>
  <c r="V25" i="13" s="1"/>
  <c r="X25" i="13" s="1"/>
  <c r="C25" i="13"/>
  <c r="H25" i="13"/>
  <c r="C26" i="13"/>
  <c r="H26" i="13"/>
  <c r="C27" i="13"/>
  <c r="H27" i="13"/>
  <c r="C28" i="13"/>
  <c r="H28" i="13"/>
  <c r="C29" i="13"/>
  <c r="H29" i="13"/>
  <c r="C30" i="13"/>
  <c r="H30" i="13"/>
  <c r="C31" i="13"/>
  <c r="H31" i="13"/>
  <c r="C32" i="13"/>
  <c r="H32" i="13"/>
  <c r="G33" i="13" s="1"/>
  <c r="V33" i="13" s="1"/>
  <c r="X33" i="13" s="1"/>
  <c r="C33" i="13"/>
  <c r="D33" i="13"/>
  <c r="H33" i="13"/>
  <c r="C34" i="13"/>
  <c r="H34" i="13"/>
  <c r="C35" i="13"/>
  <c r="H35" i="13"/>
  <c r="C36" i="13"/>
  <c r="H36" i="13"/>
  <c r="C37" i="13"/>
  <c r="H37" i="13"/>
  <c r="G37" i="13" s="1"/>
  <c r="V37" i="13" s="1"/>
  <c r="X37" i="13" s="1"/>
  <c r="C38" i="13"/>
  <c r="H38" i="13"/>
  <c r="C39" i="13"/>
  <c r="H39" i="13"/>
  <c r="C40" i="13"/>
  <c r="H40" i="13"/>
  <c r="C41" i="13"/>
  <c r="H41" i="13"/>
  <c r="C42" i="13"/>
  <c r="H42" i="13"/>
  <c r="C43" i="13"/>
  <c r="H43" i="13"/>
  <c r="C44" i="13"/>
  <c r="H44" i="13"/>
  <c r="C45" i="13"/>
  <c r="H45" i="13"/>
  <c r="G45" i="13" s="1"/>
  <c r="C438" i="4"/>
  <c r="C437" i="4"/>
  <c r="C440" i="4"/>
  <c r="C441" i="4"/>
  <c r="C442" i="4"/>
  <c r="C444" i="4"/>
  <c r="C445" i="4"/>
  <c r="D388" i="4"/>
  <c r="T388" i="4"/>
  <c r="C433" i="4"/>
  <c r="I3" i="5"/>
  <c r="A3" i="12"/>
  <c r="D3" i="12" s="1"/>
  <c r="A4" i="12"/>
  <c r="B4" i="12" s="1"/>
  <c r="A5" i="12"/>
  <c r="D5" i="12" s="1"/>
  <c r="A6" i="12"/>
  <c r="D6" i="12"/>
  <c r="A7" i="12"/>
  <c r="D7" i="12"/>
  <c r="A8" i="12"/>
  <c r="A9" i="12"/>
  <c r="B9" i="12" s="1"/>
  <c r="F9" i="12" s="1"/>
  <c r="A10" i="12"/>
  <c r="D10" i="12" s="1"/>
  <c r="A11" i="12"/>
  <c r="A12" i="12"/>
  <c r="D12" i="12" s="1"/>
  <c r="E12" i="12" s="1"/>
  <c r="A13" i="12"/>
  <c r="D13" i="12" s="1"/>
  <c r="A14" i="12"/>
  <c r="D14" i="12" s="1"/>
  <c r="E14" i="12" s="1"/>
  <c r="A15" i="12"/>
  <c r="D15" i="12" s="1"/>
  <c r="E15" i="12" s="1"/>
  <c r="A16" i="12"/>
  <c r="A17" i="12"/>
  <c r="D17" i="12"/>
  <c r="A18" i="12"/>
  <c r="D18" i="12" s="1"/>
  <c r="D434" i="4"/>
  <c r="D433" i="4"/>
  <c r="C3" i="12" s="1"/>
  <c r="E3" i="12" s="1"/>
  <c r="B5" i="12"/>
  <c r="B6" i="12"/>
  <c r="B7" i="12"/>
  <c r="B10" i="12"/>
  <c r="F10" i="12" s="1"/>
  <c r="B13" i="12"/>
  <c r="B15" i="12"/>
  <c r="B17" i="12"/>
  <c r="B18" i="12"/>
  <c r="D448" i="4"/>
  <c r="C18" i="12"/>
  <c r="D447" i="4"/>
  <c r="C17" i="12" s="1"/>
  <c r="D446" i="4"/>
  <c r="C16" i="12" s="1"/>
  <c r="D445" i="4"/>
  <c r="C15" i="12" s="1"/>
  <c r="D444" i="4"/>
  <c r="C14" i="12"/>
  <c r="D443" i="4"/>
  <c r="C13" i="12" s="1"/>
  <c r="D442" i="4"/>
  <c r="C12" i="12" s="1"/>
  <c r="D441" i="4"/>
  <c r="C11" i="12" s="1"/>
  <c r="D440" i="4"/>
  <c r="C10" i="12"/>
  <c r="D439" i="4"/>
  <c r="C9" i="12" s="1"/>
  <c r="D438" i="4"/>
  <c r="C8" i="12" s="1"/>
  <c r="D437" i="4"/>
  <c r="C7" i="12" s="1"/>
  <c r="D436" i="4"/>
  <c r="C6" i="12" s="1"/>
  <c r="D435" i="4"/>
  <c r="C5" i="12" s="1"/>
  <c r="C2" i="12"/>
  <c r="C1" i="12"/>
  <c r="B1" i="12"/>
  <c r="B2" i="12"/>
  <c r="D28" i="12"/>
  <c r="I31" i="12"/>
  <c r="E36" i="12"/>
  <c r="B37" i="12"/>
  <c r="C37" i="12" s="1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0" i="1"/>
  <c r="X1065" i="1"/>
  <c r="X1063" i="1"/>
  <c r="X1056" i="1"/>
  <c r="X1055" i="1"/>
  <c r="X1053" i="1"/>
  <c r="X1044" i="1"/>
  <c r="X1042" i="1"/>
  <c r="X1026" i="1"/>
  <c r="X1023" i="1"/>
  <c r="X1017" i="1"/>
  <c r="X1016" i="1"/>
  <c r="X1015" i="1"/>
  <c r="X1014" i="1"/>
  <c r="X1013" i="1"/>
  <c r="X1012" i="1"/>
  <c r="X1011" i="1"/>
  <c r="X1010" i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8" i="1"/>
  <c r="X882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50" i="1"/>
  <c r="X833" i="1"/>
  <c r="X827" i="1"/>
  <c r="X823" i="1"/>
  <c r="X818" i="1"/>
  <c r="X814" i="1"/>
  <c r="X788" i="1"/>
  <c r="X786" i="1"/>
  <c r="X783" i="1"/>
  <c r="X777" i="1"/>
  <c r="X773" i="1"/>
  <c r="X769" i="1"/>
  <c r="X768" i="1"/>
  <c r="X760" i="1"/>
  <c r="X748" i="1"/>
  <c r="X746" i="1"/>
  <c r="X738" i="1"/>
  <c r="X735" i="1"/>
  <c r="X726" i="1"/>
  <c r="X725" i="1"/>
  <c r="X723" i="1"/>
  <c r="X721" i="1"/>
  <c r="X718" i="1"/>
  <c r="X717" i="1"/>
  <c r="X716" i="1"/>
  <c r="X715" i="1"/>
  <c r="X714" i="1"/>
  <c r="X713" i="1"/>
  <c r="X711" i="1"/>
  <c r="X710" i="1"/>
  <c r="X691" i="1"/>
  <c r="X687" i="1"/>
  <c r="X684" i="1"/>
  <c r="X679" i="1"/>
  <c r="X674" i="1"/>
  <c r="X670" i="1"/>
  <c r="X664" i="1"/>
  <c r="X661" i="1"/>
  <c r="X660" i="1"/>
  <c r="X659" i="1"/>
  <c r="X656" i="1"/>
  <c r="X655" i="1"/>
  <c r="X648" i="1"/>
  <c r="X646" i="1"/>
  <c r="X640" i="1"/>
  <c r="X635" i="1"/>
  <c r="X633" i="1"/>
  <c r="X631" i="1"/>
  <c r="X629" i="1"/>
  <c r="X628" i="1"/>
  <c r="X626" i="1"/>
  <c r="X624" i="1"/>
  <c r="X622" i="1"/>
  <c r="X621" i="1"/>
  <c r="X620" i="1"/>
  <c r="X619" i="1"/>
  <c r="X618" i="1"/>
  <c r="X617" i="1"/>
  <c r="X615" i="1"/>
  <c r="X614" i="1"/>
  <c r="X613" i="1"/>
  <c r="X544" i="1"/>
  <c r="X541" i="1"/>
  <c r="X538" i="1"/>
  <c r="X535" i="1"/>
  <c r="X532" i="1"/>
  <c r="X530" i="1"/>
  <c r="X529" i="1"/>
  <c r="X528" i="1"/>
  <c r="X527" i="1"/>
  <c r="X525" i="1"/>
  <c r="X521" i="1"/>
  <c r="X520" i="1"/>
  <c r="X519" i="1"/>
  <c r="X518" i="1"/>
  <c r="X517" i="1"/>
  <c r="X516" i="1"/>
  <c r="X514" i="1"/>
  <c r="X513" i="1"/>
  <c r="X508" i="1"/>
  <c r="X507" i="1"/>
  <c r="X506" i="1"/>
  <c r="X505" i="1"/>
  <c r="X504" i="1"/>
  <c r="X502" i="1"/>
  <c r="X500" i="1"/>
  <c r="X499" i="1"/>
  <c r="X498" i="1"/>
  <c r="X497" i="1"/>
  <c r="X496" i="1"/>
  <c r="X495" i="1"/>
  <c r="X494" i="1"/>
  <c r="X493" i="1"/>
  <c r="X489" i="1"/>
  <c r="X488" i="1"/>
  <c r="X486" i="1"/>
  <c r="X485" i="1"/>
  <c r="X484" i="1"/>
  <c r="X482" i="1"/>
  <c r="X481" i="1"/>
  <c r="X480" i="1"/>
  <c r="X479" i="1"/>
  <c r="X478" i="1"/>
  <c r="X477" i="1"/>
  <c r="X476" i="1"/>
  <c r="X474" i="1"/>
  <c r="X473" i="1"/>
  <c r="X472" i="1"/>
  <c r="X471" i="1"/>
  <c r="X470" i="1"/>
  <c r="X469" i="1"/>
  <c r="X467" i="1"/>
  <c r="X466" i="1"/>
  <c r="X465" i="1"/>
  <c r="X464" i="1"/>
  <c r="X463" i="1"/>
  <c r="X462" i="1"/>
  <c r="X461" i="1"/>
  <c r="X460" i="1"/>
  <c r="X459" i="1"/>
  <c r="X457" i="1"/>
  <c r="X456" i="1"/>
  <c r="X455" i="1"/>
  <c r="X454" i="1"/>
  <c r="X453" i="1"/>
  <c r="X452" i="1"/>
  <c r="X451" i="1"/>
  <c r="X450" i="1"/>
  <c r="X449" i="1"/>
  <c r="X447" i="1"/>
  <c r="X446" i="1"/>
  <c r="X445" i="1"/>
  <c r="X443" i="1"/>
  <c r="X441" i="1"/>
  <c r="X440" i="1"/>
  <c r="X439" i="1"/>
  <c r="X438" i="1"/>
  <c r="X437" i="1"/>
  <c r="X436" i="1"/>
  <c r="X435" i="1"/>
  <c r="X434" i="1"/>
  <c r="X430" i="1"/>
  <c r="X429" i="1"/>
  <c r="X428" i="1"/>
  <c r="X427" i="1"/>
  <c r="X426" i="1"/>
  <c r="X425" i="1"/>
  <c r="X424" i="1"/>
  <c r="X423" i="1"/>
  <c r="X422" i="1"/>
  <c r="X421" i="1"/>
  <c r="X417" i="1"/>
  <c r="X416" i="1"/>
  <c r="X408" i="1"/>
  <c r="X405" i="1"/>
  <c r="X403" i="1"/>
  <c r="X397" i="1"/>
  <c r="X393" i="1"/>
  <c r="X390" i="1"/>
  <c r="X389" i="1"/>
  <c r="X387" i="1"/>
  <c r="X383" i="1"/>
  <c r="X378" i="1"/>
  <c r="X374" i="1"/>
  <c r="X373" i="1"/>
  <c r="X371" i="1"/>
  <c r="X370" i="1"/>
  <c r="X369" i="1"/>
  <c r="X365" i="1"/>
  <c r="X362" i="1"/>
  <c r="X359" i="1"/>
  <c r="X356" i="1"/>
  <c r="X355" i="1"/>
  <c r="X353" i="1"/>
  <c r="X349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0" i="1"/>
  <c r="X328" i="1"/>
  <c r="X327" i="1"/>
  <c r="X326" i="1"/>
  <c r="X323" i="1"/>
  <c r="X322" i="1"/>
  <c r="X320" i="1"/>
  <c r="X317" i="1"/>
  <c r="X315" i="1"/>
  <c r="X307" i="1"/>
  <c r="X305" i="1"/>
  <c r="X304" i="1"/>
  <c r="X303" i="1"/>
  <c r="X302" i="1"/>
  <c r="X301" i="1"/>
  <c r="X300" i="1"/>
  <c r="X296" i="1"/>
  <c r="X293" i="1"/>
  <c r="X292" i="1"/>
  <c r="X287" i="1"/>
  <c r="X284" i="1"/>
  <c r="X280" i="1"/>
  <c r="X278" i="1"/>
  <c r="X277" i="1"/>
  <c r="X276" i="1"/>
  <c r="X275" i="1"/>
  <c r="X273" i="1"/>
  <c r="X272" i="1"/>
  <c r="X270" i="1"/>
  <c r="X268" i="1"/>
  <c r="X265" i="1"/>
  <c r="X261" i="1"/>
  <c r="X260" i="1"/>
  <c r="X258" i="1"/>
  <c r="X256" i="1"/>
  <c r="X253" i="1"/>
  <c r="X252" i="1"/>
  <c r="X249" i="1"/>
  <c r="X245" i="1"/>
  <c r="X244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5" i="1"/>
  <c r="X224" i="1"/>
  <c r="X223" i="1"/>
  <c r="X222" i="1"/>
  <c r="X219" i="1"/>
  <c r="X218" i="1"/>
  <c r="X216" i="1"/>
  <c r="X213" i="1"/>
  <c r="X206" i="1"/>
  <c r="X205" i="1"/>
  <c r="X202" i="1"/>
  <c r="X201" i="1"/>
  <c r="X199" i="1"/>
  <c r="X198" i="1"/>
  <c r="X197" i="1"/>
  <c r="X196" i="1"/>
  <c r="X195" i="1"/>
  <c r="X193" i="1"/>
  <c r="X192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4" i="1"/>
  <c r="X172" i="1"/>
  <c r="X171" i="1"/>
  <c r="X170" i="1"/>
  <c r="X168" i="1"/>
  <c r="X165" i="1"/>
  <c r="X164" i="1"/>
  <c r="X163" i="1"/>
  <c r="X161" i="1"/>
  <c r="X159" i="1"/>
  <c r="X158" i="1"/>
  <c r="X157" i="1"/>
  <c r="X156" i="1"/>
  <c r="X155" i="1"/>
  <c r="X154" i="1"/>
  <c r="X152" i="1"/>
  <c r="X150" i="1"/>
  <c r="X149" i="1"/>
  <c r="X148" i="1"/>
  <c r="X147" i="1"/>
  <c r="X146" i="1"/>
  <c r="X145" i="1"/>
  <c r="X144" i="1"/>
  <c r="X142" i="1"/>
  <c r="X141" i="1"/>
  <c r="X140" i="1"/>
  <c r="X139" i="1"/>
  <c r="X138" i="1"/>
  <c r="X136" i="1"/>
  <c r="X134" i="1"/>
  <c r="X133" i="1"/>
  <c r="X132" i="1"/>
  <c r="X131" i="1"/>
  <c r="X127" i="1"/>
  <c r="X124" i="1"/>
  <c r="X121" i="1"/>
  <c r="X120" i="1"/>
  <c r="X118" i="1"/>
  <c r="X112" i="1"/>
  <c r="X111" i="1"/>
  <c r="X109" i="1"/>
  <c r="X108" i="1"/>
  <c r="X107" i="1"/>
  <c r="X105" i="1"/>
  <c r="X104" i="1"/>
  <c r="X98" i="1"/>
  <c r="X96" i="1"/>
  <c r="X94" i="1"/>
  <c r="X92" i="1"/>
  <c r="X91" i="1"/>
  <c r="X90" i="1"/>
  <c r="X89" i="1"/>
  <c r="X88" i="1"/>
  <c r="X85" i="1"/>
  <c r="X83" i="1"/>
  <c r="X81" i="1"/>
  <c r="X80" i="1"/>
  <c r="X78" i="1"/>
  <c r="X77" i="1"/>
  <c r="X76" i="1"/>
  <c r="X75" i="1"/>
  <c r="X74" i="1"/>
  <c r="X73" i="1"/>
  <c r="X72" i="1"/>
  <c r="X71" i="1"/>
  <c r="X70" i="1"/>
  <c r="X67" i="1"/>
  <c r="X66" i="1"/>
  <c r="X65" i="1"/>
  <c r="X64" i="1"/>
  <c r="X63" i="1"/>
  <c r="X61" i="1"/>
  <c r="X59" i="1"/>
  <c r="X58" i="1"/>
  <c r="X57" i="1"/>
  <c r="X55" i="1"/>
  <c r="X54" i="1"/>
  <c r="X52" i="1"/>
  <c r="X50" i="1"/>
  <c r="X48" i="1"/>
  <c r="X47" i="1"/>
  <c r="X46" i="1"/>
  <c r="X43" i="1"/>
  <c r="X42" i="1"/>
  <c r="X41" i="1"/>
  <c r="X40" i="1"/>
  <c r="X39" i="1"/>
  <c r="X38" i="1"/>
  <c r="X37" i="1"/>
  <c r="X34" i="1"/>
  <c r="X33" i="1"/>
  <c r="X32" i="1"/>
  <c r="X31" i="1"/>
  <c r="X30" i="1"/>
  <c r="X28" i="1"/>
  <c r="X27" i="1"/>
  <c r="X26" i="1"/>
  <c r="X25" i="1"/>
  <c r="X20" i="1"/>
  <c r="X16" i="1"/>
  <c r="X15" i="1"/>
  <c r="X13" i="1"/>
  <c r="X12" i="1"/>
  <c r="X11" i="1"/>
  <c r="X9" i="1"/>
  <c r="X7" i="1"/>
  <c r="X6" i="1"/>
  <c r="X5" i="1"/>
  <c r="X4" i="1"/>
  <c r="X3" i="1"/>
  <c r="C434" i="4"/>
  <c r="C435" i="4"/>
  <c r="C436" i="4"/>
  <c r="C439" i="4"/>
  <c r="C443" i="4"/>
  <c r="C446" i="4"/>
  <c r="C447" i="4"/>
  <c r="C448" i="4"/>
  <c r="E465" i="4"/>
  <c r="F465" i="4" s="1"/>
  <c r="G465" i="4" s="1"/>
  <c r="H465" i="4" s="1"/>
  <c r="I465" i="4" s="1"/>
  <c r="J465" i="4" s="1"/>
  <c r="K465" i="4" s="1"/>
  <c r="L465" i="4" s="1"/>
  <c r="M465" i="4" s="1"/>
  <c r="M422" i="4"/>
  <c r="E457" i="4"/>
  <c r="E458" i="4"/>
  <c r="E1" i="5"/>
  <c r="E2" i="5"/>
  <c r="E6" i="5" s="1"/>
  <c r="AC18" i="1"/>
  <c r="J133" i="3"/>
  <c r="M131" i="3"/>
  <c r="M133" i="3" s="1"/>
  <c r="L131" i="3"/>
  <c r="K131" i="3"/>
  <c r="J131" i="3"/>
  <c r="I131" i="3"/>
  <c r="I133" i="3"/>
  <c r="Z181" i="3"/>
  <c r="Y181" i="3"/>
  <c r="X181" i="3"/>
  <c r="W181" i="3"/>
  <c r="V181" i="3"/>
  <c r="U181" i="3"/>
  <c r="T181" i="3"/>
  <c r="AA180" i="3"/>
  <c r="Y180" i="3"/>
  <c r="X180" i="3"/>
  <c r="W180" i="3"/>
  <c r="V180" i="3"/>
  <c r="U180" i="3"/>
  <c r="T180" i="3"/>
  <c r="AA179" i="3"/>
  <c r="Z179" i="3"/>
  <c r="X179" i="3"/>
  <c r="W179" i="3"/>
  <c r="V179" i="3"/>
  <c r="U179" i="3"/>
  <c r="T179" i="3"/>
  <c r="AA178" i="3"/>
  <c r="Z178" i="3"/>
  <c r="Y178" i="3"/>
  <c r="W178" i="3"/>
  <c r="V178" i="3"/>
  <c r="U178" i="3"/>
  <c r="T178" i="3"/>
  <c r="AA177" i="3"/>
  <c r="Z177" i="3"/>
  <c r="Y177" i="3"/>
  <c r="X177" i="3"/>
  <c r="V177" i="3"/>
  <c r="U177" i="3"/>
  <c r="T177" i="3"/>
  <c r="AA176" i="3"/>
  <c r="Z176" i="3"/>
  <c r="Y176" i="3"/>
  <c r="X176" i="3"/>
  <c r="W176" i="3"/>
  <c r="U176" i="3"/>
  <c r="T176" i="3"/>
  <c r="AA175" i="3"/>
  <c r="Z175" i="3"/>
  <c r="Y175" i="3"/>
  <c r="X175" i="3"/>
  <c r="W175" i="3"/>
  <c r="V175" i="3"/>
  <c r="T175" i="3"/>
  <c r="AA174" i="3"/>
  <c r="Z174" i="3"/>
  <c r="Y174" i="3"/>
  <c r="X174" i="3"/>
  <c r="W174" i="3"/>
  <c r="V174" i="3"/>
  <c r="U174" i="3"/>
  <c r="R171" i="3"/>
  <c r="Q171" i="3"/>
  <c r="P171" i="3"/>
  <c r="O171" i="3"/>
  <c r="N171" i="3"/>
  <c r="M171" i="3"/>
  <c r="L171" i="3"/>
  <c r="K171" i="3"/>
  <c r="R170" i="3"/>
  <c r="Q170" i="3"/>
  <c r="P170" i="3"/>
  <c r="O170" i="3"/>
  <c r="N170" i="3"/>
  <c r="M170" i="3"/>
  <c r="L170" i="3"/>
  <c r="K170" i="3"/>
  <c r="R169" i="3"/>
  <c r="Q169" i="3"/>
  <c r="P169" i="3"/>
  <c r="O169" i="3"/>
  <c r="N169" i="3"/>
  <c r="M169" i="3"/>
  <c r="L169" i="3"/>
  <c r="K169" i="3"/>
  <c r="R168" i="3"/>
  <c r="Q168" i="3"/>
  <c r="P168" i="3"/>
  <c r="O168" i="3"/>
  <c r="N168" i="3"/>
  <c r="M168" i="3"/>
  <c r="L168" i="3"/>
  <c r="K168" i="3"/>
  <c r="R167" i="3"/>
  <c r="Q167" i="3"/>
  <c r="P167" i="3"/>
  <c r="O167" i="3"/>
  <c r="N167" i="3"/>
  <c r="M167" i="3"/>
  <c r="L167" i="3"/>
  <c r="K167" i="3"/>
  <c r="R166" i="3"/>
  <c r="Q166" i="3"/>
  <c r="P166" i="3"/>
  <c r="O166" i="3"/>
  <c r="N166" i="3"/>
  <c r="M166" i="3"/>
  <c r="L166" i="3"/>
  <c r="K166" i="3"/>
  <c r="R165" i="3"/>
  <c r="Q165" i="3"/>
  <c r="P165" i="3"/>
  <c r="O165" i="3"/>
  <c r="N165" i="3"/>
  <c r="M165" i="3"/>
  <c r="L165" i="3"/>
  <c r="K165" i="3"/>
  <c r="R164" i="3"/>
  <c r="Q164" i="3"/>
  <c r="P164" i="3"/>
  <c r="O164" i="3"/>
  <c r="N164" i="3"/>
  <c r="M164" i="3"/>
  <c r="L164" i="3"/>
  <c r="K164" i="3"/>
  <c r="R160" i="3"/>
  <c r="Q160" i="3"/>
  <c r="P160" i="3"/>
  <c r="O160" i="3"/>
  <c r="N160" i="3"/>
  <c r="M160" i="3"/>
  <c r="L160" i="3"/>
  <c r="K160" i="3"/>
  <c r="R159" i="3"/>
  <c r="Q159" i="3"/>
  <c r="P159" i="3"/>
  <c r="O159" i="3"/>
  <c r="N159" i="3"/>
  <c r="M159" i="3"/>
  <c r="L159" i="3"/>
  <c r="K159" i="3"/>
  <c r="R158" i="3"/>
  <c r="Q158" i="3"/>
  <c r="P158" i="3"/>
  <c r="O158" i="3"/>
  <c r="N158" i="3"/>
  <c r="M158" i="3"/>
  <c r="L158" i="3"/>
  <c r="K158" i="3"/>
  <c r="R157" i="3"/>
  <c r="Q157" i="3"/>
  <c r="P157" i="3"/>
  <c r="O157" i="3"/>
  <c r="N157" i="3"/>
  <c r="M157" i="3"/>
  <c r="L157" i="3"/>
  <c r="K157" i="3"/>
  <c r="R156" i="3"/>
  <c r="Q156" i="3"/>
  <c r="P156" i="3"/>
  <c r="O156" i="3"/>
  <c r="N156" i="3"/>
  <c r="M156" i="3"/>
  <c r="L156" i="3"/>
  <c r="K156" i="3"/>
  <c r="R155" i="3"/>
  <c r="Q155" i="3"/>
  <c r="P155" i="3"/>
  <c r="O155" i="3"/>
  <c r="N155" i="3"/>
  <c r="M155" i="3"/>
  <c r="L155" i="3"/>
  <c r="K155" i="3"/>
  <c r="R154" i="3"/>
  <c r="Q154" i="3"/>
  <c r="P154" i="3"/>
  <c r="O154" i="3"/>
  <c r="N154" i="3"/>
  <c r="M154" i="3"/>
  <c r="L154" i="3"/>
  <c r="K154" i="3"/>
  <c r="R153" i="3"/>
  <c r="Q153" i="3"/>
  <c r="P153" i="3"/>
  <c r="O153" i="3"/>
  <c r="N153" i="3"/>
  <c r="M153" i="3"/>
  <c r="L153" i="3"/>
  <c r="K153" i="3"/>
  <c r="F139" i="3"/>
  <c r="F137" i="3"/>
  <c r="J144" i="3"/>
  <c r="I144" i="3"/>
  <c r="F118" i="3"/>
  <c r="F125" i="3" s="1"/>
  <c r="G119" i="3"/>
  <c r="G131" i="3" s="1"/>
  <c r="G133" i="3" s="1"/>
  <c r="F124" i="3"/>
  <c r="F108" i="3"/>
  <c r="F105" i="3"/>
  <c r="F100" i="3"/>
  <c r="F101" i="3"/>
  <c r="F107" i="3"/>
  <c r="F106" i="3"/>
  <c r="F104" i="3"/>
  <c r="F103" i="3"/>
  <c r="F102" i="3"/>
  <c r="E414" i="4"/>
  <c r="A74" i="3"/>
  <c r="B74" i="3" s="1"/>
  <c r="A73" i="3"/>
  <c r="B73" i="3" s="1"/>
  <c r="A72" i="3"/>
  <c r="B72" i="3" s="1"/>
  <c r="A71" i="3"/>
  <c r="B71" i="3" s="1"/>
  <c r="K65" i="3"/>
  <c r="K64" i="3"/>
  <c r="K63" i="3"/>
  <c r="K62" i="3"/>
  <c r="K61" i="3"/>
  <c r="K60" i="3"/>
  <c r="E68" i="3" a="1"/>
  <c r="E68" i="3"/>
  <c r="G68" i="3"/>
  <c r="H68" i="3"/>
  <c r="E69" i="3"/>
  <c r="F69" i="3"/>
  <c r="G69" i="3"/>
  <c r="J69" i="3"/>
  <c r="E70" i="3"/>
  <c r="G70" i="3"/>
  <c r="I70" i="3"/>
  <c r="E71" i="3"/>
  <c r="F71" i="3"/>
  <c r="I71" i="3"/>
  <c r="J71" i="3"/>
  <c r="E72" i="3"/>
  <c r="H72" i="3"/>
  <c r="I72" i="3"/>
  <c r="E73" i="3"/>
  <c r="G73" i="3"/>
  <c r="I73" i="3"/>
  <c r="J73" i="3"/>
  <c r="E76" i="3" a="1"/>
  <c r="J77" i="3" s="1"/>
  <c r="F76" i="3"/>
  <c r="J76" i="3"/>
  <c r="F77" i="3"/>
  <c r="H77" i="3"/>
  <c r="F78" i="3"/>
  <c r="H78" i="3"/>
  <c r="J78" i="3"/>
  <c r="H79" i="3"/>
  <c r="J79" i="3"/>
  <c r="F80" i="3"/>
  <c r="J80" i="3"/>
  <c r="F81" i="3"/>
  <c r="H81" i="3"/>
  <c r="E2" i="3"/>
  <c r="D387" i="4"/>
  <c r="D408" i="4"/>
  <c r="H407" i="4" s="1"/>
  <c r="D404" i="4" s="1"/>
  <c r="D405" i="4" s="1"/>
  <c r="D406" i="4" s="1"/>
  <c r="D407" i="4" s="1"/>
  <c r="D8" i="11"/>
  <c r="D12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3" i="11"/>
  <c r="AD17" i="11"/>
  <c r="AC17" i="11"/>
  <c r="AD16" i="11"/>
  <c r="AC16" i="11"/>
  <c r="AE16" i="11" s="1"/>
  <c r="AD15" i="11"/>
  <c r="AC15" i="11"/>
  <c r="AE15" i="11" s="1"/>
  <c r="AD14" i="11"/>
  <c r="AC14" i="11"/>
  <c r="AD13" i="11"/>
  <c r="AC13" i="11"/>
  <c r="C13" i="11"/>
  <c r="AD12" i="11"/>
  <c r="AC12" i="11"/>
  <c r="AD11" i="11"/>
  <c r="AC11" i="11"/>
  <c r="C11" i="11"/>
  <c r="AD10" i="11"/>
  <c r="AC10" i="11"/>
  <c r="AE10" i="11" s="1"/>
  <c r="AD9" i="11"/>
  <c r="AC9" i="11"/>
  <c r="AD8" i="11"/>
  <c r="AC8" i="11"/>
  <c r="C8" i="11"/>
  <c r="AD7" i="11"/>
  <c r="AC7" i="11"/>
  <c r="AD6" i="11"/>
  <c r="AC6" i="11"/>
  <c r="AD5" i="11"/>
  <c r="AC5" i="11"/>
  <c r="AE5" i="11"/>
  <c r="C5" i="11"/>
  <c r="C7" i="11"/>
  <c r="AD4" i="11"/>
  <c r="AC4" i="11"/>
  <c r="AE4" i="11" s="1"/>
  <c r="AD3" i="11"/>
  <c r="AC3" i="11"/>
  <c r="AE3" i="11" s="1"/>
  <c r="D3" i="11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D3" i="10"/>
  <c r="AD24" i="10"/>
  <c r="AD23" i="10"/>
  <c r="AD17" i="10"/>
  <c r="AC17" i="10"/>
  <c r="AD16" i="10"/>
  <c r="AC16" i="10"/>
  <c r="AE16" i="10" s="1"/>
  <c r="AD15" i="10"/>
  <c r="AC15" i="10"/>
  <c r="AE15" i="10" s="1"/>
  <c r="AD14" i="10"/>
  <c r="AE14" i="10" s="1"/>
  <c r="AC14" i="10"/>
  <c r="AD13" i="10"/>
  <c r="AC13" i="10"/>
  <c r="C13" i="10"/>
  <c r="AD12" i="10"/>
  <c r="AC12" i="10"/>
  <c r="AD11" i="10"/>
  <c r="AC11" i="10"/>
  <c r="C11" i="10"/>
  <c r="AD10" i="10"/>
  <c r="AC10" i="10"/>
  <c r="AE10" i="10" s="1"/>
  <c r="AD9" i="10"/>
  <c r="AC9" i="10"/>
  <c r="AE9" i="10" s="1"/>
  <c r="AD8" i="10"/>
  <c r="AE8" i="10" s="1"/>
  <c r="AC8" i="10"/>
  <c r="C8" i="10"/>
  <c r="AD7" i="10"/>
  <c r="AC7" i="10"/>
  <c r="AD6" i="10"/>
  <c r="AE6" i="10" s="1"/>
  <c r="AC6" i="10"/>
  <c r="AD5" i="10"/>
  <c r="AE5" i="10" s="1"/>
  <c r="AC5" i="10"/>
  <c r="C5" i="10"/>
  <c r="C7" i="10" s="1"/>
  <c r="C9" i="10"/>
  <c r="AD4" i="10"/>
  <c r="AC4" i="10"/>
  <c r="AD3" i="10"/>
  <c r="AC3" i="10"/>
  <c r="AE3" i="10" s="1"/>
  <c r="AD36" i="9"/>
  <c r="AD35" i="9"/>
  <c r="AD34" i="9"/>
  <c r="D3" i="9" s="1"/>
  <c r="AD33" i="9"/>
  <c r="AD32" i="9"/>
  <c r="AD31" i="9"/>
  <c r="AD30" i="9"/>
  <c r="AD29" i="9"/>
  <c r="AD28" i="9"/>
  <c r="AD27" i="9"/>
  <c r="AD26" i="9"/>
  <c r="AD25" i="9"/>
  <c r="AD24" i="9"/>
  <c r="AD23" i="9"/>
  <c r="AD17" i="9"/>
  <c r="AC17" i="9"/>
  <c r="AD16" i="9"/>
  <c r="AC16" i="9"/>
  <c r="AE16" i="9"/>
  <c r="AD15" i="9"/>
  <c r="AE15" i="9"/>
  <c r="AC15" i="9"/>
  <c r="AD14" i="9"/>
  <c r="AC14" i="9"/>
  <c r="AD13" i="9"/>
  <c r="AC13" i="9"/>
  <c r="AE13" i="9" s="1"/>
  <c r="C13" i="9"/>
  <c r="AD12" i="9"/>
  <c r="AE12" i="9" s="1"/>
  <c r="AC12" i="9"/>
  <c r="AD11" i="9"/>
  <c r="AE11" i="9" s="1"/>
  <c r="AC11" i="9"/>
  <c r="C11" i="9"/>
  <c r="AD10" i="9"/>
  <c r="AC10" i="9"/>
  <c r="D14" i="9" s="1"/>
  <c r="C14" i="9" s="1"/>
  <c r="AD9" i="9"/>
  <c r="AE9" i="9"/>
  <c r="AC9" i="9"/>
  <c r="AD8" i="9"/>
  <c r="AC8" i="9"/>
  <c r="C8" i="9"/>
  <c r="AD7" i="9"/>
  <c r="AC7" i="9"/>
  <c r="AD6" i="9"/>
  <c r="AC6" i="9"/>
  <c r="AD5" i="9"/>
  <c r="AE5" i="9"/>
  <c r="AC5" i="9"/>
  <c r="C5" i="9"/>
  <c r="C7" i="9" s="1"/>
  <c r="C9" i="9" s="1"/>
  <c r="AD4" i="9"/>
  <c r="AC4" i="9"/>
  <c r="AD3" i="9"/>
  <c r="AC3" i="9"/>
  <c r="AE3" i="9" s="1"/>
  <c r="AD36" i="8"/>
  <c r="D3" i="8" s="1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17" i="8"/>
  <c r="AC17" i="8"/>
  <c r="AE17" i="8"/>
  <c r="AD16" i="8"/>
  <c r="AC16" i="8"/>
  <c r="AE16" i="8" s="1"/>
  <c r="AD15" i="8"/>
  <c r="AC15" i="8"/>
  <c r="AD14" i="8"/>
  <c r="AC14" i="8"/>
  <c r="AD13" i="8"/>
  <c r="AC13" i="8"/>
  <c r="AE13" i="8" s="1"/>
  <c r="C13" i="8"/>
  <c r="AD12" i="8"/>
  <c r="AC12" i="8"/>
  <c r="AE12" i="8"/>
  <c r="AD11" i="8"/>
  <c r="AC11" i="8"/>
  <c r="C11" i="8"/>
  <c r="AD10" i="8"/>
  <c r="AC10" i="8"/>
  <c r="AD9" i="8"/>
  <c r="AC9" i="8"/>
  <c r="AD8" i="8"/>
  <c r="AE8" i="8" s="1"/>
  <c r="AC8" i="8"/>
  <c r="C8" i="8"/>
  <c r="C9" i="8" s="1"/>
  <c r="AD7" i="8"/>
  <c r="AC7" i="8"/>
  <c r="AD6" i="8"/>
  <c r="AC6" i="8"/>
  <c r="AD5" i="8"/>
  <c r="AC5" i="8"/>
  <c r="C5" i="8"/>
  <c r="C7" i="8" s="1"/>
  <c r="AD4" i="8"/>
  <c r="AC4" i="8"/>
  <c r="AE4" i="8" s="1"/>
  <c r="AD3" i="8"/>
  <c r="AC3" i="8"/>
  <c r="AE3" i="8"/>
  <c r="C11" i="7"/>
  <c r="AD36" i="7"/>
  <c r="AD35" i="7"/>
  <c r="AD34" i="7"/>
  <c r="AD33" i="7"/>
  <c r="AD32" i="7"/>
  <c r="D3" i="7" s="1"/>
  <c r="AD31" i="7"/>
  <c r="AD30" i="7"/>
  <c r="AD29" i="7"/>
  <c r="AD28" i="7"/>
  <c r="AD27" i="7"/>
  <c r="AD26" i="7"/>
  <c r="AD25" i="7"/>
  <c r="AD24" i="7"/>
  <c r="AD23" i="7"/>
  <c r="AD17" i="7"/>
  <c r="AC17" i="7"/>
  <c r="AD16" i="7"/>
  <c r="AC16" i="7"/>
  <c r="AE16" i="7" s="1"/>
  <c r="AD15" i="7"/>
  <c r="AC15" i="7"/>
  <c r="AE15" i="7" s="1"/>
  <c r="AD14" i="7"/>
  <c r="AC14" i="7"/>
  <c r="AD13" i="7"/>
  <c r="AC13" i="7"/>
  <c r="AE13" i="7"/>
  <c r="AD12" i="7"/>
  <c r="AC12" i="7"/>
  <c r="AE12" i="7" s="1"/>
  <c r="AD11" i="7"/>
  <c r="AC11" i="7"/>
  <c r="AD10" i="7"/>
  <c r="AC10" i="7"/>
  <c r="AE10" i="7"/>
  <c r="AD9" i="7"/>
  <c r="AC9" i="7"/>
  <c r="AE9" i="7" s="1"/>
  <c r="G12" i="7" s="1"/>
  <c r="C12" i="7" s="1"/>
  <c r="AD8" i="7"/>
  <c r="AC8" i="7"/>
  <c r="AD7" i="7"/>
  <c r="AC7" i="7"/>
  <c r="AD6" i="7"/>
  <c r="AC6" i="7"/>
  <c r="AD5" i="7"/>
  <c r="AC5" i="7"/>
  <c r="AE5" i="7" s="1"/>
  <c r="AD4" i="7"/>
  <c r="AC4" i="7"/>
  <c r="AE4" i="7" s="1"/>
  <c r="AD3" i="7"/>
  <c r="AC3" i="7"/>
  <c r="AE3" i="7" s="1"/>
  <c r="C13" i="7"/>
  <c r="C8" i="7"/>
  <c r="C5" i="7"/>
  <c r="C7" i="7" s="1"/>
  <c r="C13" i="6"/>
  <c r="D14" i="6"/>
  <c r="C8" i="6"/>
  <c r="C11" i="6"/>
  <c r="C5" i="6"/>
  <c r="C14" i="6" s="1"/>
  <c r="AE17" i="6"/>
  <c r="AE16" i="6"/>
  <c r="AE15" i="6"/>
  <c r="AE14" i="6"/>
  <c r="AE13" i="6"/>
  <c r="AE12" i="6"/>
  <c r="AE11" i="6"/>
  <c r="AE10" i="6"/>
  <c r="AE9" i="6"/>
  <c r="AE8" i="6"/>
  <c r="AE6" i="6"/>
  <c r="G12" i="6" s="1"/>
  <c r="C12" i="6" s="1"/>
  <c r="AE5" i="6"/>
  <c r="AE4" i="6"/>
  <c r="AE3" i="6"/>
  <c r="D45" i="5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448" i="4"/>
  <c r="N448" i="4" s="1"/>
  <c r="M448" i="4"/>
  <c r="E447" i="4"/>
  <c r="N447" i="4" s="1"/>
  <c r="E446" i="4"/>
  <c r="N446" i="4" s="1"/>
  <c r="M446" i="4"/>
  <c r="E445" i="4"/>
  <c r="N445" i="4" s="1"/>
  <c r="M445" i="4"/>
  <c r="E444" i="4"/>
  <c r="N444" i="4"/>
  <c r="M444" i="4"/>
  <c r="E443" i="4"/>
  <c r="N443" i="4" s="1"/>
  <c r="M443" i="4"/>
  <c r="E442" i="4"/>
  <c r="N442" i="4" s="1"/>
  <c r="M442" i="4"/>
  <c r="E441" i="4"/>
  <c r="N441" i="4" s="1"/>
  <c r="M441" i="4"/>
  <c r="E440" i="4"/>
  <c r="N440" i="4" s="1"/>
  <c r="M440" i="4"/>
  <c r="E439" i="4"/>
  <c r="N439" i="4" s="1"/>
  <c r="M439" i="4"/>
  <c r="E438" i="4"/>
  <c r="N438" i="4" s="1"/>
  <c r="M438" i="4"/>
  <c r="E437" i="4"/>
  <c r="N437" i="4" s="1"/>
  <c r="M437" i="4"/>
  <c r="E436" i="4"/>
  <c r="N436" i="4"/>
  <c r="M436" i="4"/>
  <c r="E435" i="4"/>
  <c r="N435" i="4" s="1"/>
  <c r="M435" i="4"/>
  <c r="E434" i="4"/>
  <c r="N434" i="4" s="1"/>
  <c r="E433" i="4"/>
  <c r="N433" i="4" s="1"/>
  <c r="M433" i="4"/>
  <c r="N499" i="4"/>
  <c r="M499" i="4"/>
  <c r="L499" i="4"/>
  <c r="K499" i="4"/>
  <c r="I499" i="4"/>
  <c r="E471" i="4"/>
  <c r="F471" i="4" s="1"/>
  <c r="G471" i="4" s="1"/>
  <c r="H471" i="4" s="1"/>
  <c r="I471" i="4" s="1"/>
  <c r="J471" i="4" s="1"/>
  <c r="K471" i="4" s="1"/>
  <c r="L471" i="4" s="1"/>
  <c r="M471" i="4" s="1"/>
  <c r="N471" i="4" s="1"/>
  <c r="O471" i="4" s="1"/>
  <c r="P471" i="4" s="1"/>
  <c r="Q471" i="4" s="1"/>
  <c r="R471" i="4" s="1"/>
  <c r="S471" i="4" s="1"/>
  <c r="T471" i="4" s="1"/>
  <c r="S428" i="4"/>
  <c r="T428" i="4" s="1"/>
  <c r="U428" i="4" s="1"/>
  <c r="E470" i="4"/>
  <c r="F470" i="4" s="1"/>
  <c r="G470" i="4" s="1"/>
  <c r="H470" i="4" s="1"/>
  <c r="I470" i="4" s="1"/>
  <c r="J470" i="4" s="1"/>
  <c r="K470" i="4" s="1"/>
  <c r="L470" i="4" s="1"/>
  <c r="M470" i="4" s="1"/>
  <c r="N470" i="4" s="1"/>
  <c r="O470" i="4" s="1"/>
  <c r="P470" i="4" s="1"/>
  <c r="Q470" i="4" s="1"/>
  <c r="R470" i="4" s="1"/>
  <c r="R427" i="4"/>
  <c r="T427" i="4" s="1"/>
  <c r="U427" i="4" s="1"/>
  <c r="E469" i="4"/>
  <c r="F469" i="4"/>
  <c r="G469" i="4" s="1"/>
  <c r="H469" i="4" s="1"/>
  <c r="I469" i="4" s="1"/>
  <c r="J469" i="4" s="1"/>
  <c r="K469" i="4" s="1"/>
  <c r="L469" i="4" s="1"/>
  <c r="M469" i="4" s="1"/>
  <c r="N469" i="4" s="1"/>
  <c r="O469" i="4" s="1"/>
  <c r="P469" i="4" s="1"/>
  <c r="Q469" i="4" s="1"/>
  <c r="R469" i="4" s="1"/>
  <c r="S469" i="4" s="1"/>
  <c r="T469" i="4" s="1"/>
  <c r="Q426" i="4"/>
  <c r="T426" i="4" s="1"/>
  <c r="U426" i="4" s="1"/>
  <c r="E468" i="4"/>
  <c r="F468" i="4" s="1"/>
  <c r="G468" i="4" s="1"/>
  <c r="H468" i="4" s="1"/>
  <c r="I468" i="4" s="1"/>
  <c r="J468" i="4" s="1"/>
  <c r="K468" i="4" s="1"/>
  <c r="L468" i="4" s="1"/>
  <c r="M468" i="4" s="1"/>
  <c r="N468" i="4" s="1"/>
  <c r="O468" i="4" s="1"/>
  <c r="P468" i="4" s="1"/>
  <c r="Q468" i="4" s="1"/>
  <c r="R468" i="4" s="1"/>
  <c r="S468" i="4" s="1"/>
  <c r="T468" i="4" s="1"/>
  <c r="P425" i="4"/>
  <c r="T425" i="4" s="1"/>
  <c r="U425" i="4" s="1"/>
  <c r="E467" i="4"/>
  <c r="F467" i="4" s="1"/>
  <c r="G467" i="4" s="1"/>
  <c r="H467" i="4" s="1"/>
  <c r="I467" i="4" s="1"/>
  <c r="J467" i="4" s="1"/>
  <c r="K467" i="4" s="1"/>
  <c r="L467" i="4" s="1"/>
  <c r="M467" i="4" s="1"/>
  <c r="N467" i="4" s="1"/>
  <c r="O467" i="4" s="1"/>
  <c r="P467" i="4" s="1"/>
  <c r="Q467" i="4" s="1"/>
  <c r="R467" i="4" s="1"/>
  <c r="S467" i="4" s="1"/>
  <c r="T467" i="4" s="1"/>
  <c r="O424" i="4"/>
  <c r="T424" i="4" s="1"/>
  <c r="U424" i="4" s="1"/>
  <c r="E466" i="4"/>
  <c r="F466" i="4" s="1"/>
  <c r="G466" i="4" s="1"/>
  <c r="H466" i="4" s="1"/>
  <c r="I466" i="4" s="1"/>
  <c r="J466" i="4" s="1"/>
  <c r="K466" i="4" s="1"/>
  <c r="L466" i="4" s="1"/>
  <c r="M466" i="4" s="1"/>
  <c r="N466" i="4" s="1"/>
  <c r="N423" i="4"/>
  <c r="T423" i="4" s="1"/>
  <c r="U423" i="4" s="1"/>
  <c r="E464" i="4"/>
  <c r="F464" i="4" s="1"/>
  <c r="G464" i="4" s="1"/>
  <c r="H464" i="4" s="1"/>
  <c r="I464" i="4" s="1"/>
  <c r="J464" i="4" s="1"/>
  <c r="K464" i="4" s="1"/>
  <c r="L464" i="4" s="1"/>
  <c r="M464" i="4" s="1"/>
  <c r="N464" i="4" s="1"/>
  <c r="O464" i="4" s="1"/>
  <c r="P464" i="4" s="1"/>
  <c r="Q464" i="4" s="1"/>
  <c r="R464" i="4" s="1"/>
  <c r="S464" i="4" s="1"/>
  <c r="T464" i="4" s="1"/>
  <c r="L421" i="4"/>
  <c r="E463" i="4"/>
  <c r="F463" i="4" s="1"/>
  <c r="G463" i="4" s="1"/>
  <c r="H463" i="4" s="1"/>
  <c r="I463" i="4" s="1"/>
  <c r="J463" i="4" s="1"/>
  <c r="K463" i="4" s="1"/>
  <c r="L463" i="4" s="1"/>
  <c r="M463" i="4" s="1"/>
  <c r="N463" i="4" s="1"/>
  <c r="O463" i="4" s="1"/>
  <c r="P463" i="4" s="1"/>
  <c r="Q463" i="4" s="1"/>
  <c r="R463" i="4" s="1"/>
  <c r="S463" i="4" s="1"/>
  <c r="T463" i="4" s="1"/>
  <c r="K420" i="4"/>
  <c r="T420" i="4"/>
  <c r="U420" i="4" s="1"/>
  <c r="E462" i="4"/>
  <c r="F462" i="4" s="1"/>
  <c r="G462" i="4" s="1"/>
  <c r="H462" i="4" s="1"/>
  <c r="I462" i="4" s="1"/>
  <c r="J462" i="4" s="1"/>
  <c r="J419" i="4"/>
  <c r="T419" i="4" s="1"/>
  <c r="U419" i="4" s="1"/>
  <c r="E461" i="4"/>
  <c r="F461" i="4" s="1"/>
  <c r="G461" i="4" s="1"/>
  <c r="H461" i="4" s="1"/>
  <c r="I461" i="4" s="1"/>
  <c r="J461" i="4" s="1"/>
  <c r="K461" i="4" s="1"/>
  <c r="L461" i="4" s="1"/>
  <c r="M461" i="4" s="1"/>
  <c r="N461" i="4" s="1"/>
  <c r="O461" i="4" s="1"/>
  <c r="P461" i="4" s="1"/>
  <c r="Q461" i="4" s="1"/>
  <c r="R461" i="4" s="1"/>
  <c r="S461" i="4" s="1"/>
  <c r="T461" i="4" s="1"/>
  <c r="I418" i="4"/>
  <c r="T418" i="4"/>
  <c r="U418" i="4" s="1"/>
  <c r="E460" i="4"/>
  <c r="F460" i="4" s="1"/>
  <c r="G460" i="4" s="1"/>
  <c r="H460" i="4" s="1"/>
  <c r="H417" i="4"/>
  <c r="T417" i="4" s="1"/>
  <c r="U417" i="4" s="1"/>
  <c r="E459" i="4"/>
  <c r="F459" i="4"/>
  <c r="G459" i="4" s="1"/>
  <c r="H459" i="4" s="1"/>
  <c r="I459" i="4" s="1"/>
  <c r="J459" i="4" s="1"/>
  <c r="K459" i="4" s="1"/>
  <c r="L459" i="4" s="1"/>
  <c r="M459" i="4" s="1"/>
  <c r="N459" i="4" s="1"/>
  <c r="O459" i="4" s="1"/>
  <c r="P459" i="4" s="1"/>
  <c r="Q459" i="4" s="1"/>
  <c r="R459" i="4" s="1"/>
  <c r="S459" i="4" s="1"/>
  <c r="T459" i="4" s="1"/>
  <c r="G416" i="4"/>
  <c r="F458" i="4"/>
  <c r="F415" i="4"/>
  <c r="G458" i="4"/>
  <c r="H458" i="4" s="1"/>
  <c r="I458" i="4" s="1"/>
  <c r="J458" i="4" s="1"/>
  <c r="K458" i="4" s="1"/>
  <c r="L458" i="4" s="1"/>
  <c r="M458" i="4" s="1"/>
  <c r="N458" i="4" s="1"/>
  <c r="O458" i="4" s="1"/>
  <c r="P458" i="4" s="1"/>
  <c r="Q458" i="4" s="1"/>
  <c r="R458" i="4" s="1"/>
  <c r="S458" i="4" s="1"/>
  <c r="T458" i="4" s="1"/>
  <c r="E456" i="4"/>
  <c r="F456" i="4" s="1"/>
  <c r="G456" i="4" s="1"/>
  <c r="H456" i="4" s="1"/>
  <c r="I456" i="4" s="1"/>
  <c r="J456" i="4" s="1"/>
  <c r="K456" i="4" s="1"/>
  <c r="L456" i="4" s="1"/>
  <c r="M456" i="4" s="1"/>
  <c r="N456" i="4" s="1"/>
  <c r="O456" i="4" s="1"/>
  <c r="P456" i="4" s="1"/>
  <c r="Q456" i="4" s="1"/>
  <c r="R456" i="4" s="1"/>
  <c r="S456" i="4" s="1"/>
  <c r="T456" i="4" s="1"/>
  <c r="T414" i="4"/>
  <c r="U414" i="4" s="1"/>
  <c r="T413" i="4"/>
  <c r="U413" i="4" s="1"/>
  <c r="T422" i="4"/>
  <c r="U422" i="4" s="1"/>
  <c r="T421" i="4"/>
  <c r="U421" i="4" s="1"/>
  <c r="T416" i="4"/>
  <c r="U416" i="4" s="1"/>
  <c r="D401" i="4"/>
  <c r="D398" i="4"/>
  <c r="D395" i="4"/>
  <c r="D381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C388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C387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C386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C385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C384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C383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C382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C381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C380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C379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C378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C377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C376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C375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C374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C373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C372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D14" i="11"/>
  <c r="C14" i="11"/>
  <c r="AE13" i="11"/>
  <c r="G12" i="11"/>
  <c r="C12" i="11" s="1"/>
  <c r="D14" i="10"/>
  <c r="C14" i="10" s="1"/>
  <c r="D14" i="8"/>
  <c r="C14" i="8" s="1"/>
  <c r="AE9" i="8"/>
  <c r="U439" i="4"/>
  <c r="W439" i="4" s="1"/>
  <c r="D524" i="4" a="1"/>
  <c r="N524" i="4" s="1"/>
  <c r="U447" i="4"/>
  <c r="W447" i="4" s="1"/>
  <c r="D524" i="4"/>
  <c r="P524" i="4"/>
  <c r="C450" i="4"/>
  <c r="I2" i="5"/>
  <c r="T415" i="4"/>
  <c r="U415" i="4" s="1"/>
  <c r="C9" i="11"/>
  <c r="L133" i="3"/>
  <c r="F457" i="4"/>
  <c r="E76" i="3"/>
  <c r="I76" i="3"/>
  <c r="G77" i="3"/>
  <c r="E78" i="3"/>
  <c r="I78" i="3"/>
  <c r="G79" i="3"/>
  <c r="E80" i="3"/>
  <c r="I80" i="3"/>
  <c r="G81" i="3"/>
  <c r="G76" i="3"/>
  <c r="E77" i="3"/>
  <c r="I77" i="3"/>
  <c r="G78" i="3"/>
  <c r="E79" i="3"/>
  <c r="I79" i="3"/>
  <c r="G80" i="3"/>
  <c r="E81" i="3"/>
  <c r="I81" i="3"/>
  <c r="U442" i="4"/>
  <c r="W442" i="4" s="1"/>
  <c r="K133" i="3"/>
  <c r="H73" i="3"/>
  <c r="J72" i="3"/>
  <c r="F72" i="3"/>
  <c r="H71" i="3"/>
  <c r="J70" i="3"/>
  <c r="F70" i="3"/>
  <c r="H69" i="3"/>
  <c r="J68" i="3"/>
  <c r="E17" i="12"/>
  <c r="D516" i="4" a="1"/>
  <c r="J516" i="4" s="1"/>
  <c r="E7" i="12"/>
  <c r="D520" i="4" a="1"/>
  <c r="N520" i="4" s="1"/>
  <c r="G516" i="4"/>
  <c r="H516" i="4"/>
  <c r="S516" i="4"/>
  <c r="P516" i="4"/>
  <c r="H520" i="4"/>
  <c r="D520" i="4"/>
  <c r="G29" i="13"/>
  <c r="V29" i="13" s="1"/>
  <c r="X29" i="13" s="1"/>
  <c r="G35" i="13"/>
  <c r="V35" i="13" s="1"/>
  <c r="X35" i="13" s="1"/>
  <c r="G27" i="13"/>
  <c r="V27" i="13" s="1"/>
  <c r="X27" i="13" s="1"/>
  <c r="G18" i="13"/>
  <c r="V18" i="13" s="1"/>
  <c r="X18" i="13" s="1"/>
  <c r="G7" i="13"/>
  <c r="V7" i="13" s="1"/>
  <c r="X7" i="13" s="1"/>
  <c r="G42" i="13"/>
  <c r="V42" i="13" s="1"/>
  <c r="X42" i="13" s="1"/>
  <c r="G19" i="13"/>
  <c r="V19" i="13" s="1"/>
  <c r="X19" i="13" s="1"/>
  <c r="G26" i="13"/>
  <c r="V26" i="13" s="1"/>
  <c r="X26" i="13" s="1"/>
  <c r="G16" i="13"/>
  <c r="V16" i="13" s="1"/>
  <c r="X16" i="13" s="1"/>
  <c r="G44" i="13"/>
  <c r="V44" i="13" s="1"/>
  <c r="X44" i="13" s="1"/>
  <c r="G34" i="13"/>
  <c r="V34" i="13" s="1"/>
  <c r="X34" i="13" s="1"/>
  <c r="G28" i="13"/>
  <c r="V28" i="13" s="1"/>
  <c r="X28" i="13" s="1"/>
  <c r="G17" i="13"/>
  <c r="V17" i="13" s="1"/>
  <c r="X17" i="13" s="1"/>
  <c r="G36" i="13"/>
  <c r="V36" i="13"/>
  <c r="X36" i="13" s="1"/>
  <c r="G20" i="13"/>
  <c r="V20" i="13" s="1"/>
  <c r="X20" i="13" s="1"/>
  <c r="G4" i="13"/>
  <c r="V4" i="13" s="1"/>
  <c r="X4" i="13" s="1"/>
  <c r="G43" i="13"/>
  <c r="V43" i="13"/>
  <c r="X43" i="13" s="1"/>
  <c r="E3" i="5"/>
  <c r="E4" i="5"/>
  <c r="E7" i="5" s="1"/>
  <c r="J5" i="5"/>
  <c r="E45" i="5"/>
  <c r="S26" i="14"/>
  <c r="S30" i="14"/>
  <c r="S34" i="14"/>
  <c r="S38" i="14"/>
  <c r="S24" i="14"/>
  <c r="S28" i="14"/>
  <c r="S32" i="14"/>
  <c r="S36" i="14"/>
  <c r="S40" i="14"/>
  <c r="S25" i="14"/>
  <c r="S29" i="14"/>
  <c r="S33" i="14"/>
  <c r="S37" i="14"/>
  <c r="H444" i="4"/>
  <c r="H437" i="4"/>
  <c r="H440" i="4"/>
  <c r="H436" i="4"/>
  <c r="H435" i="4"/>
  <c r="H443" i="4" a="1"/>
  <c r="H438" i="4"/>
  <c r="H439" i="4"/>
  <c r="H434" i="4"/>
  <c r="H441" i="4"/>
  <c r="H443" i="4" l="1"/>
  <c r="U438" i="4"/>
  <c r="G438" i="4" a="1"/>
  <c r="G438" i="4" s="1"/>
  <c r="U443" i="4"/>
  <c r="W443" i="4" s="1"/>
  <c r="G443" i="4" a="1"/>
  <c r="G443" i="4" s="1"/>
  <c r="U437" i="4"/>
  <c r="W437" i="4" s="1"/>
  <c r="G437" i="4" a="1"/>
  <c r="G437" i="4" s="1"/>
  <c r="AE8" i="7"/>
  <c r="AE14" i="7"/>
  <c r="AE6" i="8"/>
  <c r="AE15" i="8"/>
  <c r="AE4" i="9"/>
  <c r="AE14" i="9"/>
  <c r="AE12" i="10"/>
  <c r="AE12" i="11"/>
  <c r="J81" i="3"/>
  <c r="F79" i="3"/>
  <c r="H76" i="3"/>
  <c r="H119" i="3"/>
  <c r="H131" i="3" s="1"/>
  <c r="A179" i="3" a="1"/>
  <c r="B14" i="12"/>
  <c r="B3" i="12"/>
  <c r="G3" i="13"/>
  <c r="V3" i="13" s="1"/>
  <c r="X3" i="13" s="1"/>
  <c r="S39" i="14"/>
  <c r="G439" i="4" a="1"/>
  <c r="G439" i="4" s="1"/>
  <c r="E516" i="4"/>
  <c r="D518" i="4" a="1"/>
  <c r="G442" i="4" a="1"/>
  <c r="G442" i="4" s="1"/>
  <c r="U441" i="4"/>
  <c r="W441" i="4" s="1"/>
  <c r="F524" i="4"/>
  <c r="G447" i="4" a="1"/>
  <c r="G447" i="4" s="1"/>
  <c r="D519" i="4" a="1"/>
  <c r="H519" i="4" s="1"/>
  <c r="K462" i="4"/>
  <c r="L462" i="4" s="1"/>
  <c r="M462" i="4" s="1"/>
  <c r="N462" i="4" s="1"/>
  <c r="O462" i="4" s="1"/>
  <c r="P462" i="4" s="1"/>
  <c r="Q462" i="4" s="1"/>
  <c r="R462" i="4" s="1"/>
  <c r="S462" i="4" s="1"/>
  <c r="T462" i="4" s="1"/>
  <c r="O466" i="4"/>
  <c r="P466" i="4" s="1"/>
  <c r="Q466" i="4" s="1"/>
  <c r="R466" i="4" s="1"/>
  <c r="S466" i="4" s="1"/>
  <c r="T466" i="4" s="1"/>
  <c r="C9" i="7"/>
  <c r="D14" i="7"/>
  <c r="C14" i="7" s="1"/>
  <c r="C16" i="7" s="1"/>
  <c r="C18" i="7" s="1"/>
  <c r="C20" i="7" s="1"/>
  <c r="AE10" i="9"/>
  <c r="G12" i="9" s="1"/>
  <c r="C12" i="9" s="1"/>
  <c r="C16" i="9" s="1"/>
  <c r="AE4" i="10"/>
  <c r="E10" i="12"/>
  <c r="D10" i="13"/>
  <c r="S27" i="14"/>
  <c r="AE6" i="11"/>
  <c r="J146" i="3"/>
  <c r="F147" i="3" s="1"/>
  <c r="G147" i="3" s="1"/>
  <c r="B12" i="12"/>
  <c r="F12" i="12" s="1"/>
  <c r="D9" i="12"/>
  <c r="E9" i="12" s="1"/>
  <c r="D4" i="12"/>
  <c r="G41" i="13"/>
  <c r="V41" i="13" s="1"/>
  <c r="X41" i="13" s="1"/>
  <c r="K520" i="4"/>
  <c r="M516" i="4"/>
  <c r="D523" i="4" a="1"/>
  <c r="D515" i="4" a="1"/>
  <c r="I460" i="4"/>
  <c r="J460" i="4" s="1"/>
  <c r="K460" i="4" s="1"/>
  <c r="L460" i="4" s="1"/>
  <c r="M460" i="4" s="1"/>
  <c r="N460" i="4" s="1"/>
  <c r="O460" i="4" s="1"/>
  <c r="P460" i="4" s="1"/>
  <c r="Q460" i="4" s="1"/>
  <c r="R460" i="4" s="1"/>
  <c r="S460" i="4" s="1"/>
  <c r="T460" i="4" s="1"/>
  <c r="S470" i="4"/>
  <c r="T470" i="4" s="1"/>
  <c r="AE10" i="8"/>
  <c r="G12" i="8" s="1"/>
  <c r="C12" i="8" s="1"/>
  <c r="C16" i="8" s="1"/>
  <c r="H80" i="3"/>
  <c r="N465" i="4"/>
  <c r="O465" i="4" s="1"/>
  <c r="P465" i="4" s="1"/>
  <c r="Q465" i="4" s="1"/>
  <c r="R465" i="4" s="1"/>
  <c r="S465" i="4" s="1"/>
  <c r="T465" i="4" s="1"/>
  <c r="E18" i="12"/>
  <c r="D16" i="13"/>
  <c r="AE8" i="9"/>
  <c r="D4" i="13"/>
  <c r="S31" i="14"/>
  <c r="F520" i="4"/>
  <c r="R516" i="4"/>
  <c r="D514" i="4" a="1"/>
  <c r="D509" i="4" a="1"/>
  <c r="AE17" i="7"/>
  <c r="AE5" i="8"/>
  <c r="AE11" i="8"/>
  <c r="AE14" i="8"/>
  <c r="AE6" i="9"/>
  <c r="AE11" i="10"/>
  <c r="AE17" i="10"/>
  <c r="AE11" i="11"/>
  <c r="AE14" i="11"/>
  <c r="F6" i="12"/>
  <c r="D7" i="13"/>
  <c r="D513" i="4" a="1"/>
  <c r="Q513" i="4" s="1"/>
  <c r="D511" i="4" a="1"/>
  <c r="K511" i="4" s="1"/>
  <c r="K516" i="4"/>
  <c r="D517" i="4" a="1"/>
  <c r="D521" i="4" a="1"/>
  <c r="D522" i="4" a="1"/>
  <c r="E389" i="4"/>
  <c r="I437" i="4"/>
  <c r="I438" i="4"/>
  <c r="I440" i="4"/>
  <c r="I436" i="4"/>
  <c r="I444" i="4"/>
  <c r="I435" i="4"/>
  <c r="I443" i="4"/>
  <c r="I439" i="4"/>
  <c r="E8" i="5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C17" i="7"/>
  <c r="C21" i="7"/>
  <c r="C22" i="7" s="1"/>
  <c r="J4" i="5"/>
  <c r="J3" i="5"/>
  <c r="U444" i="4"/>
  <c r="W444" i="4" s="1"/>
  <c r="G444" i="4" a="1"/>
  <c r="G444" i="4" s="1"/>
  <c r="J520" i="4"/>
  <c r="L520" i="4"/>
  <c r="S520" i="4"/>
  <c r="P520" i="4"/>
  <c r="R520" i="4"/>
  <c r="M520" i="4"/>
  <c r="I520" i="4"/>
  <c r="G520" i="4"/>
  <c r="O520" i="4"/>
  <c r="Q520" i="4"/>
  <c r="E520" i="4"/>
  <c r="G457" i="4"/>
  <c r="H457" i="4" s="1"/>
  <c r="I457" i="4" s="1"/>
  <c r="J457" i="4" s="1"/>
  <c r="K457" i="4" s="1"/>
  <c r="L457" i="4" s="1"/>
  <c r="M457" i="4" s="1"/>
  <c r="N457" i="4" s="1"/>
  <c r="O457" i="4" s="1"/>
  <c r="P457" i="4" s="1"/>
  <c r="Q457" i="4" s="1"/>
  <c r="R457" i="4" s="1"/>
  <c r="S457" i="4" s="1"/>
  <c r="T457" i="4" s="1"/>
  <c r="H133" i="3"/>
  <c r="U448" i="4"/>
  <c r="W448" i="4" s="1"/>
  <c r="G448" i="4" a="1"/>
  <c r="G448" i="4" s="1"/>
  <c r="U436" i="4"/>
  <c r="W436" i="4" s="1"/>
  <c r="G436" i="4" a="1"/>
  <c r="G436" i="4" s="1"/>
  <c r="U440" i="4"/>
  <c r="W440" i="4" s="1"/>
  <c r="G440" i="4" a="1"/>
  <c r="G440" i="4" s="1"/>
  <c r="G524" i="4"/>
  <c r="K524" i="4"/>
  <c r="O524" i="4"/>
  <c r="H448" i="4" s="1"/>
  <c r="I448" i="4" s="1"/>
  <c r="S524" i="4"/>
  <c r="H524" i="4"/>
  <c r="M524" i="4"/>
  <c r="R524" i="4"/>
  <c r="E524" i="4"/>
  <c r="L524" i="4"/>
  <c r="I524" i="4"/>
  <c r="Q524" i="4"/>
  <c r="J524" i="4"/>
  <c r="D519" i="4"/>
  <c r="R519" i="4"/>
  <c r="F517" i="4"/>
  <c r="G517" i="4"/>
  <c r="M517" i="4"/>
  <c r="D517" i="4"/>
  <c r="J517" i="4"/>
  <c r="Q517" i="4"/>
  <c r="K517" i="4"/>
  <c r="E513" i="4"/>
  <c r="S513" i="4"/>
  <c r="C16" i="11"/>
  <c r="U435" i="4"/>
  <c r="W435" i="4" s="1"/>
  <c r="G435" i="4" a="1"/>
  <c r="G435" i="4" s="1"/>
  <c r="R513" i="4"/>
  <c r="O517" i="4"/>
  <c r="H517" i="4"/>
  <c r="U445" i="4"/>
  <c r="W445" i="4" s="1"/>
  <c r="G445" i="4" a="1"/>
  <c r="G445" i="4" s="1"/>
  <c r="N516" i="4"/>
  <c r="Q516" i="4"/>
  <c r="D516" i="4"/>
  <c r="I516" i="4"/>
  <c r="F516" i="4"/>
  <c r="L516" i="4"/>
  <c r="O516" i="4"/>
  <c r="Q509" i="4"/>
  <c r="M509" i="4"/>
  <c r="I509" i="4"/>
  <c r="E509" i="4"/>
  <c r="P509" i="4"/>
  <c r="K509" i="4"/>
  <c r="F509" i="4"/>
  <c r="R509" i="4"/>
  <c r="J509" i="4"/>
  <c r="C17" i="9"/>
  <c r="C18" i="9" s="1"/>
  <c r="C20" i="9" s="1"/>
  <c r="C21" i="9"/>
  <c r="C22" i="9" s="1"/>
  <c r="F179" i="3"/>
  <c r="C179" i="3"/>
  <c r="G179" i="3"/>
  <c r="E179" i="3"/>
  <c r="G523" i="4"/>
  <c r="J523" i="4"/>
  <c r="N523" i="4"/>
  <c r="R523" i="4"/>
  <c r="H523" i="4"/>
  <c r="L523" i="4"/>
  <c r="Q523" i="4"/>
  <c r="H522" i="4"/>
  <c r="L522" i="4"/>
  <c r="P522" i="4"/>
  <c r="E522" i="4"/>
  <c r="J522" i="4"/>
  <c r="O522" i="4"/>
  <c r="D515" i="4"/>
  <c r="K515" i="4"/>
  <c r="S515" i="4"/>
  <c r="R515" i="4"/>
  <c r="E515" i="4"/>
  <c r="O515" i="4"/>
  <c r="F515" i="4"/>
  <c r="L515" i="4"/>
  <c r="G511" i="4"/>
  <c r="O511" i="4"/>
  <c r="S511" i="4"/>
  <c r="F511" i="4"/>
  <c r="L511" i="4"/>
  <c r="Q511" i="4"/>
  <c r="I389" i="4"/>
  <c r="M389" i="4"/>
  <c r="Q389" i="4"/>
  <c r="D510" i="4" a="1"/>
  <c r="B38" i="12"/>
  <c r="E13" i="12"/>
  <c r="D11" i="12"/>
  <c r="E11" i="12" s="1"/>
  <c r="B11" i="12"/>
  <c r="F11" i="12" s="1"/>
  <c r="D8" i="12"/>
  <c r="B8" i="12"/>
  <c r="F8" i="12" s="1"/>
  <c r="F389" i="4"/>
  <c r="J389" i="4"/>
  <c r="N389" i="4"/>
  <c r="R389" i="4"/>
  <c r="C7" i="6"/>
  <c r="C9" i="6" s="1"/>
  <c r="C16" i="6" s="1"/>
  <c r="AE8" i="11"/>
  <c r="F13" i="12"/>
  <c r="E5" i="12"/>
  <c r="D389" i="4"/>
  <c r="G389" i="4"/>
  <c r="K389" i="4"/>
  <c r="O389" i="4"/>
  <c r="S389" i="4"/>
  <c r="R390" i="4" s="1"/>
  <c r="Q390" i="4" s="1"/>
  <c r="F131" i="3"/>
  <c r="F129" i="3"/>
  <c r="K174" i="3" a="1"/>
  <c r="D512" i="4" a="1"/>
  <c r="F17" i="12"/>
  <c r="H389" i="4"/>
  <c r="L389" i="4"/>
  <c r="P389" i="4"/>
  <c r="M447" i="4"/>
  <c r="AE6" i="7"/>
  <c r="AE11" i="7"/>
  <c r="AE17" i="9"/>
  <c r="AE13" i="10"/>
  <c r="G12" i="10" s="1"/>
  <c r="C12" i="10" s="1"/>
  <c r="C16" i="10" s="1"/>
  <c r="AE9" i="11"/>
  <c r="AE17" i="11"/>
  <c r="F68" i="3"/>
  <c r="I68" i="3"/>
  <c r="I69" i="3"/>
  <c r="H70" i="3"/>
  <c r="G71" i="3"/>
  <c r="G72" i="3"/>
  <c r="F73" i="3"/>
  <c r="F126" i="3"/>
  <c r="C4" i="12"/>
  <c r="E4" i="12" s="1"/>
  <c r="M434" i="4"/>
  <c r="D16" i="12"/>
  <c r="E16" i="12" s="1"/>
  <c r="B16" i="12"/>
  <c r="F16" i="12" s="1"/>
  <c r="E6" i="12"/>
  <c r="D508" i="4"/>
  <c r="F5" i="12"/>
  <c r="D45" i="13"/>
  <c r="D29" i="13"/>
  <c r="D20" i="13"/>
  <c r="E508" i="4"/>
  <c r="F15" i="12"/>
  <c r="D41" i="13"/>
  <c r="G40" i="13"/>
  <c r="V40" i="13" s="1"/>
  <c r="X40" i="13" s="1"/>
  <c r="G31" i="13"/>
  <c r="V31" i="13" s="1"/>
  <c r="X31" i="13" s="1"/>
  <c r="D25" i="13"/>
  <c r="G23" i="13"/>
  <c r="V23" i="13" s="1"/>
  <c r="X23" i="13" s="1"/>
  <c r="G21" i="13"/>
  <c r="V21" i="13" s="1"/>
  <c r="X21" i="13" s="1"/>
  <c r="G15" i="13"/>
  <c r="V15" i="13" s="1"/>
  <c r="X15" i="13" s="1"/>
  <c r="G12" i="13"/>
  <c r="V12" i="13" s="1"/>
  <c r="X12" i="13" s="1"/>
  <c r="G11" i="13"/>
  <c r="V11" i="13" s="1"/>
  <c r="X11" i="13" s="1"/>
  <c r="F18" i="12"/>
  <c r="F14" i="12"/>
  <c r="F7" i="12"/>
  <c r="F3" i="12"/>
  <c r="D37" i="13"/>
  <c r="D11" i="13"/>
  <c r="U434" i="4"/>
  <c r="W434" i="4" s="1"/>
  <c r="D5" i="13"/>
  <c r="G10" i="13"/>
  <c r="V10" i="13" s="1"/>
  <c r="X10" i="13" s="1"/>
  <c r="G8" i="13"/>
  <c r="V8" i="13" s="1"/>
  <c r="X8" i="13" s="1"/>
  <c r="G39" i="13"/>
  <c r="V39" i="13" s="1"/>
  <c r="X39" i="13" s="1"/>
  <c r="G6" i="13"/>
  <c r="V6" i="13" s="1"/>
  <c r="X6" i="13" s="1"/>
  <c r="G22" i="13"/>
  <c r="V22" i="13" s="1"/>
  <c r="X22" i="13" s="1"/>
  <c r="G13" i="13"/>
  <c r="V13" i="13" s="1"/>
  <c r="X13" i="13" s="1"/>
  <c r="G32" i="13"/>
  <c r="V32" i="13" s="1"/>
  <c r="X32" i="13" s="1"/>
  <c r="G38" i="13"/>
  <c r="V38" i="13" s="1"/>
  <c r="X38" i="13" s="1"/>
  <c r="G24" i="13"/>
  <c r="V24" i="13" s="1"/>
  <c r="X24" i="13" s="1"/>
  <c r="G9" i="13"/>
  <c r="V9" i="13" s="1"/>
  <c r="X9" i="13" s="1"/>
  <c r="G30" i="13"/>
  <c r="V30" i="13" s="1"/>
  <c r="X30" i="13" s="1"/>
  <c r="G5" i="13"/>
  <c r="G14" i="13"/>
  <c r="V14" i="13" s="1"/>
  <c r="X14" i="13" s="1"/>
  <c r="AC11" i="1"/>
  <c r="AG5" i="13"/>
  <c r="D42" i="13"/>
  <c r="D38" i="13"/>
  <c r="D34" i="13"/>
  <c r="D30" i="13"/>
  <c r="D26" i="13"/>
  <c r="D21" i="13"/>
  <c r="D17" i="13"/>
  <c r="AG4" i="13"/>
  <c r="AF9" i="13" s="1"/>
  <c r="K3" i="13" a="1"/>
  <c r="K3" i="13" s="1"/>
  <c r="L3" i="13" s="1" a="1"/>
  <c r="D43" i="13"/>
  <c r="D39" i="13"/>
  <c r="D35" i="13"/>
  <c r="D31" i="13"/>
  <c r="D27" i="13"/>
  <c r="D22" i="13"/>
  <c r="D18" i="13"/>
  <c r="D14" i="13"/>
  <c r="D12" i="13"/>
  <c r="D8" i="13"/>
  <c r="D44" i="13"/>
  <c r="D40" i="13"/>
  <c r="D36" i="13"/>
  <c r="D32" i="13"/>
  <c r="D28" i="13"/>
  <c r="D24" i="13"/>
  <c r="D23" i="13"/>
  <c r="D19" i="13"/>
  <c r="D15" i="13"/>
  <c r="D13" i="13"/>
  <c r="D9" i="13"/>
  <c r="D6" i="13"/>
  <c r="I513" i="4" l="1"/>
  <c r="I519" i="4"/>
  <c r="N517" i="4"/>
  <c r="R517" i="4"/>
  <c r="L517" i="4"/>
  <c r="S517" i="4"/>
  <c r="E517" i="4"/>
  <c r="P517" i="4"/>
  <c r="I517" i="4"/>
  <c r="D509" i="4"/>
  <c r="S509" i="4"/>
  <c r="N509" i="4"/>
  <c r="H509" i="4"/>
  <c r="O509" i="4"/>
  <c r="G509" i="4"/>
  <c r="L509" i="4"/>
  <c r="R514" i="4"/>
  <c r="P514" i="4"/>
  <c r="G514" i="4"/>
  <c r="I514" i="4"/>
  <c r="L514" i="4"/>
  <c r="K514" i="4"/>
  <c r="Q514" i="4"/>
  <c r="O514" i="4"/>
  <c r="H514" i="4"/>
  <c r="D514" i="4"/>
  <c r="J514" i="4"/>
  <c r="S514" i="4"/>
  <c r="N514" i="4"/>
  <c r="E514" i="4"/>
  <c r="F514" i="4"/>
  <c r="M514" i="4"/>
  <c r="G519" i="4"/>
  <c r="Q519" i="4"/>
  <c r="F519" i="4"/>
  <c r="N519" i="4"/>
  <c r="G513" i="4"/>
  <c r="K519" i="4"/>
  <c r="F6" i="5" a="1"/>
  <c r="F26" i="5" s="1"/>
  <c r="M511" i="4"/>
  <c r="N511" i="4"/>
  <c r="P511" i="4"/>
  <c r="E511" i="4"/>
  <c r="I511" i="4"/>
  <c r="D511" i="4"/>
  <c r="R511" i="4"/>
  <c r="J511" i="4"/>
  <c r="H511" i="4"/>
  <c r="U446" i="4"/>
  <c r="W446" i="4" s="1"/>
  <c r="G446" i="4" a="1"/>
  <c r="G446" i="4" s="1"/>
  <c r="C21" i="8"/>
  <c r="C22" i="8" s="1"/>
  <c r="C17" i="8"/>
  <c r="C18" i="8" s="1"/>
  <c r="C20" i="8" s="1"/>
  <c r="D513" i="4"/>
  <c r="K513" i="4"/>
  <c r="J519" i="4"/>
  <c r="E519" i="4"/>
  <c r="D179" i="3"/>
  <c r="H179" i="3"/>
  <c r="A179" i="3"/>
  <c r="B179" i="3"/>
  <c r="F513" i="4"/>
  <c r="J513" i="4"/>
  <c r="L513" i="4"/>
  <c r="H513" i="4"/>
  <c r="M513" i="4"/>
  <c r="P513" i="4"/>
  <c r="O513" i="4"/>
  <c r="G441" i="4" a="1"/>
  <c r="G441" i="4" s="1"/>
  <c r="N513" i="4"/>
  <c r="M519" i="4"/>
  <c r="P519" i="4"/>
  <c r="D475" i="4" a="1"/>
  <c r="K476" i="4" s="1"/>
  <c r="I441" i="4"/>
  <c r="Q522" i="4"/>
  <c r="D522" i="4"/>
  <c r="R522" i="4"/>
  <c r="F522" i="4"/>
  <c r="S522" i="4"/>
  <c r="I522" i="4"/>
  <c r="M522" i="4"/>
  <c r="G522" i="4"/>
  <c r="N522" i="4"/>
  <c r="K522" i="4"/>
  <c r="I515" i="4"/>
  <c r="M515" i="4"/>
  <c r="P515" i="4"/>
  <c r="J515" i="4"/>
  <c r="Q515" i="4"/>
  <c r="H515" i="4"/>
  <c r="G515" i="4"/>
  <c r="N515" i="4"/>
  <c r="R518" i="4"/>
  <c r="P518" i="4"/>
  <c r="G518" i="4"/>
  <c r="I518" i="4"/>
  <c r="L518" i="4"/>
  <c r="D518" i="4"/>
  <c r="Q518" i="4"/>
  <c r="K518" i="4"/>
  <c r="H518" i="4"/>
  <c r="O518" i="4"/>
  <c r="J518" i="4"/>
  <c r="S518" i="4"/>
  <c r="N518" i="4"/>
  <c r="E518" i="4"/>
  <c r="F518" i="4"/>
  <c r="M518" i="4"/>
  <c r="O519" i="4"/>
  <c r="A182" i="3" a="1"/>
  <c r="A182" i="3" s="1"/>
  <c r="T183" i="3" s="1" a="1"/>
  <c r="T190" i="3" s="1"/>
  <c r="S519" i="4"/>
  <c r="L519" i="4"/>
  <c r="R521" i="4"/>
  <c r="D521" i="4"/>
  <c r="G521" i="4"/>
  <c r="O521" i="4"/>
  <c r="L521" i="4"/>
  <c r="E521" i="4"/>
  <c r="Q521" i="4"/>
  <c r="I521" i="4"/>
  <c r="H521" i="4"/>
  <c r="P521" i="4"/>
  <c r="J521" i="4"/>
  <c r="S521" i="4"/>
  <c r="N521" i="4"/>
  <c r="K521" i="4"/>
  <c r="F521" i="4"/>
  <c r="M521" i="4"/>
  <c r="D523" i="4"/>
  <c r="H447" i="4" s="1"/>
  <c r="I447" i="4" s="1"/>
  <c r="S523" i="4"/>
  <c r="E523" i="4"/>
  <c r="F523" i="4"/>
  <c r="K523" i="4"/>
  <c r="O523" i="4"/>
  <c r="I523" i="4"/>
  <c r="P523" i="4"/>
  <c r="M523" i="4"/>
  <c r="T189" i="3"/>
  <c r="U189" i="3"/>
  <c r="Y183" i="3"/>
  <c r="V187" i="3"/>
  <c r="Z185" i="3"/>
  <c r="X184" i="3"/>
  <c r="AA187" i="3"/>
  <c r="Z186" i="3"/>
  <c r="G434" i="4" a="1"/>
  <c r="G434" i="4" s="1"/>
  <c r="F450" i="4"/>
  <c r="K3" i="5" s="1"/>
  <c r="L3" i="5" s="1"/>
  <c r="H433" i="4"/>
  <c r="F133" i="3"/>
  <c r="F144" i="3" s="1"/>
  <c r="F134" i="3" s="1"/>
  <c r="F135" i="3" s="1"/>
  <c r="F138" i="3"/>
  <c r="K481" i="4"/>
  <c r="H481" i="4"/>
  <c r="K482" i="4"/>
  <c r="N489" i="4"/>
  <c r="J483" i="4"/>
  <c r="L489" i="4"/>
  <c r="R479" i="4"/>
  <c r="G491" i="4"/>
  <c r="R475" i="4"/>
  <c r="I482" i="4"/>
  <c r="S488" i="4"/>
  <c r="H475" i="4"/>
  <c r="D477" i="4"/>
  <c r="N477" i="4"/>
  <c r="K485" i="4"/>
  <c r="E483" i="4"/>
  <c r="D476" i="4"/>
  <c r="S478" i="4"/>
  <c r="S484" i="4"/>
  <c r="D475" i="4"/>
  <c r="D491" i="4"/>
  <c r="Q477" i="4"/>
  <c r="Q482" i="4"/>
  <c r="F481" i="4"/>
  <c r="N486" i="4"/>
  <c r="K478" i="4"/>
  <c r="M482" i="4"/>
  <c r="M484" i="4"/>
  <c r="N481" i="4"/>
  <c r="I475" i="4"/>
  <c r="L481" i="4"/>
  <c r="F486" i="4"/>
  <c r="I487" i="4"/>
  <c r="J479" i="4"/>
  <c r="R490" i="4"/>
  <c r="H491" i="4"/>
  <c r="S476" i="4"/>
  <c r="E478" i="4"/>
  <c r="D488" i="4"/>
  <c r="Q487" i="4"/>
  <c r="L486" i="4"/>
  <c r="N475" i="4"/>
  <c r="F475" i="4"/>
  <c r="J490" i="4"/>
  <c r="H478" i="4"/>
  <c r="S485" i="4"/>
  <c r="S489" i="4"/>
  <c r="J477" i="4"/>
  <c r="O475" i="4"/>
  <c r="E476" i="4"/>
  <c r="R489" i="4"/>
  <c r="S486" i="4"/>
  <c r="G482" i="4"/>
  <c r="J486" i="4"/>
  <c r="R483" i="4"/>
  <c r="D487" i="4"/>
  <c r="S479" i="4"/>
  <c r="N485" i="4"/>
  <c r="J487" i="4"/>
  <c r="E481" i="4"/>
  <c r="P476" i="4"/>
  <c r="G489" i="4"/>
  <c r="M478" i="4"/>
  <c r="L487" i="4"/>
  <c r="F487" i="4"/>
  <c r="K477" i="4"/>
  <c r="P479" i="4"/>
  <c r="L488" i="4"/>
  <c r="E479" i="4"/>
  <c r="L484" i="4"/>
  <c r="M481" i="4"/>
  <c r="F485" i="4"/>
  <c r="G481" i="4"/>
  <c r="E485" i="4"/>
  <c r="D490" i="4"/>
  <c r="O490" i="4"/>
  <c r="I481" i="4"/>
  <c r="O487" i="4"/>
  <c r="J488" i="4"/>
  <c r="O481" i="4"/>
  <c r="H479" i="4"/>
  <c r="I490" i="4"/>
  <c r="G483" i="4"/>
  <c r="K491" i="4"/>
  <c r="M476" i="4"/>
  <c r="I489" i="4"/>
  <c r="K488" i="4"/>
  <c r="K487" i="4"/>
  <c r="O482" i="4"/>
  <c r="K486" i="4"/>
  <c r="N483" i="4"/>
  <c r="H485" i="4"/>
  <c r="K483" i="4"/>
  <c r="P482" i="4"/>
  <c r="J480" i="4"/>
  <c r="K480" i="4"/>
  <c r="N478" i="4"/>
  <c r="N490" i="4"/>
  <c r="I477" i="4"/>
  <c r="I484" i="4"/>
  <c r="K475" i="4"/>
  <c r="E482" i="4"/>
  <c r="F491" i="4"/>
  <c r="D481" i="4"/>
  <c r="H477" i="4"/>
  <c r="H486" i="4"/>
  <c r="J478" i="4"/>
  <c r="L477" i="4"/>
  <c r="K479" i="4"/>
  <c r="I476" i="4"/>
  <c r="D484" i="4"/>
  <c r="J482" i="4"/>
  <c r="G475" i="4"/>
  <c r="Q486" i="4"/>
  <c r="O486" i="4"/>
  <c r="D483" i="4"/>
  <c r="L475" i="4"/>
  <c r="R480" i="4"/>
  <c r="J484" i="4"/>
  <c r="I479" i="4"/>
  <c r="G490" i="4"/>
  <c r="I486" i="4"/>
  <c r="J481" i="4"/>
  <c r="M488" i="4"/>
  <c r="F484" i="4"/>
  <c r="F483" i="4"/>
  <c r="O488" i="4"/>
  <c r="O484" i="4"/>
  <c r="N491" i="4"/>
  <c r="E491" i="4"/>
  <c r="R484" i="4"/>
  <c r="E484" i="4"/>
  <c r="F482" i="4"/>
  <c r="P481" i="4"/>
  <c r="F478" i="4"/>
  <c r="O478" i="4"/>
  <c r="Q483" i="4"/>
  <c r="P487" i="4"/>
  <c r="J485" i="4"/>
  <c r="M479" i="4"/>
  <c r="G488" i="4"/>
  <c r="F477" i="4"/>
  <c r="G476" i="4"/>
  <c r="G487" i="4"/>
  <c r="J491" i="4"/>
  <c r="M480" i="4"/>
  <c r="R477" i="4"/>
  <c r="Q488" i="4"/>
  <c r="L482" i="4"/>
  <c r="O477" i="4"/>
  <c r="F489" i="4"/>
  <c r="N479" i="4"/>
  <c r="O476" i="4"/>
  <c r="B20" i="12"/>
  <c r="G433" i="4" a="1"/>
  <c r="G433" i="4" s="1"/>
  <c r="F4" i="12"/>
  <c r="F20" i="12" s="1"/>
  <c r="C17" i="10"/>
  <c r="C18" i="10" s="1"/>
  <c r="C20" i="10" s="1"/>
  <c r="C21" i="10"/>
  <c r="C22" i="10" s="1"/>
  <c r="O512" i="4"/>
  <c r="N512" i="4"/>
  <c r="M512" i="4"/>
  <c r="L512" i="4"/>
  <c r="D512" i="4"/>
  <c r="S512" i="4"/>
  <c r="J512" i="4"/>
  <c r="I512" i="4"/>
  <c r="H512" i="4"/>
  <c r="G512" i="4"/>
  <c r="F512" i="4"/>
  <c r="E512" i="4"/>
  <c r="E525" i="4" s="1"/>
  <c r="K512" i="4"/>
  <c r="R512" i="4"/>
  <c r="Q512" i="4"/>
  <c r="P512" i="4"/>
  <c r="E8" i="12"/>
  <c r="D20" i="12"/>
  <c r="P525" i="4"/>
  <c r="I434" i="4"/>
  <c r="G510" i="4"/>
  <c r="L510" i="4"/>
  <c r="Q510" i="4"/>
  <c r="F510" i="4"/>
  <c r="F525" i="4" s="1"/>
  <c r="H510" i="4"/>
  <c r="H525" i="4" s="1"/>
  <c r="M510" i="4"/>
  <c r="S510" i="4"/>
  <c r="S525" i="4" s="1"/>
  <c r="D510" i="4"/>
  <c r="I510" i="4"/>
  <c r="I525" i="4" s="1"/>
  <c r="O510" i="4"/>
  <c r="E510" i="4"/>
  <c r="K510" i="4"/>
  <c r="P510" i="4"/>
  <c r="R510" i="4"/>
  <c r="N510" i="4"/>
  <c r="N525" i="4" s="1"/>
  <c r="J510" i="4"/>
  <c r="J525" i="4" s="1"/>
  <c r="R176" i="3"/>
  <c r="R180" i="3"/>
  <c r="R177" i="3"/>
  <c r="R181" i="3"/>
  <c r="R178" i="3"/>
  <c r="Q175" i="3"/>
  <c r="Q177" i="3"/>
  <c r="Q179" i="3"/>
  <c r="Q181" i="3"/>
  <c r="O175" i="3"/>
  <c r="O177" i="3"/>
  <c r="O179" i="3"/>
  <c r="O181" i="3"/>
  <c r="P181" i="3"/>
  <c r="P177" i="3"/>
  <c r="N178" i="3"/>
  <c r="N174" i="3"/>
  <c r="L181" i="3"/>
  <c r="L177" i="3"/>
  <c r="R179" i="3"/>
  <c r="R174" i="3"/>
  <c r="R175" i="3"/>
  <c r="M174" i="3"/>
  <c r="Q176" i="3"/>
  <c r="M179" i="3"/>
  <c r="K174" i="3"/>
  <c r="O176" i="3"/>
  <c r="K179" i="3"/>
  <c r="P179" i="3"/>
  <c r="P174" i="3"/>
  <c r="N180" i="3"/>
  <c r="N175" i="3"/>
  <c r="L180" i="3"/>
  <c r="L175" i="3"/>
  <c r="M176" i="3"/>
  <c r="M180" i="3"/>
  <c r="K175" i="3"/>
  <c r="O178" i="3"/>
  <c r="P176" i="3"/>
  <c r="N179" i="3"/>
  <c r="L178" i="3"/>
  <c r="M175" i="3"/>
  <c r="Q180" i="3"/>
  <c r="K177" i="3"/>
  <c r="K181" i="3"/>
  <c r="P178" i="3"/>
  <c r="N176" i="3"/>
  <c r="L176" i="3"/>
  <c r="M177" i="3"/>
  <c r="M181" i="3"/>
  <c r="K178" i="3"/>
  <c r="P175" i="3"/>
  <c r="L174" i="3"/>
  <c r="M178" i="3"/>
  <c r="K180" i="3"/>
  <c r="P180" i="3"/>
  <c r="Q178" i="3"/>
  <c r="O180" i="3"/>
  <c r="N181" i="3"/>
  <c r="O174" i="3"/>
  <c r="N177" i="3"/>
  <c r="L179" i="3"/>
  <c r="K176" i="3"/>
  <c r="Q174" i="3"/>
  <c r="P390" i="4"/>
  <c r="O390" i="4" s="1"/>
  <c r="N390" i="4" s="1"/>
  <c r="M390" i="4" s="1"/>
  <c r="L390" i="4" s="1"/>
  <c r="K390" i="4" s="1"/>
  <c r="J390" i="4" s="1"/>
  <c r="I390" i="4" s="1"/>
  <c r="H390" i="4" s="1"/>
  <c r="G390" i="4" s="1"/>
  <c r="F390" i="4" s="1"/>
  <c r="E390" i="4" s="1"/>
  <c r="D390" i="4" s="1"/>
  <c r="C17" i="6"/>
  <c r="C18" i="6" s="1"/>
  <c r="C20" i="6" s="1"/>
  <c r="C21" i="6"/>
  <c r="C22" i="6" s="1"/>
  <c r="B39" i="12"/>
  <c r="C28" i="12"/>
  <c r="C21" i="11"/>
  <c r="C22" i="11" s="1"/>
  <c r="C17" i="11"/>
  <c r="C18" i="11" s="1"/>
  <c r="C20" i="11" s="1"/>
  <c r="K5" i="13" a="1"/>
  <c r="K5" i="13" s="1"/>
  <c r="L5" i="13" s="1" a="1"/>
  <c r="V5" i="13"/>
  <c r="X5" i="13" s="1"/>
  <c r="N9" i="13" s="1"/>
  <c r="O9" i="13" s="1"/>
  <c r="AG6" i="13"/>
  <c r="AF10" i="13" s="1"/>
  <c r="AF11" i="13" s="1"/>
  <c r="AF12" i="13" s="1"/>
  <c r="AF13" i="13" s="1"/>
  <c r="AF14" i="13" s="1"/>
  <c r="AF15" i="13" s="1"/>
  <c r="AF16" i="13" s="1"/>
  <c r="AF17" i="13" s="1"/>
  <c r="AF18" i="13" s="1"/>
  <c r="AF19" i="13" s="1"/>
  <c r="M3" i="13"/>
  <c r="L3" i="13"/>
  <c r="K8" i="13" s="1"/>
  <c r="G450" i="4" l="1"/>
  <c r="K4" i="5" s="1"/>
  <c r="L4" i="5" s="1"/>
  <c r="R525" i="4"/>
  <c r="M525" i="4"/>
  <c r="P490" i="4"/>
  <c r="G485" i="4"/>
  <c r="M489" i="4"/>
  <c r="O485" i="4"/>
  <c r="X688" i="1" s="1"/>
  <c r="D489" i="4"/>
  <c r="R487" i="4"/>
  <c r="S475" i="4"/>
  <c r="P486" i="4"/>
  <c r="N476" i="4"/>
  <c r="N488" i="4"/>
  <c r="E475" i="4"/>
  <c r="P478" i="4"/>
  <c r="H476" i="4"/>
  <c r="R485" i="4"/>
  <c r="P480" i="4"/>
  <c r="S487" i="4"/>
  <c r="P489" i="4"/>
  <c r="O483" i="4"/>
  <c r="I485" i="4"/>
  <c r="I478" i="4"/>
  <c r="X1048" i="1" s="1"/>
  <c r="E486" i="4"/>
  <c r="I480" i="4"/>
  <c r="D480" i="4"/>
  <c r="Q481" i="4"/>
  <c r="D485" i="4"/>
  <c r="G479" i="4"/>
  <c r="E477" i="4"/>
  <c r="G484" i="4"/>
  <c r="M486" i="4"/>
  <c r="D482" i="4"/>
  <c r="I491" i="4"/>
  <c r="F476" i="4"/>
  <c r="O479" i="4"/>
  <c r="M475" i="4"/>
  <c r="F20" i="5"/>
  <c r="F17" i="5"/>
  <c r="F21" i="5"/>
  <c r="F11" i="5"/>
  <c r="F31" i="5"/>
  <c r="Y189" i="3"/>
  <c r="W184" i="3"/>
  <c r="Y190" i="3"/>
  <c r="V184" i="3"/>
  <c r="X185" i="3"/>
  <c r="V190" i="3"/>
  <c r="U188" i="3"/>
  <c r="T188" i="3"/>
  <c r="H442" i="4"/>
  <c r="I442" i="4" s="1"/>
  <c r="F8" i="5"/>
  <c r="F29" i="5"/>
  <c r="F38" i="5"/>
  <c r="F12" i="5"/>
  <c r="F13" i="5"/>
  <c r="F41" i="5"/>
  <c r="F25" i="5"/>
  <c r="V183" i="3"/>
  <c r="X188" i="3"/>
  <c r="Y188" i="3"/>
  <c r="AA189" i="3"/>
  <c r="Z183" i="3"/>
  <c r="Z188" i="3"/>
  <c r="U187" i="3"/>
  <c r="T187" i="3"/>
  <c r="K525" i="4"/>
  <c r="F14" i="5"/>
  <c r="F19" i="5"/>
  <c r="F27" i="5"/>
  <c r="F22" i="5"/>
  <c r="F43" i="5"/>
  <c r="AA185" i="3"/>
  <c r="V185" i="3"/>
  <c r="AA186" i="3"/>
  <c r="W188" i="3"/>
  <c r="W190" i="3"/>
  <c r="X187" i="3"/>
  <c r="U186" i="3"/>
  <c r="T186" i="3"/>
  <c r="F45" i="5"/>
  <c r="Q525" i="4"/>
  <c r="F488" i="4"/>
  <c r="S481" i="4"/>
  <c r="Q479" i="4"/>
  <c r="P475" i="4"/>
  <c r="D478" i="4"/>
  <c r="X217" i="1" s="1"/>
  <c r="Q484" i="4"/>
  <c r="N487" i="4"/>
  <c r="Q480" i="4"/>
  <c r="O480" i="4"/>
  <c r="Q490" i="4"/>
  <c r="P488" i="4"/>
  <c r="O489" i="4"/>
  <c r="G480" i="4"/>
  <c r="X537" i="1" s="1"/>
  <c r="Q475" i="4"/>
  <c r="N480" i="4"/>
  <c r="E490" i="4"/>
  <c r="S483" i="4"/>
  <c r="X1188" i="1" s="1"/>
  <c r="K489" i="4"/>
  <c r="R476" i="4"/>
  <c r="H480" i="4"/>
  <c r="E489" i="4"/>
  <c r="O491" i="4"/>
  <c r="K484" i="4"/>
  <c r="L478" i="4"/>
  <c r="E480" i="4"/>
  <c r="G478" i="4"/>
  <c r="S491" i="4"/>
  <c r="S480" i="4"/>
  <c r="G486" i="4"/>
  <c r="M491" i="4"/>
  <c r="S482" i="4"/>
  <c r="N484" i="4"/>
  <c r="L485" i="4"/>
  <c r="Q478" i="4"/>
  <c r="F42" i="5"/>
  <c r="F34" i="5"/>
  <c r="F32" i="5"/>
  <c r="F44" i="5"/>
  <c r="F9" i="5"/>
  <c r="W189" i="3"/>
  <c r="AA190" i="3"/>
  <c r="W185" i="3"/>
  <c r="Y186" i="3"/>
  <c r="AA188" i="3"/>
  <c r="V186" i="3"/>
  <c r="U185" i="3"/>
  <c r="T185" i="3"/>
  <c r="H446" i="4"/>
  <c r="I446" i="4" s="1"/>
  <c r="O525" i="4"/>
  <c r="L525" i="4"/>
  <c r="J476" i="4"/>
  <c r="Q491" i="4"/>
  <c r="Q485" i="4"/>
  <c r="D479" i="4"/>
  <c r="L483" i="4"/>
  <c r="M485" i="4"/>
  <c r="Q489" i="4"/>
  <c r="D486" i="4"/>
  <c r="H490" i="4"/>
  <c r="P477" i="4"/>
  <c r="P485" i="4"/>
  <c r="S477" i="4"/>
  <c r="M477" i="4"/>
  <c r="Q476" i="4"/>
  <c r="H482" i="4"/>
  <c r="F480" i="4"/>
  <c r="H488" i="4"/>
  <c r="R491" i="4"/>
  <c r="L479" i="4"/>
  <c r="X851" i="1" s="1"/>
  <c r="F479" i="4"/>
  <c r="R488" i="4"/>
  <c r="K490" i="4"/>
  <c r="G477" i="4"/>
  <c r="S490" i="4"/>
  <c r="L476" i="4"/>
  <c r="I483" i="4"/>
  <c r="P483" i="4"/>
  <c r="M503" i="4" s="1"/>
  <c r="N482" i="4"/>
  <c r="H487" i="4"/>
  <c r="R482" i="4"/>
  <c r="E487" i="4"/>
  <c r="R486" i="4"/>
  <c r="F40" i="5"/>
  <c r="F10" i="5"/>
  <c r="F28" i="5"/>
  <c r="F37" i="5"/>
  <c r="F30" i="5"/>
  <c r="Y185" i="3"/>
  <c r="W187" i="3"/>
  <c r="W183" i="3"/>
  <c r="Y184" i="3"/>
  <c r="Y187" i="3"/>
  <c r="Z184" i="3"/>
  <c r="U184" i="3"/>
  <c r="T184" i="3"/>
  <c r="H445" i="4"/>
  <c r="I445" i="4" s="1"/>
  <c r="G525" i="4"/>
  <c r="H483" i="4"/>
  <c r="F490" i="4"/>
  <c r="L480" i="4"/>
  <c r="J489" i="4"/>
  <c r="M487" i="4"/>
  <c r="J475" i="4"/>
  <c r="L491" i="4"/>
  <c r="M483" i="4"/>
  <c r="R481" i="4"/>
  <c r="E488" i="4"/>
  <c r="I488" i="4"/>
  <c r="H489" i="4"/>
  <c r="P484" i="4"/>
  <c r="M490" i="4"/>
  <c r="L490" i="4"/>
  <c r="H484" i="4"/>
  <c r="P491" i="4"/>
  <c r="R478" i="4"/>
  <c r="F39" i="5"/>
  <c r="F7" i="5"/>
  <c r="F15" i="5"/>
  <c r="F35" i="5"/>
  <c r="F24" i="5"/>
  <c r="Z189" i="3"/>
  <c r="AA183" i="3"/>
  <c r="X189" i="3"/>
  <c r="Z190" i="3"/>
  <c r="W186" i="3"/>
  <c r="X183" i="3"/>
  <c r="U183" i="3"/>
  <c r="T183" i="3"/>
  <c r="F23" i="5"/>
  <c r="F6" i="5"/>
  <c r="D525" i="4"/>
  <c r="E526" i="4" s="1"/>
  <c r="F33" i="5"/>
  <c r="F36" i="5"/>
  <c r="F18" i="5"/>
  <c r="F16" i="5"/>
  <c r="X190" i="3"/>
  <c r="X186" i="3"/>
  <c r="V188" i="3"/>
  <c r="Z187" i="3"/>
  <c r="V189" i="3"/>
  <c r="AA184" i="3"/>
  <c r="U190" i="3"/>
  <c r="X60" i="1"/>
  <c r="X1175" i="1"/>
  <c r="X581" i="1"/>
  <c r="X571" i="1"/>
  <c r="X587" i="1"/>
  <c r="X579" i="1"/>
  <c r="X100" i="1"/>
  <c r="X596" i="1"/>
  <c r="X582" i="1"/>
  <c r="X740" i="1"/>
  <c r="X556" i="1"/>
  <c r="X588" i="1"/>
  <c r="X639" i="1"/>
  <c r="X559" i="1"/>
  <c r="X857" i="1"/>
  <c r="X415" i="1"/>
  <c r="X1039" i="1"/>
  <c r="X211" i="1"/>
  <c r="X324" i="1"/>
  <c r="X703" i="1"/>
  <c r="X1060" i="1"/>
  <c r="X825" i="1"/>
  <c r="X1025" i="1"/>
  <c r="X331" i="1"/>
  <c r="X742" i="1"/>
  <c r="X396" i="1"/>
  <c r="X792" i="1"/>
  <c r="X350" i="1"/>
  <c r="X842" i="1"/>
  <c r="X1032" i="1"/>
  <c r="X1038" i="1"/>
  <c r="X1035" i="1"/>
  <c r="X843" i="1"/>
  <c r="X820" i="1"/>
  <c r="X779" i="1"/>
  <c r="X250" i="1"/>
  <c r="X815" i="1"/>
  <c r="X778" i="1"/>
  <c r="X840" i="1"/>
  <c r="X123" i="1"/>
  <c r="X1027" i="1"/>
  <c r="X732" i="1"/>
  <c r="X826" i="1"/>
  <c r="X1036" i="1"/>
  <c r="X406" i="1"/>
  <c r="X809" i="1"/>
  <c r="X709" i="1"/>
  <c r="X333" i="1"/>
  <c r="X771" i="1"/>
  <c r="X419" i="1"/>
  <c r="X24" i="1"/>
  <c r="X838" i="1"/>
  <c r="X407" i="1"/>
  <c r="X357" i="1"/>
  <c r="X404" i="1"/>
  <c r="X448" i="1"/>
  <c r="X282" i="1"/>
  <c r="X79" i="1"/>
  <c r="X214" i="1"/>
  <c r="X169" i="1"/>
  <c r="X23" i="1"/>
  <c r="X21" i="1"/>
  <c r="X84" i="1"/>
  <c r="X698" i="1"/>
  <c r="X418" i="1"/>
  <c r="X207" i="1"/>
  <c r="X1183" i="1"/>
  <c r="X776" i="1"/>
  <c r="X848" i="1"/>
  <c r="X391" i="1"/>
  <c r="X845" i="1"/>
  <c r="X299" i="1"/>
  <c r="X534" i="1"/>
  <c r="X297" i="1"/>
  <c r="X806" i="1"/>
  <c r="X332" i="1"/>
  <c r="X1037" i="1"/>
  <c r="X804" i="1"/>
  <c r="X190" i="1"/>
  <c r="X115" i="1"/>
  <c r="X10" i="1"/>
  <c r="X775" i="1"/>
  <c r="X364" i="1"/>
  <c r="X1029" i="1"/>
  <c r="X790" i="1"/>
  <c r="X1041" i="1"/>
  <c r="X1018" i="1"/>
  <c r="X750" i="1"/>
  <c r="X785" i="1"/>
  <c r="X755" i="1"/>
  <c r="X791" i="1"/>
  <c r="X802" i="1"/>
  <c r="X627" i="1"/>
  <c r="X736" i="1"/>
  <c r="X836" i="1"/>
  <c r="X859" i="1"/>
  <c r="X728" i="1"/>
  <c r="X855" i="1"/>
  <c r="X774" i="1"/>
  <c r="X95" i="1"/>
  <c r="X126" i="1"/>
  <c r="X844" i="1"/>
  <c r="X487" i="1"/>
  <c r="X798" i="1"/>
  <c r="X759" i="1"/>
  <c r="X86" i="1"/>
  <c r="X398" i="1"/>
  <c r="X1033" i="1"/>
  <c r="X761" i="1"/>
  <c r="X103" i="1"/>
  <c r="X832" i="1"/>
  <c r="X385" i="1"/>
  <c r="X794" i="1"/>
  <c r="X828" i="1"/>
  <c r="X379" i="1"/>
  <c r="X744" i="1"/>
  <c r="X700" i="1"/>
  <c r="X431" i="1"/>
  <c r="X399" i="1"/>
  <c r="X119" i="1"/>
  <c r="X413" i="1"/>
  <c r="X151" i="1"/>
  <c r="X491" i="1"/>
  <c r="X114" i="1"/>
  <c r="X400" i="1"/>
  <c r="X414" i="1"/>
  <c r="X269" i="1"/>
  <c r="X704" i="1"/>
  <c r="X1043" i="1"/>
  <c r="X649" i="1"/>
  <c r="X696" i="1"/>
  <c r="X803" i="1"/>
  <c r="X281" i="1"/>
  <c r="X29" i="1"/>
  <c r="X93" i="1"/>
  <c r="X246" i="1"/>
  <c r="X1034" i="1"/>
  <c r="X153" i="1"/>
  <c r="X751" i="1"/>
  <c r="X839" i="1"/>
  <c r="X856" i="1"/>
  <c r="X1019" i="1"/>
  <c r="X1030" i="1"/>
  <c r="X681" i="1"/>
  <c r="X637" i="1"/>
  <c r="X1177" i="1"/>
  <c r="K503" i="4"/>
  <c r="X294" i="1"/>
  <c r="X729" i="1"/>
  <c r="X665" i="1"/>
  <c r="X475" i="1"/>
  <c r="X701" i="1"/>
  <c r="X1024" i="1"/>
  <c r="X130" i="1"/>
  <c r="X306" i="1"/>
  <c r="X363" i="1"/>
  <c r="X689" i="1"/>
  <c r="X722" i="1"/>
  <c r="X1020" i="1"/>
  <c r="X227" i="1"/>
  <c r="X1182" i="1"/>
  <c r="X671" i="1"/>
  <c r="X837" i="1"/>
  <c r="X375" i="1"/>
  <c r="X512" i="1"/>
  <c r="X772" i="1"/>
  <c r="X372" i="1"/>
  <c r="X677" i="1"/>
  <c r="X1031" i="1"/>
  <c r="X511" i="1"/>
  <c r="X215" i="1"/>
  <c r="X682" i="1"/>
  <c r="X135" i="1"/>
  <c r="X257" i="1"/>
  <c r="X490" i="1"/>
  <c r="X381" i="1"/>
  <c r="X531" i="1"/>
  <c r="X125" i="1"/>
  <c r="X243" i="1"/>
  <c r="X351" i="1"/>
  <c r="X295" i="1"/>
  <c r="X352" i="1"/>
  <c r="X807" i="1"/>
  <c r="X652" i="1"/>
  <c r="X880" i="1"/>
  <c r="X271" i="1"/>
  <c r="X402" i="1"/>
  <c r="X386" i="1"/>
  <c r="X318" i="1"/>
  <c r="X289" i="1"/>
  <c r="X191" i="1"/>
  <c r="X821" i="1"/>
  <c r="X533" i="1"/>
  <c r="X763" i="1"/>
  <c r="X116" i="1"/>
  <c r="X409" i="1"/>
  <c r="X829" i="1"/>
  <c r="X143" i="1"/>
  <c r="X1040" i="1"/>
  <c r="X808" i="1"/>
  <c r="X226" i="1"/>
  <c r="X266" i="1"/>
  <c r="X101" i="1"/>
  <c r="X831" i="1"/>
  <c r="X764" i="1"/>
  <c r="X789" i="1"/>
  <c r="X889" i="1"/>
  <c r="X793" i="1"/>
  <c r="X685" i="1"/>
  <c r="X799" i="1"/>
  <c r="X630" i="1"/>
  <c r="X686" i="1"/>
  <c r="X122" i="1"/>
  <c r="X666" i="1"/>
  <c r="X720" i="1"/>
  <c r="X285" i="1"/>
  <c r="X787" i="1"/>
  <c r="X770" i="1"/>
  <c r="X392" i="1"/>
  <c r="X87" i="1"/>
  <c r="X884" i="1"/>
  <c r="X784" i="1"/>
  <c r="X699" i="1"/>
  <c r="X523" i="1"/>
  <c r="X137" i="1"/>
  <c r="X210" i="1"/>
  <c r="X526" i="1"/>
  <c r="X745" i="1"/>
  <c r="X638" i="1"/>
  <c r="X412" i="1"/>
  <c r="X796" i="1"/>
  <c r="X361" i="1"/>
  <c r="X780" i="1"/>
  <c r="X321" i="1"/>
  <c r="X675" i="1"/>
  <c r="X251" i="1"/>
  <c r="X259" i="1"/>
  <c r="X263" i="1"/>
  <c r="X642" i="1"/>
  <c r="X1066" i="1"/>
  <c r="X1174" i="1"/>
  <c r="N503" i="4"/>
  <c r="X625" i="1"/>
  <c r="X228" i="1"/>
  <c r="X739" i="1"/>
  <c r="X881" i="1"/>
  <c r="X697" i="1"/>
  <c r="X817" i="1"/>
  <c r="X267" i="1"/>
  <c r="X401" i="1"/>
  <c r="X1180" i="1"/>
  <c r="X650" i="1"/>
  <c r="X644" i="1"/>
  <c r="X110" i="1"/>
  <c r="X643" i="1"/>
  <c r="X753" i="1"/>
  <c r="X543" i="1"/>
  <c r="X668" i="1"/>
  <c r="X432" i="1"/>
  <c r="X1028" i="1"/>
  <c r="X194" i="1"/>
  <c r="X283" i="1"/>
  <c r="X734" i="1"/>
  <c r="X647" i="1"/>
  <c r="X754" i="1"/>
  <c r="X795" i="1"/>
  <c r="X667" i="1"/>
  <c r="X819" i="1"/>
  <c r="X1054" i="1"/>
  <c r="X636" i="1"/>
  <c r="X510" i="1"/>
  <c r="X509" i="1"/>
  <c r="X444" i="1"/>
  <c r="X221" i="1"/>
  <c r="X540" i="1"/>
  <c r="X834" i="1"/>
  <c r="X861" i="1"/>
  <c r="X348" i="1"/>
  <c r="X175" i="1"/>
  <c r="X752" i="1"/>
  <c r="X623" i="1"/>
  <c r="X705" i="1"/>
  <c r="X731" i="1"/>
  <c r="X539" i="1"/>
  <c r="X797" i="1"/>
  <c r="X501" i="1"/>
  <c r="X483" i="1"/>
  <c r="X522" i="1"/>
  <c r="L503" i="4"/>
  <c r="X515" i="1"/>
  <c r="X1187" i="1"/>
  <c r="AA450" i="4" a="1"/>
  <c r="AA450" i="4" s="1"/>
  <c r="H450" i="4"/>
  <c r="X1186" i="1"/>
  <c r="X741" i="1"/>
  <c r="X524" i="1"/>
  <c r="X1179" i="1"/>
  <c r="X707" i="1"/>
  <c r="X18" i="1"/>
  <c r="X492" i="1"/>
  <c r="X887" i="1"/>
  <c r="X99" i="1"/>
  <c r="X657" i="1"/>
  <c r="X162" i="1"/>
  <c r="X885" i="1"/>
  <c r="X468" i="1"/>
  <c r="X634" i="1"/>
  <c r="X220" i="1"/>
  <c r="X309" i="1"/>
  <c r="B40" i="12"/>
  <c r="A174" i="3" a="1"/>
  <c r="K183" i="3" a="1"/>
  <c r="B21" i="12"/>
  <c r="C32" i="12" s="1"/>
  <c r="D39" i="12" s="1"/>
  <c r="C20" i="12"/>
  <c r="E20" i="12" s="1"/>
  <c r="X2" i="1"/>
  <c r="X849" i="1"/>
  <c r="X288" i="1"/>
  <c r="X286" i="1"/>
  <c r="X708" i="1"/>
  <c r="X458" i="1"/>
  <c r="X694" i="1"/>
  <c r="X382" i="1"/>
  <c r="X113" i="1"/>
  <c r="X781" i="1"/>
  <c r="X658" i="1"/>
  <c r="X616" i="1"/>
  <c r="X653" i="1"/>
  <c r="X886" i="1"/>
  <c r="X106" i="1"/>
  <c r="X727" i="1"/>
  <c r="X830" i="1"/>
  <c r="X420" i="1"/>
  <c r="X683" i="1"/>
  <c r="X411" i="1"/>
  <c r="X209" i="1"/>
  <c r="X325" i="1"/>
  <c r="X129" i="1"/>
  <c r="X654" i="1"/>
  <c r="X805" i="1"/>
  <c r="X167" i="1"/>
  <c r="X160" i="1"/>
  <c r="X858" i="1"/>
  <c r="X1046" i="1"/>
  <c r="X800" i="1"/>
  <c r="X662" i="1"/>
  <c r="X663" i="1"/>
  <c r="X82" i="1"/>
  <c r="X747" i="1"/>
  <c r="X264" i="1"/>
  <c r="X693" i="1"/>
  <c r="X811" i="1"/>
  <c r="X749" i="1"/>
  <c r="X128" i="1"/>
  <c r="X377" i="1"/>
  <c r="X719" i="1"/>
  <c r="X1021" i="1"/>
  <c r="X203" i="1"/>
  <c r="X542" i="1"/>
  <c r="X645" i="1"/>
  <c r="X388" i="1"/>
  <c r="X765" i="1"/>
  <c r="X354" i="1"/>
  <c r="X1181" i="1"/>
  <c r="X702" i="1"/>
  <c r="X824" i="1"/>
  <c r="X290" i="1"/>
  <c r="X298" i="1"/>
  <c r="X632" i="1"/>
  <c r="X173" i="1"/>
  <c r="X692" i="1"/>
  <c r="X368" i="1"/>
  <c r="X1050" i="1"/>
  <c r="X841" i="1"/>
  <c r="I503" i="4"/>
  <c r="X19" i="1"/>
  <c r="X208" i="1"/>
  <c r="X360" i="1"/>
  <c r="X690" i="1"/>
  <c r="X816" i="1"/>
  <c r="X53" i="1"/>
  <c r="X801" i="1"/>
  <c r="X676" i="1"/>
  <c r="X384" i="1"/>
  <c r="X394" i="1"/>
  <c r="X1184" i="1"/>
  <c r="X329" i="1"/>
  <c r="X1049" i="1"/>
  <c r="X813" i="1"/>
  <c r="X766" i="1"/>
  <c r="X712" i="1"/>
  <c r="X737" i="1"/>
  <c r="X262" i="1"/>
  <c r="M134" i="3"/>
  <c r="M135" i="3" s="1"/>
  <c r="G144" i="3"/>
  <c r="L134" i="3"/>
  <c r="L135" i="3" s="1"/>
  <c r="K134" i="3"/>
  <c r="K135" i="3" s="1"/>
  <c r="I134" i="3"/>
  <c r="I135" i="3" s="1"/>
  <c r="J134" i="3"/>
  <c r="J135" i="3" s="1"/>
  <c r="F148" i="3"/>
  <c r="G148" i="3" s="1"/>
  <c r="G134" i="3"/>
  <c r="G135" i="3" s="1"/>
  <c r="H134" i="3"/>
  <c r="H135" i="3" s="1"/>
  <c r="AG9" i="13" a="1"/>
  <c r="AG17" i="13" s="1"/>
  <c r="N3" i="13"/>
  <c r="N5" i="13"/>
  <c r="L5" i="13"/>
  <c r="M10" i="13" s="1"/>
  <c r="L8" i="13"/>
  <c r="F39" i="13" s="1"/>
  <c r="X395" i="1" l="1"/>
  <c r="X812" i="1"/>
  <c r="X810" i="1"/>
  <c r="X313" i="1"/>
  <c r="X503" i="1"/>
  <c r="X678" i="1"/>
  <c r="X1057" i="1"/>
  <c r="X254" i="1"/>
  <c r="X762" i="1"/>
  <c r="X376" i="1"/>
  <c r="X316" i="1"/>
  <c r="X846" i="1"/>
  <c r="X367" i="1"/>
  <c r="X1061" i="1"/>
  <c r="X545" i="1"/>
  <c r="X1173" i="1"/>
  <c r="X1062" i="1"/>
  <c r="X550" i="1"/>
  <c r="X724" i="1"/>
  <c r="X547" i="1"/>
  <c r="X549" i="1"/>
  <c r="X36" i="1"/>
  <c r="X584" i="1"/>
  <c r="X166" i="1"/>
  <c r="X1185" i="1"/>
  <c r="X102" i="1"/>
  <c r="X641" i="1"/>
  <c r="X1178" i="1"/>
  <c r="X279" i="1"/>
  <c r="X1051" i="1"/>
  <c r="X248" i="1"/>
  <c r="X706" i="1"/>
  <c r="X1045" i="1"/>
  <c r="X669" i="1"/>
  <c r="X1176" i="1"/>
  <c r="X577" i="1"/>
  <c r="X35" i="1"/>
  <c r="X22" i="1"/>
  <c r="X589" i="1"/>
  <c r="X586" i="1"/>
  <c r="X605" i="1"/>
  <c r="X601" i="1"/>
  <c r="X574" i="1"/>
  <c r="X590" i="1"/>
  <c r="X565" i="1"/>
  <c r="X558" i="1"/>
  <c r="X599" i="1"/>
  <c r="X1052" i="1"/>
  <c r="X312" i="1"/>
  <c r="X308" i="1"/>
  <c r="X97" i="1"/>
  <c r="X730" i="1"/>
  <c r="X291" i="1"/>
  <c r="X758" i="1"/>
  <c r="X1058" i="1"/>
  <c r="X822" i="1"/>
  <c r="X380" i="1"/>
  <c r="X561" i="1"/>
  <c r="X594" i="1"/>
  <c r="X883" i="1"/>
  <c r="X69" i="1"/>
  <c r="X573" i="1"/>
  <c r="X572" i="1"/>
  <c r="X555" i="1"/>
  <c r="X610" i="1"/>
  <c r="X598" i="1"/>
  <c r="X597" i="1"/>
  <c r="X578" i="1"/>
  <c r="X568" i="1"/>
  <c r="X1067" i="1"/>
  <c r="X733" i="1"/>
  <c r="X695" i="1"/>
  <c r="X117" i="1"/>
  <c r="X852" i="1"/>
  <c r="X1059" i="1"/>
  <c r="X410" i="1"/>
  <c r="X204" i="1"/>
  <c r="X14" i="1"/>
  <c r="X767" i="1"/>
  <c r="X200" i="1"/>
  <c r="X319" i="1"/>
  <c r="X1071" i="1"/>
  <c r="X566" i="1"/>
  <c r="X592" i="1"/>
  <c r="X553" i="1"/>
  <c r="X585" i="1"/>
  <c r="X1068" i="1"/>
  <c r="X562" i="1"/>
  <c r="X570" i="1"/>
  <c r="X583" i="1"/>
  <c r="X591" i="1"/>
  <c r="X51" i="1"/>
  <c r="X560" i="1"/>
  <c r="X68" i="1"/>
  <c r="X1047" i="1"/>
  <c r="X743" i="1"/>
  <c r="X651" i="1"/>
  <c r="X673" i="1"/>
  <c r="X314" i="1"/>
  <c r="X536" i="1"/>
  <c r="X366" i="1"/>
  <c r="X56" i="1"/>
  <c r="X672" i="1"/>
  <c r="X847" i="1"/>
  <c r="X557" i="1"/>
  <c r="X603" i="1"/>
  <c r="X1064" i="1"/>
  <c r="X45" i="1"/>
  <c r="X548" i="1"/>
  <c r="X576" i="1"/>
  <c r="X442" i="1"/>
  <c r="X17" i="1"/>
  <c r="X563" i="1"/>
  <c r="X44" i="1"/>
  <c r="X611" i="1"/>
  <c r="X607" i="1"/>
  <c r="F145" i="3"/>
  <c r="F146" i="3" s="1"/>
  <c r="G146" i="3" s="1"/>
  <c r="X860" i="1"/>
  <c r="X756" i="1"/>
  <c r="X358" i="1"/>
  <c r="X247" i="1"/>
  <c r="X680" i="1"/>
  <c r="X854" i="1"/>
  <c r="X782" i="1"/>
  <c r="X1022" i="1"/>
  <c r="X49" i="1"/>
  <c r="X835" i="1"/>
  <c r="X569" i="1"/>
  <c r="X608" i="1"/>
  <c r="X604" i="1"/>
  <c r="X62" i="1"/>
  <c r="X551" i="1"/>
  <c r="X575" i="1"/>
  <c r="X593" i="1"/>
  <c r="X606" i="1"/>
  <c r="X552" i="1"/>
  <c r="X609" i="1"/>
  <c r="X1069" i="1"/>
  <c r="X311" i="1"/>
  <c r="X212" i="1"/>
  <c r="X274" i="1"/>
  <c r="X255" i="1"/>
  <c r="X310" i="1"/>
  <c r="X612" i="1"/>
  <c r="X853" i="1"/>
  <c r="X8" i="1"/>
  <c r="X567" i="1"/>
  <c r="X564" i="1"/>
  <c r="X554" i="1"/>
  <c r="X595" i="1"/>
  <c r="X600" i="1"/>
  <c r="X602" i="1"/>
  <c r="X433" i="1"/>
  <c r="X757" i="1"/>
  <c r="X580" i="1"/>
  <c r="X546" i="1"/>
  <c r="G36" i="12"/>
  <c r="C36" i="12"/>
  <c r="H36" i="12" s="1"/>
  <c r="G37" i="12"/>
  <c r="C38" i="12"/>
  <c r="G38" i="12"/>
  <c r="C39" i="12"/>
  <c r="G39" i="12"/>
  <c r="L183" i="3"/>
  <c r="L185" i="3"/>
  <c r="L187" i="3"/>
  <c r="L189" i="3"/>
  <c r="M183" i="3"/>
  <c r="M185" i="3"/>
  <c r="M187" i="3"/>
  <c r="M189" i="3"/>
  <c r="N183" i="3"/>
  <c r="N185" i="3"/>
  <c r="N187" i="3"/>
  <c r="N189" i="3"/>
  <c r="K183" i="3"/>
  <c r="K185" i="3"/>
  <c r="K187" i="3"/>
  <c r="K189" i="3"/>
  <c r="P183" i="3"/>
  <c r="L186" i="3"/>
  <c r="P188" i="3"/>
  <c r="Q183" i="3"/>
  <c r="M186" i="3"/>
  <c r="Q188" i="3"/>
  <c r="R183" i="3"/>
  <c r="N186" i="3"/>
  <c r="R188" i="3"/>
  <c r="O183" i="3"/>
  <c r="K186" i="3"/>
  <c r="O188" i="3"/>
  <c r="P184" i="3"/>
  <c r="L188" i="3"/>
  <c r="M184" i="3"/>
  <c r="Q187" i="3"/>
  <c r="Q190" i="3"/>
  <c r="R186" i="3"/>
  <c r="N190" i="3"/>
  <c r="O185" i="3"/>
  <c r="O189" i="3"/>
  <c r="P185" i="3"/>
  <c r="P189" i="3"/>
  <c r="Q184" i="3"/>
  <c r="M188" i="3"/>
  <c r="N184" i="3"/>
  <c r="R187" i="3"/>
  <c r="R190" i="3"/>
  <c r="O186" i="3"/>
  <c r="K190" i="3"/>
  <c r="L190" i="3"/>
  <c r="Q189" i="3"/>
  <c r="N188" i="3"/>
  <c r="O187" i="3"/>
  <c r="L184" i="3"/>
  <c r="P190" i="3"/>
  <c r="M190" i="3"/>
  <c r="R189" i="3"/>
  <c r="K188" i="3"/>
  <c r="P186" i="3"/>
  <c r="Q185" i="3"/>
  <c r="R184" i="3"/>
  <c r="K184" i="3"/>
  <c r="O190" i="3"/>
  <c r="P187" i="3"/>
  <c r="Q186" i="3"/>
  <c r="R185" i="3"/>
  <c r="O184" i="3"/>
  <c r="L10" i="13"/>
  <c r="D174" i="3"/>
  <c r="C174" i="3"/>
  <c r="B174" i="3"/>
  <c r="A174" i="3"/>
  <c r="E174" i="3"/>
  <c r="F174" i="3"/>
  <c r="H174" i="3"/>
  <c r="G174" i="3"/>
  <c r="F39" i="12"/>
  <c r="A39" i="12"/>
  <c r="F6" i="13"/>
  <c r="D36" i="12"/>
  <c r="F31" i="12"/>
  <c r="D37" i="12"/>
  <c r="D38" i="12"/>
  <c r="D40" i="12"/>
  <c r="B41" i="12"/>
  <c r="G41" i="12" s="1"/>
  <c r="G40" i="12"/>
  <c r="C40" i="12"/>
  <c r="F40" i="12" s="1"/>
  <c r="I450" i="4"/>
  <c r="K5" i="5"/>
  <c r="L5" i="5" s="1"/>
  <c r="AG11" i="13"/>
  <c r="AG16" i="13"/>
  <c r="AG12" i="13"/>
  <c r="AG13" i="13"/>
  <c r="AG14" i="13"/>
  <c r="AG19" i="13"/>
  <c r="AG10" i="13"/>
  <c r="AG18" i="13"/>
  <c r="AG15" i="13"/>
  <c r="AG9" i="13"/>
  <c r="M9" i="13" a="1"/>
  <c r="M9" i="13" s="1"/>
  <c r="F5" i="13"/>
  <c r="F40" i="13"/>
  <c r="E40" i="13" s="1"/>
  <c r="U40" i="13" s="1"/>
  <c r="W40" i="13" s="1"/>
  <c r="F27" i="13"/>
  <c r="F11" i="13"/>
  <c r="F28" i="13"/>
  <c r="F4" i="13"/>
  <c r="F43" i="13"/>
  <c r="F24" i="13"/>
  <c r="F8" i="13"/>
  <c r="F15" i="13"/>
  <c r="F25" i="13"/>
  <c r="E25" i="13" s="1"/>
  <c r="U25" i="13" s="1"/>
  <c r="W25" i="13" s="1"/>
  <c r="F45" i="13"/>
  <c r="F32" i="13"/>
  <c r="F7" i="13"/>
  <c r="F29" i="13"/>
  <c r="E29" i="13" s="1"/>
  <c r="U29" i="13" s="1"/>
  <c r="W29" i="13" s="1"/>
  <c r="F19" i="13"/>
  <c r="F14" i="13"/>
  <c r="F37" i="13"/>
  <c r="F41" i="13"/>
  <c r="E41" i="13" s="1"/>
  <c r="U41" i="13" s="1"/>
  <c r="W41" i="13" s="1"/>
  <c r="F23" i="13"/>
  <c r="M4" i="13"/>
  <c r="F22" i="13"/>
  <c r="F10" i="13"/>
  <c r="F13" i="13"/>
  <c r="F16" i="13"/>
  <c r="E16" i="13" s="1"/>
  <c r="U16" i="13" s="1"/>
  <c r="W16" i="13" s="1"/>
  <c r="F3" i="13"/>
  <c r="F35" i="13"/>
  <c r="F44" i="13"/>
  <c r="F9" i="13"/>
  <c r="E9" i="13" s="1"/>
  <c r="U9" i="13" s="1"/>
  <c r="W9" i="13" s="1"/>
  <c r="F26" i="13"/>
  <c r="E26" i="13" s="1"/>
  <c r="U26" i="13" s="1"/>
  <c r="W26" i="13" s="1"/>
  <c r="F21" i="13"/>
  <c r="F31" i="13"/>
  <c r="F20" i="13"/>
  <c r="E20" i="13" s="1"/>
  <c r="U20" i="13" s="1"/>
  <c r="W20" i="13" s="1"/>
  <c r="F33" i="13"/>
  <c r="E33" i="13" s="1"/>
  <c r="U33" i="13" s="1"/>
  <c r="W33" i="13" s="1"/>
  <c r="F18" i="13"/>
  <c r="F36" i="13"/>
  <c r="F30" i="13"/>
  <c r="F34" i="13"/>
  <c r="E34" i="13" s="1"/>
  <c r="U34" i="13" s="1"/>
  <c r="W34" i="13" s="1"/>
  <c r="F38" i="13"/>
  <c r="F17" i="13"/>
  <c r="F12" i="13"/>
  <c r="F42" i="13"/>
  <c r="E42" i="13" s="1"/>
  <c r="U42" i="13" s="1"/>
  <c r="W42" i="13" s="1"/>
  <c r="L439" i="4" l="1"/>
  <c r="O439" i="4" s="1"/>
  <c r="L438" i="4"/>
  <c r="O438" i="4" s="1"/>
  <c r="L448" i="4"/>
  <c r="O448" i="4" s="1"/>
  <c r="E6" i="13"/>
  <c r="U6" i="13" s="1"/>
  <c r="W6" i="13" s="1"/>
  <c r="L446" i="4"/>
  <c r="O446" i="4" s="1"/>
  <c r="L443" i="4"/>
  <c r="O443" i="4" s="1"/>
  <c r="E37" i="13"/>
  <c r="U37" i="13" s="1"/>
  <c r="W37" i="13" s="1"/>
  <c r="E15" i="13"/>
  <c r="U15" i="13" s="1"/>
  <c r="W15" i="13" s="1"/>
  <c r="L437" i="4"/>
  <c r="O437" i="4" s="1"/>
  <c r="L442" i="4"/>
  <c r="O442" i="4" s="1"/>
  <c r="L441" i="4"/>
  <c r="O441" i="4" s="1"/>
  <c r="L433" i="4"/>
  <c r="E12" i="13"/>
  <c r="U12" i="13" s="1"/>
  <c r="W12" i="13" s="1"/>
  <c r="L436" i="4"/>
  <c r="O436" i="4" s="1"/>
  <c r="L444" i="4"/>
  <c r="O444" i="4" s="1"/>
  <c r="L434" i="4"/>
  <c r="O434" i="4" s="1"/>
  <c r="L435" i="4"/>
  <c r="O435" i="4" s="1"/>
  <c r="E22" i="13"/>
  <c r="U22" i="13" s="1"/>
  <c r="W22" i="13" s="1"/>
  <c r="L447" i="4"/>
  <c r="O447" i="4" s="1"/>
  <c r="L445" i="4"/>
  <c r="O445" i="4" s="1"/>
  <c r="L440" i="4"/>
  <c r="O440" i="4" s="1"/>
  <c r="F38" i="12"/>
  <c r="A38" i="12"/>
  <c r="E7" i="13"/>
  <c r="U7" i="13" s="1"/>
  <c r="W7" i="13" s="1"/>
  <c r="A37" i="12"/>
  <c r="F37" i="12"/>
  <c r="E36" i="13"/>
  <c r="U36" i="13" s="1"/>
  <c r="W36" i="13" s="1"/>
  <c r="B42" i="12"/>
  <c r="D41" i="12"/>
  <c r="C41" i="12"/>
  <c r="O433" i="4"/>
  <c r="H37" i="12"/>
  <c r="H38" i="12" s="1"/>
  <c r="H39" i="12" s="1"/>
  <c r="H40" i="12" s="1"/>
  <c r="H41" i="12" s="1"/>
  <c r="A40" i="12"/>
  <c r="F36" i="12"/>
  <c r="A36" i="12"/>
  <c r="K193" i="3" a="1"/>
  <c r="AH13" i="13"/>
  <c r="AH10" i="13"/>
  <c r="AH17" i="13"/>
  <c r="AH18" i="13"/>
  <c r="AH11" i="13"/>
  <c r="AH15" i="13"/>
  <c r="AH16" i="13"/>
  <c r="AH12" i="13"/>
  <c r="AH9" i="13"/>
  <c r="AH19" i="13"/>
  <c r="AH14" i="13"/>
  <c r="M8" i="13"/>
  <c r="E43" i="13"/>
  <c r="U43" i="13" s="1"/>
  <c r="W43" i="13" s="1"/>
  <c r="E27" i="13"/>
  <c r="U27" i="13" s="1"/>
  <c r="W27" i="13" s="1"/>
  <c r="E4" i="13"/>
  <c r="E17" i="13"/>
  <c r="U17" i="13" s="1"/>
  <c r="W17" i="13" s="1"/>
  <c r="E31" i="13"/>
  <c r="U31" i="13" s="1"/>
  <c r="W31" i="13" s="1"/>
  <c r="E44" i="13"/>
  <c r="U44" i="13" s="1"/>
  <c r="W44" i="13" s="1"/>
  <c r="E13" i="13"/>
  <c r="U13" i="13" s="1"/>
  <c r="W13" i="13" s="1"/>
  <c r="E23" i="13"/>
  <c r="U23" i="13" s="1"/>
  <c r="W23" i="13" s="1"/>
  <c r="E14" i="13"/>
  <c r="U14" i="13" s="1"/>
  <c r="W14" i="13" s="1"/>
  <c r="E32" i="13"/>
  <c r="U32" i="13" s="1"/>
  <c r="W32" i="13" s="1"/>
  <c r="E8" i="13"/>
  <c r="U8" i="13" s="1"/>
  <c r="W8" i="13" s="1"/>
  <c r="E28" i="13"/>
  <c r="U28" i="13" s="1"/>
  <c r="W28" i="13" s="1"/>
  <c r="E5" i="13"/>
  <c r="U5" i="13" s="1"/>
  <c r="W5" i="13" s="1"/>
  <c r="E30" i="13"/>
  <c r="U30" i="13" s="1"/>
  <c r="W30" i="13" s="1"/>
  <c r="E38" i="13"/>
  <c r="U38" i="13" s="1"/>
  <c r="W38" i="13" s="1"/>
  <c r="E18" i="13"/>
  <c r="U18" i="13" s="1"/>
  <c r="W18" i="13" s="1"/>
  <c r="E21" i="13"/>
  <c r="U21" i="13" s="1"/>
  <c r="W21" i="13" s="1"/>
  <c r="E35" i="13"/>
  <c r="U35" i="13" s="1"/>
  <c r="W35" i="13" s="1"/>
  <c r="E10" i="13"/>
  <c r="U10" i="13" s="1"/>
  <c r="W10" i="13" s="1"/>
  <c r="E19" i="13"/>
  <c r="U19" i="13" s="1"/>
  <c r="W19" i="13" s="1"/>
  <c r="E45" i="13"/>
  <c r="E24" i="13"/>
  <c r="U24" i="13" s="1"/>
  <c r="W24" i="13" s="1"/>
  <c r="E11" i="13"/>
  <c r="U11" i="13" s="1"/>
  <c r="W11" i="13" s="1"/>
  <c r="E39" i="13"/>
  <c r="U39" i="13" s="1"/>
  <c r="W39" i="13" s="1"/>
  <c r="L450" i="4" l="1"/>
  <c r="O450" i="4"/>
  <c r="A41" i="12"/>
  <c r="F41" i="12"/>
  <c r="G42" i="12"/>
  <c r="C42" i="12"/>
  <c r="H42" i="12" s="1"/>
  <c r="B43" i="12"/>
  <c r="D42" i="12"/>
  <c r="M199" i="3"/>
  <c r="M197" i="3"/>
  <c r="M195" i="3"/>
  <c r="M193" i="3"/>
  <c r="O198" i="3"/>
  <c r="R195" i="3"/>
  <c r="L193" i="3"/>
  <c r="K198" i="3"/>
  <c r="N194" i="3"/>
  <c r="P198" i="3"/>
  <c r="K195" i="3"/>
  <c r="L198" i="3"/>
  <c r="N199" i="3"/>
  <c r="R200" i="3"/>
  <c r="N198" i="3"/>
  <c r="K193" i="3"/>
  <c r="Q199" i="3"/>
  <c r="Q196" i="3"/>
  <c r="M194" i="3"/>
  <c r="L199" i="3"/>
  <c r="L195" i="3"/>
  <c r="P199" i="3"/>
  <c r="N195" i="3"/>
  <c r="P197" i="3"/>
  <c r="N193" i="3"/>
  <c r="N197" i="3"/>
  <c r="K199" i="3"/>
  <c r="R194" i="3"/>
  <c r="M200" i="3"/>
  <c r="M196" i="3"/>
  <c r="O200" i="3"/>
  <c r="O196" i="3"/>
  <c r="R198" i="3"/>
  <c r="N200" i="3"/>
  <c r="L194" i="3"/>
  <c r="O197" i="3"/>
  <c r="P193" i="3"/>
  <c r="Q198" i="3"/>
  <c r="Q195" i="3"/>
  <c r="R199" i="3"/>
  <c r="O194" i="3"/>
  <c r="K197" i="3"/>
  <c r="O199" i="3"/>
  <c r="K200" i="3"/>
  <c r="P195" i="3"/>
  <c r="P196" i="3"/>
  <c r="Q194" i="3"/>
  <c r="R193" i="3"/>
  <c r="R196" i="3"/>
  <c r="K194" i="3"/>
  <c r="Q200" i="3"/>
  <c r="Q193" i="3"/>
  <c r="P200" i="3"/>
  <c r="K196" i="3"/>
  <c r="O195" i="3"/>
  <c r="M198" i="3"/>
  <c r="R197" i="3"/>
  <c r="L196" i="3"/>
  <c r="N196" i="3"/>
  <c r="L200" i="3"/>
  <c r="P194" i="3"/>
  <c r="Q197" i="3"/>
  <c r="L197" i="3"/>
  <c r="O193" i="3"/>
  <c r="AI16" i="13"/>
  <c r="AI15" i="13"/>
  <c r="AI10" i="13"/>
  <c r="AI19" i="13"/>
  <c r="AI13" i="13"/>
  <c r="AI12" i="13"/>
  <c r="AI17" i="13"/>
  <c r="AI11" i="13"/>
  <c r="AI9" i="13"/>
  <c r="AI18" i="13"/>
  <c r="AI14" i="13"/>
  <c r="K4" i="13" a="1"/>
  <c r="K4" i="13" s="1"/>
  <c r="L4" i="13" s="1" a="1"/>
  <c r="U4" i="13"/>
  <c r="W4" i="13" s="1"/>
  <c r="N8" i="13" s="1"/>
  <c r="O8" i="13" s="1"/>
  <c r="K205" i="3" l="1" a="1"/>
  <c r="A42" i="12"/>
  <c r="F42" i="12"/>
  <c r="D43" i="12"/>
  <c r="G43" i="12"/>
  <c r="B44" i="12"/>
  <c r="C43" i="12"/>
  <c r="H43" i="12" s="1"/>
  <c r="L4" i="13"/>
  <c r="N4" i="13"/>
  <c r="C44" i="12" l="1"/>
  <c r="D44" i="12"/>
  <c r="G44" i="12"/>
  <c r="B45" i="12"/>
  <c r="R205" i="3"/>
  <c r="Q205" i="3"/>
  <c r="K205" i="3"/>
  <c r="N205" i="3"/>
  <c r="M205" i="3"/>
  <c r="P205" i="3"/>
  <c r="O205" i="3"/>
  <c r="L205" i="3"/>
  <c r="A43" i="12"/>
  <c r="F43" i="12"/>
  <c r="H44" i="12"/>
  <c r="B46" i="12" l="1"/>
  <c r="D45" i="12"/>
  <c r="C45" i="12"/>
  <c r="H45" i="12" s="1"/>
  <c r="G45" i="12"/>
  <c r="A185" i="3" a="1"/>
  <c r="A185" i="3" s="1"/>
  <c r="A44" i="12"/>
  <c r="F44" i="12"/>
  <c r="F45" i="12" l="1"/>
  <c r="A45" i="12"/>
  <c r="D46" i="12"/>
  <c r="G46" i="12"/>
  <c r="B47" i="12"/>
  <c r="C46" i="12"/>
  <c r="H46" i="12" s="1"/>
  <c r="A46" i="12" l="1"/>
  <c r="F46" i="12"/>
  <c r="B48" i="12"/>
  <c r="G47" i="12"/>
  <c r="D47" i="12"/>
  <c r="C47" i="12"/>
  <c r="H47" i="12" s="1"/>
  <c r="B49" i="12" l="1"/>
  <c r="D48" i="12"/>
  <c r="G48" i="12"/>
  <c r="C48" i="12"/>
  <c r="H48" i="12" s="1"/>
  <c r="F47" i="12"/>
  <c r="A47" i="12"/>
  <c r="F48" i="12" l="1"/>
  <c r="A48" i="12"/>
  <c r="C49" i="12"/>
  <c r="H49" i="12" s="1"/>
  <c r="G49" i="12"/>
  <c r="D49" i="12"/>
  <c r="B50" i="12"/>
  <c r="B51" i="12" l="1"/>
  <c r="G50" i="12"/>
  <c r="D50" i="12"/>
  <c r="C50" i="12"/>
  <c r="H50" i="12" s="1"/>
  <c r="A49" i="12"/>
  <c r="F49" i="12"/>
  <c r="F50" i="12" l="1"/>
  <c r="A50" i="12"/>
  <c r="B52" i="12"/>
  <c r="D51" i="12"/>
  <c r="C51" i="12"/>
  <c r="H51" i="12" s="1"/>
  <c r="G51" i="12"/>
  <c r="D52" i="12" l="1"/>
  <c r="G52" i="12"/>
  <c r="B53" i="12"/>
  <c r="C52" i="12"/>
  <c r="H52" i="12" s="1"/>
  <c r="A51" i="12"/>
  <c r="F51" i="12"/>
  <c r="B54" i="12" l="1"/>
  <c r="D53" i="12"/>
  <c r="C53" i="12"/>
  <c r="H53" i="12" s="1"/>
  <c r="G53" i="12"/>
  <c r="A52" i="12"/>
  <c r="F52" i="12"/>
  <c r="F53" i="12" l="1"/>
  <c r="A53" i="12"/>
  <c r="G54" i="12"/>
  <c r="D54" i="12"/>
  <c r="B55" i="12"/>
  <c r="C54" i="12"/>
  <c r="H54" i="12" s="1"/>
  <c r="B56" i="12" l="1"/>
  <c r="G55" i="12"/>
  <c r="D55" i="12"/>
  <c r="C55" i="12"/>
  <c r="H55" i="12" s="1"/>
  <c r="A54" i="12"/>
  <c r="F54" i="12"/>
  <c r="A55" i="12" l="1"/>
  <c r="F55" i="12"/>
  <c r="C56" i="12"/>
  <c r="H56" i="12" s="1"/>
  <c r="D56" i="12"/>
  <c r="G56" i="12"/>
  <c r="B57" i="12"/>
  <c r="A56" i="12" l="1"/>
  <c r="F56" i="12"/>
  <c r="B58" i="12"/>
  <c r="C57" i="12"/>
  <c r="H57" i="12" s="1"/>
  <c r="D57" i="12"/>
  <c r="G57" i="12"/>
  <c r="F57" i="12" l="1"/>
  <c r="A57" i="12"/>
  <c r="C58" i="12"/>
  <c r="H58" i="12" s="1"/>
  <c r="B59" i="12"/>
  <c r="D58" i="12"/>
  <c r="G58" i="12"/>
  <c r="B60" i="12" l="1"/>
  <c r="C59" i="12"/>
  <c r="H59" i="12" s="1"/>
  <c r="G59" i="12"/>
  <c r="D59" i="12"/>
  <c r="A58" i="12"/>
  <c r="F58" i="12"/>
  <c r="C60" i="12" l="1"/>
  <c r="H60" i="12" s="1"/>
  <c r="B61" i="12"/>
  <c r="G60" i="12"/>
  <c r="D60" i="12"/>
  <c r="A59" i="12"/>
  <c r="F59" i="12"/>
  <c r="A60" i="12" l="1"/>
  <c r="F60" i="12"/>
  <c r="B62" i="12"/>
  <c r="D61" i="12"/>
  <c r="C61" i="12"/>
  <c r="H61" i="12" s="1"/>
  <c r="G61" i="12"/>
  <c r="F61" i="12" l="1"/>
  <c r="A61" i="12"/>
  <c r="C62" i="12"/>
  <c r="H62" i="12" s="1"/>
  <c r="G62" i="12"/>
  <c r="D62" i="12"/>
  <c r="B63" i="12"/>
  <c r="C63" i="12" l="1"/>
  <c r="H63" i="12" s="1"/>
  <c r="D63" i="12"/>
  <c r="B64" i="12"/>
  <c r="G63" i="12"/>
  <c r="F62" i="12"/>
  <c r="A62" i="12"/>
  <c r="B65" i="12" l="1"/>
  <c r="D64" i="12"/>
  <c r="G64" i="12"/>
  <c r="C64" i="12"/>
  <c r="H64" i="12" s="1"/>
  <c r="F63" i="12"/>
  <c r="A63" i="12"/>
  <c r="F64" i="12" l="1"/>
  <c r="A64" i="12"/>
  <c r="C65" i="12"/>
  <c r="H65" i="12" s="1"/>
  <c r="B66" i="12"/>
  <c r="D65" i="12"/>
  <c r="G65" i="12"/>
  <c r="F65" i="12" l="1"/>
  <c r="A65" i="12"/>
  <c r="C66" i="12"/>
  <c r="H66" i="12" s="1"/>
  <c r="B67" i="12"/>
  <c r="D66" i="12"/>
  <c r="G66" i="12"/>
  <c r="F66" i="12" l="1"/>
  <c r="A66" i="12"/>
  <c r="B68" i="12"/>
  <c r="G67" i="12"/>
  <c r="D67" i="12"/>
  <c r="C67" i="12"/>
  <c r="H67" i="12" s="1"/>
  <c r="C68" i="12" l="1"/>
  <c r="H68" i="12" s="1"/>
  <c r="D68" i="12"/>
  <c r="B69" i="12"/>
  <c r="G68" i="12"/>
  <c r="A67" i="12"/>
  <c r="F67" i="12"/>
  <c r="F68" i="12" l="1"/>
  <c r="A68" i="12"/>
  <c r="B70" i="12"/>
  <c r="D69" i="12"/>
  <c r="C69" i="12"/>
  <c r="H69" i="12" s="1"/>
  <c r="G69" i="12"/>
  <c r="B71" i="12" l="1"/>
  <c r="D70" i="12"/>
  <c r="G70" i="12"/>
  <c r="C70" i="12"/>
  <c r="H70" i="12" s="1"/>
  <c r="F69" i="12"/>
  <c r="A69" i="12"/>
  <c r="A70" i="12" l="1"/>
  <c r="F70" i="12"/>
  <c r="D71" i="12"/>
  <c r="B72" i="12"/>
  <c r="C71" i="12"/>
  <c r="H71" i="12" s="1"/>
  <c r="G71" i="12"/>
  <c r="A71" i="12" l="1"/>
  <c r="F71" i="12"/>
  <c r="B73" i="12"/>
  <c r="G72" i="12"/>
  <c r="D72" i="12"/>
  <c r="C72" i="12"/>
  <c r="H72" i="12" s="1"/>
  <c r="D73" i="12" l="1"/>
  <c r="B74" i="12"/>
  <c r="C73" i="12"/>
  <c r="H73" i="12" s="1"/>
  <c r="G73" i="12"/>
  <c r="F72" i="12"/>
  <c r="A72" i="12"/>
  <c r="B75" i="12" l="1"/>
  <c r="G74" i="12"/>
  <c r="D74" i="12"/>
  <c r="C74" i="12"/>
  <c r="H74" i="12" s="1"/>
  <c r="A73" i="12"/>
  <c r="F73" i="12"/>
  <c r="A74" i="12" l="1"/>
  <c r="F74" i="12"/>
  <c r="G75" i="12"/>
  <c r="B76" i="12"/>
  <c r="C75" i="12"/>
  <c r="H75" i="12" s="1"/>
  <c r="D75" i="12"/>
  <c r="A75" i="12" l="1"/>
  <c r="F75" i="12"/>
  <c r="B77" i="12"/>
  <c r="G76" i="12"/>
  <c r="C76" i="12"/>
  <c r="H76" i="12" s="1"/>
  <c r="D76" i="12"/>
  <c r="G77" i="12" l="1"/>
  <c r="D77" i="12"/>
  <c r="B78" i="12"/>
  <c r="C77" i="12"/>
  <c r="H77" i="12" s="1"/>
  <c r="F76" i="12"/>
  <c r="A76" i="12"/>
  <c r="D78" i="12" l="1"/>
  <c r="G78" i="12"/>
  <c r="C78" i="12"/>
  <c r="H78" i="12" s="1"/>
  <c r="B79" i="12"/>
  <c r="F77" i="12"/>
  <c r="A77" i="12"/>
  <c r="F78" i="12" l="1"/>
  <c r="A78" i="12"/>
  <c r="B80" i="12"/>
  <c r="D79" i="12"/>
  <c r="C79" i="12"/>
  <c r="H79" i="12" s="1"/>
  <c r="G79" i="12"/>
  <c r="G80" i="12" l="1"/>
  <c r="B81" i="12"/>
  <c r="D80" i="12"/>
  <c r="C80" i="12"/>
  <c r="H80" i="12" s="1"/>
  <c r="A79" i="12"/>
  <c r="F79" i="12"/>
  <c r="A80" i="12" l="1"/>
  <c r="F80" i="12"/>
  <c r="D81" i="12"/>
  <c r="G81" i="12"/>
  <c r="C81" i="12"/>
  <c r="H81" i="12" s="1"/>
  <c r="B82" i="12"/>
  <c r="F81" i="12" l="1"/>
  <c r="A81" i="12"/>
  <c r="B83" i="12"/>
  <c r="G82" i="12"/>
  <c r="D82" i="12"/>
  <c r="C82" i="12"/>
  <c r="H82" i="12" s="1"/>
  <c r="B84" i="12" l="1"/>
  <c r="C83" i="12"/>
  <c r="H83" i="12" s="1"/>
  <c r="G83" i="12"/>
  <c r="D83" i="12"/>
  <c r="F82" i="12"/>
  <c r="A82" i="12"/>
  <c r="D84" i="12" l="1"/>
  <c r="G84" i="12"/>
  <c r="C84" i="12"/>
  <c r="H84" i="12" s="1"/>
  <c r="B85" i="12"/>
  <c r="A83" i="12"/>
  <c r="F83" i="12"/>
  <c r="A84" i="12" l="1"/>
  <c r="F84" i="12"/>
  <c r="B86" i="12"/>
  <c r="C85" i="12"/>
  <c r="H85" i="12" s="1"/>
  <c r="G85" i="12"/>
  <c r="D85" i="12"/>
  <c r="G86" i="12" l="1"/>
  <c r="D86" i="12"/>
  <c r="C86" i="12"/>
  <c r="H86" i="12" s="1"/>
  <c r="B87" i="12"/>
  <c r="F85" i="12"/>
  <c r="A85" i="12"/>
  <c r="A86" i="12" l="1"/>
  <c r="F86" i="12"/>
  <c r="B88" i="12"/>
  <c r="D87" i="12"/>
  <c r="C87" i="12"/>
  <c r="H87" i="12" s="1"/>
  <c r="G87" i="12"/>
  <c r="C88" i="12" l="1"/>
  <c r="H88" i="12" s="1"/>
  <c r="D88" i="12"/>
  <c r="B89" i="12"/>
  <c r="G88" i="12"/>
  <c r="A87" i="12"/>
  <c r="F87" i="12"/>
  <c r="B90" i="12" l="1"/>
  <c r="C89" i="12"/>
  <c r="G89" i="12"/>
  <c r="D89" i="12"/>
  <c r="A88" i="12"/>
  <c r="F88" i="12"/>
  <c r="H89" i="12"/>
  <c r="F89" i="12" l="1"/>
  <c r="A89" i="12"/>
  <c r="G90" i="12"/>
  <c r="B91" i="12"/>
  <c r="C90" i="12"/>
  <c r="H90" i="12" s="1"/>
  <c r="D90" i="12"/>
  <c r="A90" i="12" l="1"/>
  <c r="F90" i="12"/>
  <c r="B92" i="12"/>
  <c r="C91" i="12"/>
  <c r="H91" i="12" s="1"/>
  <c r="D91" i="12"/>
  <c r="G91" i="12"/>
  <c r="C92" i="12" l="1"/>
  <c r="H92" i="12" s="1"/>
  <c r="B93" i="12"/>
  <c r="D92" i="12"/>
  <c r="G92" i="12"/>
  <c r="A91" i="12"/>
  <c r="F91" i="12"/>
  <c r="A92" i="12" l="1"/>
  <c r="F92" i="12"/>
  <c r="B94" i="12"/>
  <c r="D93" i="12"/>
  <c r="G93" i="12"/>
  <c r="C93" i="12"/>
  <c r="H93" i="12" s="1"/>
  <c r="G94" i="12" l="1"/>
  <c r="C94" i="12"/>
  <c r="H94" i="12" s="1"/>
  <c r="D94" i="12"/>
  <c r="B95" i="12"/>
  <c r="F93" i="12"/>
  <c r="A93" i="12"/>
  <c r="A94" i="12" l="1"/>
  <c r="F94" i="12"/>
  <c r="C95" i="12"/>
  <c r="H95" i="12" s="1"/>
  <c r="G95" i="12"/>
  <c r="D95" i="12"/>
  <c r="B96" i="12"/>
  <c r="D96" i="12" l="1"/>
  <c r="B97" i="12"/>
  <c r="C96" i="12"/>
  <c r="H96" i="12" s="1"/>
  <c r="G96" i="12"/>
  <c r="F95" i="12"/>
  <c r="A95" i="12"/>
  <c r="B98" i="12" l="1"/>
  <c r="G97" i="12"/>
  <c r="D97" i="12"/>
  <c r="C97" i="12"/>
  <c r="H97" i="12" s="1"/>
  <c r="A96" i="12"/>
  <c r="F96" i="12"/>
  <c r="G98" i="12" l="1"/>
  <c r="C98" i="12"/>
  <c r="H98" i="12" s="1"/>
  <c r="D98" i="12"/>
  <c r="B99" i="12"/>
  <c r="F97" i="12"/>
  <c r="A97" i="12"/>
  <c r="F98" i="12" l="1"/>
  <c r="A98" i="12"/>
  <c r="B100" i="12"/>
  <c r="G99" i="12"/>
  <c r="D99" i="12"/>
  <c r="C99" i="12"/>
  <c r="H99" i="12" s="1"/>
  <c r="D100" i="12" l="1"/>
  <c r="G100" i="12"/>
  <c r="B101" i="12"/>
  <c r="C100" i="12"/>
  <c r="H100" i="12" s="1"/>
  <c r="A99" i="12"/>
  <c r="F99" i="12"/>
  <c r="B102" i="12" l="1"/>
  <c r="G101" i="12"/>
  <c r="D101" i="12"/>
  <c r="C101" i="12"/>
  <c r="H101" i="12" s="1"/>
  <c r="A100" i="12"/>
  <c r="F100" i="12"/>
  <c r="F101" i="12" l="1"/>
  <c r="A101" i="12"/>
  <c r="G102" i="12"/>
  <c r="B103" i="12"/>
  <c r="D102" i="12"/>
  <c r="C102" i="12"/>
  <c r="H102" i="12" s="1"/>
  <c r="A102" i="12" l="1"/>
  <c r="F102" i="12"/>
  <c r="D103" i="12"/>
  <c r="G103" i="12"/>
  <c r="B104" i="12"/>
  <c r="C103" i="12"/>
  <c r="H103" i="12" s="1"/>
  <c r="A103" i="12" l="1"/>
  <c r="F103" i="12"/>
  <c r="D104" i="12"/>
  <c r="G104" i="12"/>
  <c r="B105" i="12"/>
  <c r="C104" i="12"/>
  <c r="H104" i="12" s="1"/>
  <c r="A104" i="12" l="1"/>
  <c r="F104" i="12"/>
  <c r="B106" i="12"/>
  <c r="C105" i="12"/>
  <c r="H105" i="12" s="1"/>
  <c r="G105" i="12"/>
  <c r="D105" i="12"/>
  <c r="C106" i="12" l="1"/>
  <c r="H106" i="12" s="1"/>
  <c r="D106" i="12"/>
  <c r="G106" i="12"/>
  <c r="B107" i="12"/>
  <c r="F105" i="12"/>
  <c r="A105" i="12"/>
  <c r="A106" i="12" l="1"/>
  <c r="F106" i="12"/>
  <c r="G107" i="12"/>
  <c r="D107" i="12"/>
  <c r="B108" i="12"/>
  <c r="C107" i="12"/>
  <c r="H107" i="12" s="1"/>
  <c r="B109" i="12" l="1"/>
  <c r="G108" i="12"/>
  <c r="C108" i="12"/>
  <c r="H108" i="12" s="1"/>
  <c r="D108" i="12"/>
  <c r="A107" i="12"/>
  <c r="F107" i="12"/>
  <c r="G109" i="12" l="1"/>
  <c r="C109" i="12"/>
  <c r="H109" i="12" s="1"/>
  <c r="D109" i="12"/>
  <c r="B110" i="12"/>
  <c r="F108" i="12"/>
  <c r="A108" i="12"/>
  <c r="A109" i="12" l="1"/>
  <c r="F109" i="12"/>
  <c r="D110" i="12"/>
  <c r="G110" i="12"/>
  <c r="C110" i="12"/>
  <c r="H110" i="12" s="1"/>
  <c r="B111" i="12"/>
  <c r="A110" i="12" l="1"/>
  <c r="F110" i="12"/>
  <c r="B112" i="12"/>
  <c r="D111" i="12"/>
  <c r="G111" i="12"/>
  <c r="C111" i="12"/>
  <c r="H111" i="12" s="1"/>
  <c r="G112" i="12" l="1"/>
  <c r="C112" i="12"/>
  <c r="H112" i="12" s="1"/>
  <c r="D112" i="12"/>
  <c r="B113" i="12"/>
  <c r="A111" i="12"/>
  <c r="F111" i="12"/>
  <c r="F112" i="12" l="1"/>
  <c r="A112" i="12"/>
  <c r="C113" i="12"/>
  <c r="H113" i="12" s="1"/>
  <c r="G113" i="12"/>
  <c r="D113" i="12"/>
  <c r="B114" i="12"/>
  <c r="D114" i="12" l="1"/>
  <c r="G114" i="12"/>
  <c r="B115" i="12"/>
  <c r="C114" i="12"/>
  <c r="H114" i="12" s="1"/>
  <c r="A113" i="12"/>
  <c r="F113" i="12"/>
  <c r="F114" i="12" l="1"/>
  <c r="A114" i="12"/>
  <c r="B116" i="12"/>
  <c r="G115" i="12"/>
  <c r="D115" i="12"/>
  <c r="C115" i="12"/>
  <c r="H115" i="12" s="1"/>
  <c r="C116" i="12" l="1"/>
  <c r="H116" i="12" s="1"/>
  <c r="G116" i="12"/>
  <c r="D116" i="12"/>
  <c r="B117" i="12"/>
  <c r="A115" i="12"/>
  <c r="F115" i="12"/>
  <c r="B118" i="12" l="1"/>
  <c r="G117" i="12"/>
  <c r="D117" i="12"/>
  <c r="C117" i="12"/>
  <c r="H117" i="12" s="1"/>
  <c r="F116" i="12"/>
  <c r="A116" i="12"/>
  <c r="F117" i="12" l="1"/>
  <c r="A117" i="12"/>
  <c r="D118" i="12"/>
  <c r="C118" i="12"/>
  <c r="H118" i="12" s="1"/>
  <c r="B119" i="12"/>
  <c r="G118" i="12"/>
  <c r="A118" i="12" l="1"/>
  <c r="F118" i="12"/>
  <c r="B120" i="12"/>
  <c r="G119" i="12"/>
  <c r="D119" i="12"/>
  <c r="C119" i="12"/>
  <c r="H119" i="12" s="1"/>
  <c r="C120" i="12" l="1"/>
  <c r="H120" i="12" s="1"/>
  <c r="B121" i="12"/>
  <c r="G120" i="12"/>
  <c r="D120" i="12"/>
  <c r="A119" i="12"/>
  <c r="F119" i="12"/>
  <c r="D121" i="12" l="1"/>
  <c r="G121" i="12"/>
  <c r="B122" i="12"/>
  <c r="C121" i="12"/>
  <c r="H121" i="12" s="1"/>
  <c r="F120" i="12"/>
  <c r="A120" i="12"/>
  <c r="A121" i="12" l="1"/>
  <c r="F121" i="12"/>
  <c r="D122" i="12"/>
  <c r="G122" i="12"/>
  <c r="B123" i="12"/>
  <c r="C122" i="12"/>
  <c r="H122" i="12" s="1"/>
  <c r="A122" i="12" l="1"/>
  <c r="F122" i="12"/>
  <c r="B124" i="12"/>
  <c r="C123" i="12"/>
  <c r="H123" i="12" s="1"/>
  <c r="G123" i="12"/>
  <c r="D123" i="12"/>
  <c r="C124" i="12" l="1"/>
  <c r="H124" i="12" s="1"/>
  <c r="D124" i="12"/>
  <c r="G124" i="12"/>
  <c r="B125" i="12"/>
  <c r="A123" i="12"/>
  <c r="F123" i="12"/>
  <c r="F124" i="12" l="1"/>
  <c r="A124" i="12"/>
  <c r="G125" i="12"/>
  <c r="D125" i="12"/>
  <c r="B126" i="12"/>
  <c r="C125" i="12"/>
  <c r="H125" i="12" s="1"/>
  <c r="D126" i="12" l="1"/>
  <c r="G126" i="12"/>
  <c r="B127" i="12"/>
  <c r="C126" i="12"/>
  <c r="H126" i="12" s="1"/>
  <c r="A125" i="12"/>
  <c r="F125" i="12"/>
  <c r="B128" i="12" l="1"/>
  <c r="D127" i="12"/>
  <c r="G127" i="12"/>
  <c r="C127" i="12"/>
  <c r="H127" i="12" s="1"/>
  <c r="A126" i="12"/>
  <c r="F126" i="12"/>
  <c r="G128" i="12" l="1"/>
  <c r="D128" i="12"/>
  <c r="B129" i="12"/>
  <c r="C128" i="12"/>
  <c r="H128" i="12" s="1"/>
  <c r="A127" i="12"/>
  <c r="F127" i="12"/>
  <c r="C129" i="12" l="1"/>
  <c r="H129" i="12" s="1"/>
  <c r="B130" i="12"/>
  <c r="D129" i="12"/>
  <c r="G129" i="12"/>
  <c r="F128" i="12"/>
  <c r="A128" i="12"/>
  <c r="C130" i="12" l="1"/>
  <c r="H130" i="12" s="1"/>
  <c r="D130" i="12"/>
  <c r="B131" i="12"/>
  <c r="G130" i="12"/>
  <c r="F129" i="12"/>
  <c r="A129" i="12"/>
  <c r="F130" i="12" l="1"/>
  <c r="A130" i="12"/>
  <c r="B132" i="12"/>
  <c r="D131" i="12"/>
  <c r="C131" i="12"/>
  <c r="H131" i="12" s="1"/>
  <c r="G131" i="12"/>
  <c r="D132" i="12" l="1"/>
  <c r="G132" i="12"/>
  <c r="B133" i="12"/>
  <c r="C132" i="12"/>
  <c r="H132" i="12" s="1"/>
  <c r="A131" i="12"/>
  <c r="F131" i="12"/>
  <c r="B134" i="12" l="1"/>
  <c r="D133" i="12"/>
  <c r="C133" i="12"/>
  <c r="H133" i="12" s="1"/>
  <c r="G133" i="12"/>
  <c r="A132" i="12"/>
  <c r="F132" i="12"/>
  <c r="F133" i="12" l="1"/>
  <c r="A133" i="12"/>
  <c r="G134" i="12"/>
  <c r="B135" i="12"/>
  <c r="D134" i="12"/>
  <c r="C134" i="12"/>
  <c r="H134" i="12" s="1"/>
  <c r="A134" i="12" l="1"/>
  <c r="F134" i="12"/>
  <c r="D135" i="12"/>
  <c r="B136" i="12"/>
  <c r="C135" i="12"/>
  <c r="H135" i="12" s="1"/>
  <c r="G135" i="12"/>
  <c r="A135" i="12" l="1"/>
  <c r="F135" i="12"/>
  <c r="D136" i="12"/>
  <c r="G136" i="12"/>
  <c r="B137" i="12"/>
  <c r="C136" i="12"/>
  <c r="H136" i="12" s="1"/>
  <c r="A136" i="12" l="1"/>
  <c r="F136" i="12"/>
  <c r="B138" i="12"/>
  <c r="C137" i="12"/>
  <c r="H137" i="12" s="1"/>
  <c r="D137" i="12"/>
  <c r="G137" i="12"/>
  <c r="C138" i="12" l="1"/>
  <c r="H138" i="12" s="1"/>
  <c r="D138" i="12"/>
  <c r="B139" i="12"/>
  <c r="G138" i="12"/>
  <c r="F137" i="12"/>
  <c r="A137" i="12"/>
  <c r="G139" i="12" l="1"/>
  <c r="B140" i="12"/>
  <c r="C139" i="12"/>
  <c r="H139" i="12" s="1"/>
  <c r="D139" i="12"/>
  <c r="A138" i="12"/>
  <c r="F138" i="12"/>
  <c r="D140" i="12" l="1"/>
  <c r="G140" i="12"/>
  <c r="C140" i="12"/>
  <c r="H140" i="12" s="1"/>
  <c r="B141" i="12"/>
  <c r="A139" i="12"/>
  <c r="F139" i="12"/>
  <c r="A140" i="12" l="1"/>
  <c r="F140" i="12"/>
  <c r="B142" i="12"/>
  <c r="D141" i="12"/>
  <c r="C141" i="12"/>
  <c r="H141" i="12" s="1"/>
  <c r="G141" i="12"/>
  <c r="G142" i="12" l="1"/>
  <c r="B143" i="12"/>
  <c r="C142" i="12"/>
  <c r="H142" i="12" s="1"/>
  <c r="D142" i="12"/>
  <c r="F141" i="12"/>
  <c r="A141" i="12"/>
  <c r="C143" i="12" l="1"/>
  <c r="H143" i="12" s="1"/>
  <c r="B144" i="12"/>
  <c r="G143" i="12"/>
  <c r="D143" i="12"/>
  <c r="A142" i="12"/>
  <c r="F142" i="12"/>
  <c r="D144" i="12" l="1"/>
  <c r="B145" i="12"/>
  <c r="G144" i="12"/>
  <c r="C144" i="12"/>
  <c r="H144" i="12" s="1"/>
  <c r="F143" i="12"/>
  <c r="A143" i="12"/>
  <c r="A144" i="12" l="1"/>
  <c r="F144" i="12"/>
  <c r="D145" i="12"/>
  <c r="G145" i="12"/>
  <c r="C145" i="12"/>
  <c r="H145" i="12" s="1"/>
  <c r="B146" i="12"/>
  <c r="F145" i="12" l="1"/>
  <c r="A145" i="12"/>
  <c r="D146" i="12"/>
  <c r="G146" i="12"/>
  <c r="B147" i="12"/>
  <c r="C146" i="12"/>
  <c r="H146" i="12" s="1"/>
  <c r="F146" i="12" l="1"/>
  <c r="A146" i="12"/>
  <c r="B148" i="12"/>
  <c r="G147" i="12"/>
  <c r="D147" i="12"/>
  <c r="C147" i="12"/>
  <c r="H147" i="12" s="1"/>
  <c r="C148" i="12" l="1"/>
  <c r="H148" i="12" s="1"/>
  <c r="D148" i="12"/>
  <c r="B149" i="12"/>
  <c r="G148" i="12"/>
  <c r="A147" i="12"/>
  <c r="F147" i="12"/>
  <c r="B150" i="12" l="1"/>
  <c r="D149" i="12"/>
  <c r="C149" i="12"/>
  <c r="H149" i="12" s="1"/>
  <c r="G149" i="12"/>
  <c r="F148" i="12"/>
  <c r="A148" i="12"/>
  <c r="F149" i="12" l="1"/>
  <c r="A149" i="12"/>
  <c r="D150" i="12"/>
  <c r="B151" i="12"/>
  <c r="G150" i="12"/>
  <c r="C150" i="12"/>
  <c r="H150" i="12" s="1"/>
  <c r="A150" i="12" l="1"/>
  <c r="F150" i="12"/>
  <c r="B152" i="12"/>
  <c r="D151" i="12"/>
  <c r="C151" i="12"/>
  <c r="H151" i="12" s="1"/>
  <c r="G151" i="12"/>
  <c r="C152" i="12" l="1"/>
  <c r="H152" i="12" s="1"/>
  <c r="B153" i="12"/>
  <c r="D152" i="12"/>
  <c r="G152" i="12"/>
  <c r="A151" i="12"/>
  <c r="F151" i="12"/>
  <c r="D153" i="12" l="1"/>
  <c r="B154" i="12"/>
  <c r="C153" i="12"/>
  <c r="H153" i="12" s="1"/>
  <c r="G153" i="12"/>
  <c r="F152" i="12"/>
  <c r="A152" i="12"/>
  <c r="D154" i="12" l="1"/>
  <c r="G154" i="12"/>
  <c r="B155" i="12"/>
  <c r="C154" i="12"/>
  <c r="H154" i="12" s="1"/>
  <c r="A153" i="12"/>
  <c r="F153" i="12"/>
  <c r="B156" i="12" l="1"/>
  <c r="C155" i="12"/>
  <c r="H155" i="12" s="1"/>
  <c r="D155" i="12"/>
  <c r="G155" i="12"/>
  <c r="A154" i="12"/>
  <c r="F154" i="12"/>
  <c r="D156" i="12" l="1"/>
  <c r="B157" i="12"/>
  <c r="C156" i="12"/>
  <c r="H156" i="12" s="1"/>
  <c r="G156" i="12"/>
  <c r="F155" i="12"/>
  <c r="A155" i="12"/>
  <c r="A156" i="12" l="1"/>
  <c r="F156" i="12"/>
  <c r="D157" i="12"/>
  <c r="G157" i="12"/>
  <c r="B158" i="12"/>
  <c r="C157" i="12"/>
  <c r="H157" i="12" s="1"/>
  <c r="A157" i="12" l="1"/>
  <c r="F157" i="12"/>
  <c r="B159" i="12"/>
  <c r="G158" i="12"/>
  <c r="C158" i="12"/>
  <c r="H158" i="12" s="1"/>
  <c r="D158" i="12"/>
  <c r="C159" i="12" l="1"/>
  <c r="H159" i="12" s="1"/>
  <c r="D159" i="12"/>
  <c r="B160" i="12"/>
  <c r="G159" i="12"/>
  <c r="A158" i="12"/>
  <c r="F158" i="12"/>
  <c r="C160" i="12" l="1"/>
  <c r="H160" i="12" s="1"/>
  <c r="D160" i="12"/>
  <c r="B161" i="12"/>
  <c r="G160" i="12"/>
  <c r="F159" i="12"/>
  <c r="A159" i="12"/>
  <c r="A160" i="12" l="1"/>
  <c r="F160" i="12"/>
  <c r="D161" i="12"/>
  <c r="G161" i="12"/>
  <c r="C161" i="12"/>
  <c r="H161" i="12" s="1"/>
  <c r="B162" i="12"/>
  <c r="A161" i="12" l="1"/>
  <c r="F161" i="12"/>
  <c r="B163" i="12"/>
  <c r="D162" i="12"/>
  <c r="C162" i="12"/>
  <c r="H162" i="12" s="1"/>
  <c r="G162" i="12"/>
  <c r="C163" i="12" l="1"/>
  <c r="H163" i="12" s="1"/>
  <c r="G163" i="12"/>
  <c r="D163" i="12"/>
  <c r="B164" i="12"/>
  <c r="A162" i="12"/>
  <c r="F162" i="12"/>
  <c r="F163" i="12" l="1"/>
  <c r="A163" i="12"/>
  <c r="D164" i="12"/>
  <c r="G164" i="12"/>
  <c r="B165" i="12"/>
  <c r="C164" i="12"/>
  <c r="H164" i="12" s="1"/>
  <c r="A164" i="12" l="1"/>
  <c r="F164" i="12"/>
  <c r="D165" i="12"/>
  <c r="C165" i="12"/>
  <c r="H165" i="12" s="1"/>
  <c r="G165" i="12"/>
  <c r="B166" i="12"/>
  <c r="A165" i="12" l="1"/>
  <c r="F165" i="12"/>
  <c r="D166" i="12"/>
  <c r="G166" i="12"/>
  <c r="C166" i="12"/>
  <c r="H166" i="12" s="1"/>
  <c r="B167" i="12"/>
  <c r="A166" i="12" l="1"/>
  <c r="F166" i="12"/>
  <c r="B168" i="12"/>
  <c r="D167" i="12"/>
  <c r="C167" i="12"/>
  <c r="H167" i="12" s="1"/>
  <c r="G167" i="12"/>
  <c r="C168" i="12" l="1"/>
  <c r="H168" i="12" s="1"/>
  <c r="G168" i="12"/>
  <c r="D168" i="12"/>
  <c r="B169" i="12"/>
  <c r="F167" i="12"/>
  <c r="A167" i="12"/>
  <c r="A168" i="12" l="1"/>
  <c r="F168" i="12"/>
  <c r="C169" i="12"/>
  <c r="H169" i="12" s="1"/>
  <c r="G169" i="12"/>
  <c r="B170" i="12"/>
  <c r="D169" i="12"/>
  <c r="A169" i="12" l="1"/>
  <c r="F169" i="12"/>
  <c r="G170" i="12"/>
  <c r="D170" i="12"/>
  <c r="B171" i="12"/>
  <c r="C170" i="12"/>
  <c r="H170" i="12" s="1"/>
  <c r="C171" i="12" l="1"/>
  <c r="H171" i="12" s="1"/>
  <c r="G171" i="12"/>
  <c r="D171" i="12"/>
  <c r="B172" i="12"/>
  <c r="F170" i="12"/>
  <c r="A170" i="12"/>
  <c r="A171" i="12" l="1"/>
  <c r="F171" i="12"/>
  <c r="D172" i="12"/>
  <c r="G172" i="12"/>
  <c r="B173" i="12"/>
  <c r="C172" i="12"/>
  <c r="H172" i="12" s="1"/>
  <c r="F172" i="12" l="1"/>
  <c r="A172" i="12"/>
  <c r="B174" i="12"/>
  <c r="G173" i="12"/>
  <c r="D173" i="12"/>
  <c r="C173" i="12"/>
  <c r="H173" i="12" s="1"/>
  <c r="G174" i="12" l="1"/>
  <c r="C174" i="12"/>
  <c r="H174" i="12" s="1"/>
  <c r="D174" i="12"/>
  <c r="B175" i="12"/>
  <c r="A173" i="12"/>
  <c r="F173" i="12"/>
  <c r="F174" i="12" l="1"/>
  <c r="A174" i="12"/>
  <c r="B176" i="12"/>
  <c r="C175" i="12"/>
  <c r="H175" i="12" s="1"/>
  <c r="D175" i="12"/>
  <c r="G175" i="12"/>
  <c r="F175" i="12" l="1"/>
  <c r="A175" i="12"/>
  <c r="D176" i="12"/>
  <c r="G176" i="12"/>
  <c r="B177" i="12"/>
  <c r="C176" i="12"/>
  <c r="H176" i="12" s="1"/>
  <c r="A176" i="12" l="1"/>
  <c r="F176" i="12"/>
  <c r="B178" i="12"/>
  <c r="G177" i="12"/>
  <c r="D177" i="12"/>
  <c r="C177" i="12"/>
  <c r="H177" i="12" s="1"/>
  <c r="G178" i="12" l="1"/>
  <c r="B179" i="12"/>
  <c r="C178" i="12"/>
  <c r="H178" i="12" s="1"/>
  <c r="D178" i="12"/>
  <c r="A177" i="12"/>
  <c r="F177" i="12"/>
  <c r="D179" i="12" l="1"/>
  <c r="B180" i="12"/>
  <c r="G179" i="12"/>
  <c r="C179" i="12"/>
  <c r="H179" i="12" s="1"/>
  <c r="F178" i="12"/>
  <c r="A178" i="12"/>
  <c r="D180" i="12" l="1"/>
  <c r="G180" i="12"/>
  <c r="B181" i="12"/>
  <c r="C180" i="12"/>
  <c r="H180" i="12" s="1"/>
  <c r="A179" i="12"/>
  <c r="F179" i="12"/>
  <c r="D181" i="12" l="1"/>
  <c r="C181" i="12"/>
  <c r="H181" i="12" s="1"/>
  <c r="B182" i="12"/>
  <c r="G181" i="12"/>
  <c r="A180" i="12"/>
  <c r="F180" i="12"/>
  <c r="D182" i="12" l="1"/>
  <c r="G182" i="12"/>
  <c r="C182" i="12"/>
  <c r="H182" i="12" s="1"/>
  <c r="B183" i="12"/>
  <c r="F181" i="12"/>
  <c r="A181" i="12"/>
  <c r="A182" i="12" l="1"/>
  <c r="F182" i="12"/>
  <c r="B184" i="12"/>
  <c r="D183" i="12"/>
  <c r="C183" i="12"/>
  <c r="H183" i="12" s="1"/>
  <c r="G183" i="12"/>
  <c r="C184" i="12" l="1"/>
  <c r="G184" i="12"/>
  <c r="D184" i="12"/>
  <c r="B185" i="12"/>
  <c r="F183" i="12"/>
  <c r="A183" i="12"/>
  <c r="H184" i="12"/>
  <c r="C185" i="12" l="1"/>
  <c r="H185" i="12" s="1"/>
  <c r="G185" i="12"/>
  <c r="B186" i="12"/>
  <c r="D185" i="12"/>
  <c r="F184" i="12"/>
  <c r="A184" i="12"/>
  <c r="G186" i="12" l="1"/>
  <c r="D186" i="12"/>
  <c r="B187" i="12"/>
  <c r="C186" i="12"/>
  <c r="H186" i="12" s="1"/>
  <c r="A185" i="12"/>
  <c r="F185" i="12"/>
  <c r="C187" i="12" l="1"/>
  <c r="H187" i="12" s="1"/>
  <c r="G187" i="12"/>
  <c r="B188" i="12"/>
  <c r="D187" i="12"/>
  <c r="F186" i="12"/>
  <c r="A186" i="12"/>
  <c r="D188" i="12" l="1"/>
  <c r="G188" i="12"/>
  <c r="B189" i="12"/>
  <c r="C188" i="12"/>
  <c r="H188" i="12" s="1"/>
  <c r="A187" i="12"/>
  <c r="F187" i="12"/>
  <c r="B190" i="12" l="1"/>
  <c r="G189" i="12"/>
  <c r="D189" i="12"/>
  <c r="C189" i="12"/>
  <c r="H189" i="12" s="1"/>
  <c r="F188" i="12"/>
  <c r="A188" i="12"/>
  <c r="A189" i="12" l="1"/>
  <c r="F189" i="12"/>
  <c r="G190" i="12"/>
  <c r="C190" i="12"/>
  <c r="B191" i="12"/>
  <c r="D190" i="12"/>
  <c r="I190" i="12" l="1"/>
  <c r="I34" i="12" s="1"/>
  <c r="F190" i="12"/>
  <c r="A190" i="12"/>
  <c r="G191" i="12"/>
  <c r="D191" i="12"/>
  <c r="B192" i="12"/>
  <c r="C191" i="12"/>
  <c r="G192" i="12" l="1"/>
  <c r="B193" i="12"/>
  <c r="C192" i="12"/>
  <c r="D192" i="12"/>
  <c r="I191" i="12"/>
  <c r="J191" i="12" s="1"/>
  <c r="A191" i="12"/>
  <c r="F191" i="12"/>
  <c r="J34" i="12"/>
  <c r="I192" i="12" l="1"/>
  <c r="J192" i="12" s="1"/>
  <c r="A192" i="12"/>
  <c r="F192" i="12"/>
  <c r="D193" i="12"/>
  <c r="B194" i="12"/>
  <c r="G193" i="12"/>
  <c r="C193" i="12"/>
  <c r="I193" i="12" l="1"/>
  <c r="J193" i="12" s="1"/>
  <c r="F193" i="12"/>
  <c r="A193" i="12"/>
  <c r="G194" i="12"/>
  <c r="D194" i="12"/>
  <c r="B195" i="12"/>
  <c r="C194" i="12"/>
  <c r="D195" i="12" l="1"/>
  <c r="B196" i="12"/>
  <c r="C195" i="12"/>
  <c r="G195" i="12"/>
  <c r="I194" i="12"/>
  <c r="J194" i="12" s="1"/>
  <c r="A194" i="12"/>
  <c r="F194" i="12"/>
  <c r="C196" i="12" l="1"/>
  <c r="D196" i="12"/>
  <c r="B197" i="12"/>
  <c r="G196" i="12"/>
  <c r="I195" i="12"/>
  <c r="J195" i="12" s="1"/>
  <c r="A195" i="12"/>
  <c r="F195" i="12"/>
  <c r="B198" i="12" l="1"/>
  <c r="G197" i="12"/>
  <c r="C197" i="12"/>
  <c r="D197" i="12"/>
  <c r="I196" i="12"/>
  <c r="J196" i="12" s="1"/>
  <c r="A196" i="12"/>
  <c r="F196" i="12"/>
  <c r="I197" i="12" l="1"/>
  <c r="J197" i="12" s="1"/>
  <c r="A197" i="12"/>
  <c r="F197" i="12"/>
  <c r="D198" i="12"/>
  <c r="B199" i="12"/>
  <c r="G198" i="12"/>
  <c r="C198" i="12"/>
  <c r="I198" i="12" l="1"/>
  <c r="J198" i="12" s="1"/>
  <c r="A198" i="12"/>
  <c r="F198" i="12"/>
  <c r="D199" i="12"/>
  <c r="G199" i="12"/>
  <c r="C199" i="12"/>
  <c r="B200" i="12"/>
  <c r="I199" i="12" l="1"/>
  <c r="J199" i="12" s="1"/>
  <c r="F199" i="12"/>
  <c r="A199" i="12"/>
  <c r="G200" i="12"/>
  <c r="B201" i="12"/>
  <c r="C200" i="12"/>
  <c r="D200" i="12"/>
  <c r="I200" i="12" l="1"/>
  <c r="J200" i="12" s="1"/>
  <c r="A200" i="12"/>
  <c r="F200" i="12"/>
  <c r="B202" i="12"/>
  <c r="D201" i="12"/>
  <c r="G201" i="12"/>
  <c r="C201" i="12"/>
  <c r="D202" i="12" l="1"/>
  <c r="C202" i="12"/>
  <c r="G202" i="12"/>
  <c r="B203" i="12"/>
  <c r="I201" i="12"/>
  <c r="J201" i="12" s="1"/>
  <c r="A201" i="12"/>
  <c r="F201" i="12"/>
  <c r="D203" i="12" l="1"/>
  <c r="B204" i="12"/>
  <c r="G203" i="12"/>
  <c r="C203" i="12"/>
  <c r="I202" i="12"/>
  <c r="J202" i="12" s="1"/>
  <c r="A202" i="12"/>
  <c r="F202" i="12"/>
  <c r="G204" i="12" l="1"/>
  <c r="D204" i="12"/>
  <c r="C204" i="12"/>
  <c r="B205" i="12"/>
  <c r="I203" i="12"/>
  <c r="J203" i="12" s="1"/>
  <c r="A203" i="12"/>
  <c r="F203" i="12"/>
  <c r="D205" i="12" l="1"/>
  <c r="C205" i="12"/>
  <c r="B206" i="12"/>
  <c r="G205" i="12"/>
  <c r="I204" i="12"/>
  <c r="J204" i="12" s="1"/>
  <c r="A204" i="12"/>
  <c r="F204" i="12"/>
  <c r="C206" i="12" l="1"/>
  <c r="G206" i="12"/>
  <c r="B207" i="12"/>
  <c r="D206" i="12"/>
  <c r="I205" i="12"/>
  <c r="J205" i="12" s="1"/>
  <c r="A205" i="12"/>
  <c r="F205" i="12"/>
  <c r="I206" i="12" l="1"/>
  <c r="J206" i="12" s="1"/>
  <c r="A206" i="12"/>
  <c r="F206" i="12"/>
  <c r="D207" i="12"/>
  <c r="G207" i="12"/>
  <c r="C207" i="12"/>
  <c r="B208" i="12"/>
  <c r="I207" i="12" l="1"/>
  <c r="J207" i="12" s="1"/>
  <c r="A207" i="12"/>
  <c r="F207" i="12"/>
  <c r="C208" i="12"/>
  <c r="B209" i="12"/>
  <c r="G208" i="12"/>
  <c r="D208" i="12"/>
  <c r="I208" i="12" l="1"/>
  <c r="J208" i="12" s="1"/>
  <c r="A208" i="12"/>
  <c r="F208" i="12"/>
  <c r="D209" i="12"/>
  <c r="B210" i="12"/>
  <c r="G209" i="12"/>
  <c r="C209" i="12"/>
  <c r="I209" i="12" l="1"/>
  <c r="J209" i="12" s="1"/>
  <c r="F209" i="12"/>
  <c r="A209" i="12"/>
  <c r="G210" i="12"/>
  <c r="D210" i="12"/>
  <c r="B211" i="12"/>
  <c r="C210" i="12"/>
  <c r="D211" i="12" l="1"/>
  <c r="B212" i="12"/>
  <c r="C211" i="12"/>
  <c r="G211" i="12"/>
  <c r="I210" i="12"/>
  <c r="J210" i="12" s="1"/>
  <c r="A210" i="12"/>
  <c r="F210" i="12"/>
  <c r="G212" i="12" l="1"/>
  <c r="D212" i="12"/>
  <c r="B213" i="12"/>
  <c r="C212" i="12"/>
  <c r="I211" i="12"/>
  <c r="J211" i="12" s="1"/>
  <c r="A211" i="12"/>
  <c r="F211" i="12"/>
  <c r="B214" i="12" l="1"/>
  <c r="C213" i="12"/>
  <c r="G213" i="12"/>
  <c r="D213" i="12"/>
  <c r="I212" i="12"/>
  <c r="J212" i="12" s="1"/>
  <c r="A212" i="12"/>
  <c r="F212" i="12"/>
  <c r="I213" i="12" l="1"/>
  <c r="J213" i="12" s="1"/>
  <c r="A213" i="12"/>
  <c r="F213" i="12"/>
  <c r="D214" i="12"/>
  <c r="B215" i="12"/>
  <c r="G214" i="12"/>
  <c r="C214" i="12"/>
  <c r="I214" i="12" l="1"/>
  <c r="J214" i="12" s="1"/>
  <c r="A214" i="12"/>
  <c r="F214" i="12"/>
  <c r="D215" i="12"/>
  <c r="G215" i="12"/>
  <c r="C215" i="12"/>
  <c r="B216" i="12"/>
  <c r="I215" i="12" l="1"/>
  <c r="J215" i="12" s="1"/>
  <c r="F215" i="12"/>
  <c r="A215" i="12"/>
  <c r="G216" i="12"/>
  <c r="B217" i="12"/>
  <c r="C216" i="12"/>
  <c r="D216" i="12"/>
  <c r="I216" i="12" l="1"/>
  <c r="J216" i="12" s="1"/>
  <c r="A216" i="12"/>
  <c r="F216" i="12"/>
  <c r="B218" i="12"/>
  <c r="D217" i="12"/>
  <c r="C217" i="12"/>
  <c r="G217" i="12"/>
  <c r="D218" i="12" l="1"/>
  <c r="C218" i="12"/>
  <c r="G218" i="12"/>
  <c r="B219" i="12"/>
  <c r="I217" i="12"/>
  <c r="J217" i="12" s="1"/>
  <c r="A217" i="12"/>
  <c r="F217" i="12"/>
  <c r="D219" i="12" l="1"/>
  <c r="B220" i="12"/>
  <c r="G219" i="12"/>
  <c r="C219" i="12"/>
  <c r="I218" i="12"/>
  <c r="J218" i="12" s="1"/>
  <c r="A218" i="12"/>
  <c r="F218" i="12"/>
  <c r="G220" i="12" l="1"/>
  <c r="D220" i="12"/>
  <c r="C220" i="12"/>
  <c r="B221" i="12"/>
  <c r="I219" i="12"/>
  <c r="J219" i="12" s="1"/>
  <c r="A219" i="12"/>
  <c r="F219" i="12"/>
  <c r="D221" i="12" l="1"/>
  <c r="C221" i="12"/>
  <c r="B222" i="12"/>
  <c r="G221" i="12"/>
  <c r="I220" i="12"/>
  <c r="J220" i="12" s="1"/>
  <c r="A220" i="12"/>
  <c r="F220" i="12"/>
  <c r="G222" i="12" l="1"/>
  <c r="C222" i="12"/>
  <c r="B223" i="12"/>
  <c r="D222" i="12"/>
  <c r="I221" i="12"/>
  <c r="J221" i="12" s="1"/>
  <c r="A221" i="12"/>
  <c r="F221" i="12"/>
  <c r="I222" i="12" l="1"/>
  <c r="J222" i="12" s="1"/>
  <c r="A222" i="12"/>
  <c r="F222" i="12"/>
  <c r="D223" i="12"/>
  <c r="G223" i="12"/>
  <c r="C223" i="12"/>
  <c r="B224" i="12"/>
  <c r="I223" i="12" l="1"/>
  <c r="J223" i="12" s="1"/>
  <c r="A223" i="12"/>
  <c r="F223" i="12"/>
  <c r="G224" i="12"/>
  <c r="B225" i="12"/>
  <c r="C224" i="12"/>
  <c r="D224" i="12"/>
  <c r="I224" i="12" l="1"/>
  <c r="J224" i="12" s="1"/>
  <c r="A224" i="12"/>
  <c r="F224" i="12"/>
  <c r="D225" i="12"/>
  <c r="B226" i="12"/>
  <c r="G225" i="12"/>
  <c r="C225" i="12"/>
  <c r="I225" i="12" l="1"/>
  <c r="J225" i="12" s="1"/>
  <c r="F225" i="12"/>
  <c r="A225" i="12"/>
  <c r="G226" i="12"/>
  <c r="D226" i="12"/>
  <c r="B227" i="12"/>
  <c r="C226" i="12"/>
  <c r="D227" i="12" l="1"/>
  <c r="B228" i="12"/>
  <c r="C227" i="12"/>
  <c r="G227" i="12"/>
  <c r="I226" i="12"/>
  <c r="J226" i="12" s="1"/>
  <c r="A226" i="12"/>
  <c r="F226" i="12"/>
  <c r="C228" i="12" l="1"/>
  <c r="D228" i="12"/>
  <c r="B229" i="12"/>
  <c r="G228" i="12"/>
  <c r="I227" i="12"/>
  <c r="J227" i="12" s="1"/>
  <c r="A227" i="12"/>
  <c r="F227" i="12"/>
  <c r="B230" i="12" l="1"/>
  <c r="G229" i="12"/>
  <c r="C229" i="12"/>
  <c r="D229" i="12"/>
  <c r="I228" i="12"/>
  <c r="J228" i="12" s="1"/>
  <c r="A228" i="12"/>
  <c r="F228" i="12"/>
  <c r="I229" i="12" l="1"/>
  <c r="J229" i="12" s="1"/>
  <c r="A229" i="12"/>
  <c r="F229" i="12"/>
  <c r="D230" i="12"/>
  <c r="B231" i="12"/>
  <c r="G230" i="12"/>
  <c r="C230" i="12"/>
  <c r="I230" i="12" l="1"/>
  <c r="J230" i="12" s="1"/>
  <c r="A230" i="12"/>
  <c r="F230" i="12"/>
  <c r="D231" i="12"/>
  <c r="G231" i="12"/>
  <c r="C231" i="12"/>
  <c r="B232" i="12"/>
  <c r="I231" i="12" l="1"/>
  <c r="J231" i="12" s="1"/>
  <c r="F231" i="12"/>
  <c r="A231" i="12"/>
  <c r="G232" i="12"/>
  <c r="B233" i="12"/>
  <c r="C232" i="12"/>
  <c r="D232" i="12"/>
  <c r="I232" i="12" l="1"/>
  <c r="J232" i="12" s="1"/>
  <c r="A232" i="12"/>
  <c r="F232" i="12"/>
  <c r="B234" i="12"/>
  <c r="D233" i="12"/>
  <c r="G233" i="12"/>
  <c r="C233" i="12"/>
  <c r="D234" i="12" l="1"/>
  <c r="C234" i="12"/>
  <c r="G234" i="12"/>
  <c r="B235" i="12"/>
  <c r="I233" i="12"/>
  <c r="J233" i="12" s="1"/>
  <c r="A233" i="12"/>
  <c r="F233" i="12"/>
  <c r="G235" i="12" l="1"/>
  <c r="C235" i="12"/>
  <c r="D235" i="12"/>
  <c r="B236" i="12"/>
  <c r="I234" i="12"/>
  <c r="J234" i="12" s="1"/>
  <c r="A234" i="12"/>
  <c r="F234" i="12"/>
  <c r="I235" i="12" l="1"/>
  <c r="J235" i="12" s="1"/>
  <c r="A235" i="12"/>
  <c r="F235" i="12"/>
  <c r="G236" i="12"/>
  <c r="D236" i="12"/>
  <c r="C236" i="12"/>
  <c r="B237" i="12"/>
  <c r="D237" i="12" l="1"/>
  <c r="C237" i="12"/>
  <c r="B238" i="12"/>
  <c r="G237" i="12"/>
  <c r="I236" i="12"/>
  <c r="J236" i="12" s="1"/>
  <c r="A236" i="12"/>
  <c r="F236" i="12"/>
  <c r="C238" i="12" l="1"/>
  <c r="G238" i="12"/>
  <c r="B239" i="12"/>
  <c r="D238" i="12"/>
  <c r="I237" i="12"/>
  <c r="J237" i="12" s="1"/>
  <c r="A237" i="12"/>
  <c r="F237" i="12"/>
  <c r="I238" i="12" l="1"/>
  <c r="J238" i="12" s="1"/>
  <c r="A238" i="12"/>
  <c r="F238" i="12"/>
  <c r="D239" i="12"/>
  <c r="G239" i="12"/>
  <c r="C239" i="12"/>
  <c r="B240" i="12"/>
  <c r="C240" i="12" l="1"/>
  <c r="B241" i="12"/>
  <c r="G240" i="12"/>
  <c r="D240" i="12"/>
  <c r="I239" i="12"/>
  <c r="J239" i="12" s="1"/>
  <c r="A239" i="12"/>
  <c r="F239" i="12"/>
  <c r="I240" i="12" l="1"/>
  <c r="J240" i="12" s="1"/>
  <c r="A240" i="12"/>
  <c r="F240" i="12"/>
  <c r="D241" i="12"/>
  <c r="B242" i="12"/>
  <c r="G241" i="12"/>
  <c r="C241" i="12"/>
  <c r="I241" i="12" l="1"/>
  <c r="J241" i="12" s="1"/>
  <c r="F241" i="12"/>
  <c r="A241" i="12"/>
  <c r="G242" i="12"/>
  <c r="D242" i="12"/>
  <c r="B243" i="12"/>
  <c r="C242" i="12"/>
  <c r="D243" i="12" l="1"/>
  <c r="B244" i="12"/>
  <c r="C243" i="12"/>
  <c r="G243" i="12"/>
  <c r="I242" i="12"/>
  <c r="J242" i="12" s="1"/>
  <c r="A242" i="12"/>
  <c r="F242" i="12"/>
  <c r="G244" i="12" l="1"/>
  <c r="D244" i="12"/>
  <c r="B245" i="12"/>
  <c r="C244" i="12"/>
  <c r="I243" i="12"/>
  <c r="J243" i="12" s="1"/>
  <c r="A243" i="12"/>
  <c r="F243" i="12"/>
  <c r="B246" i="12" l="1"/>
  <c r="C245" i="12"/>
  <c r="G245" i="12"/>
  <c r="D245" i="12"/>
  <c r="I244" i="12"/>
  <c r="J244" i="12" s="1"/>
  <c r="A244" i="12"/>
  <c r="F244" i="12"/>
  <c r="I245" i="12" l="1"/>
  <c r="J245" i="12" s="1"/>
  <c r="A245" i="12"/>
  <c r="F245" i="12"/>
  <c r="D246" i="12"/>
  <c r="B247" i="12"/>
  <c r="G246" i="12"/>
  <c r="C246" i="12"/>
  <c r="I246" i="12" l="1"/>
  <c r="J246" i="12" s="1"/>
  <c r="A246" i="12"/>
  <c r="F246" i="12"/>
  <c r="G247" i="12"/>
  <c r="D247" i="12"/>
  <c r="B248" i="12"/>
  <c r="C247" i="12"/>
  <c r="G248" i="12" l="1"/>
  <c r="B249" i="12"/>
  <c r="C248" i="12"/>
  <c r="D248" i="12"/>
  <c r="I247" i="12"/>
  <c r="J247" i="12" s="1"/>
  <c r="F247" i="12"/>
  <c r="A247" i="12"/>
  <c r="B250" i="12" l="1"/>
  <c r="D249" i="12"/>
  <c r="C249" i="12"/>
  <c r="G249" i="12"/>
  <c r="I248" i="12"/>
  <c r="J248" i="12" s="1"/>
  <c r="A248" i="12"/>
  <c r="F248" i="12"/>
  <c r="I249" i="12" l="1"/>
  <c r="J249" i="12" s="1"/>
  <c r="A249" i="12"/>
  <c r="F249" i="12"/>
  <c r="D250" i="12"/>
  <c r="G250" i="12"/>
  <c r="C250" i="12"/>
  <c r="B251" i="12"/>
  <c r="D251" i="12" l="1"/>
  <c r="B252" i="12"/>
  <c r="G251" i="12"/>
  <c r="C251" i="12"/>
  <c r="I250" i="12"/>
  <c r="J250" i="12" s="1"/>
  <c r="A250" i="12"/>
  <c r="F250" i="12"/>
  <c r="G252" i="12" l="1"/>
  <c r="D252" i="12"/>
  <c r="B253" i="12"/>
  <c r="C252" i="12"/>
  <c r="I251" i="12"/>
  <c r="J251" i="12" s="1"/>
  <c r="A251" i="12"/>
  <c r="F251" i="12"/>
  <c r="D253" i="12" l="1"/>
  <c r="C253" i="12"/>
  <c r="B254" i="12"/>
  <c r="G253" i="12"/>
  <c r="I252" i="12"/>
  <c r="J252" i="12" s="1"/>
  <c r="A252" i="12"/>
  <c r="F252" i="12"/>
  <c r="G254" i="12" l="1"/>
  <c r="C254" i="12"/>
  <c r="D254" i="12"/>
  <c r="B255" i="12"/>
  <c r="I253" i="12"/>
  <c r="J253" i="12" s="1"/>
  <c r="A253" i="12"/>
  <c r="F253" i="12"/>
  <c r="I254" i="12" l="1"/>
  <c r="J254" i="12" s="1"/>
  <c r="A254" i="12"/>
  <c r="F254" i="12"/>
  <c r="D255" i="12"/>
  <c r="G255" i="12"/>
  <c r="C255" i="12"/>
  <c r="B256" i="12"/>
  <c r="G256" i="12" l="1"/>
  <c r="B257" i="12"/>
  <c r="C256" i="12"/>
  <c r="D256" i="12"/>
  <c r="I255" i="12"/>
  <c r="J255" i="12" s="1"/>
  <c r="A255" i="12"/>
  <c r="F255" i="12"/>
  <c r="I256" i="12" l="1"/>
  <c r="J256" i="12" s="1"/>
  <c r="A256" i="12"/>
  <c r="F256" i="12"/>
  <c r="D257" i="12"/>
  <c r="B258" i="12"/>
  <c r="G257" i="12"/>
  <c r="C257" i="12"/>
  <c r="I257" i="12" l="1"/>
  <c r="J257" i="12" s="1"/>
  <c r="F257" i="12"/>
  <c r="A257" i="12"/>
  <c r="G258" i="12"/>
  <c r="D258" i="12"/>
  <c r="B259" i="12"/>
  <c r="C258" i="12"/>
  <c r="D259" i="12" l="1"/>
  <c r="B260" i="12"/>
  <c r="G259" i="12"/>
  <c r="C259" i="12"/>
  <c r="I258" i="12"/>
  <c r="J258" i="12" s="1"/>
  <c r="A258" i="12"/>
  <c r="F258" i="12"/>
  <c r="C260" i="12" l="1"/>
  <c r="D260" i="12"/>
  <c r="B261" i="12"/>
  <c r="G260" i="12"/>
  <c r="I259" i="12"/>
  <c r="J259" i="12" s="1"/>
  <c r="A259" i="12"/>
  <c r="F259" i="12"/>
  <c r="B262" i="12" l="1"/>
  <c r="G261" i="12"/>
  <c r="D261" i="12"/>
  <c r="C261" i="12"/>
  <c r="I260" i="12"/>
  <c r="J260" i="12" s="1"/>
  <c r="A260" i="12"/>
  <c r="F260" i="12"/>
  <c r="I261" i="12" l="1"/>
  <c r="J261" i="12" s="1"/>
  <c r="A261" i="12"/>
  <c r="F261" i="12"/>
  <c r="D262" i="12"/>
  <c r="B263" i="12"/>
  <c r="G262" i="12"/>
  <c r="C262" i="12"/>
  <c r="I262" i="12" l="1"/>
  <c r="J262" i="12" s="1"/>
  <c r="A262" i="12"/>
  <c r="F262" i="12"/>
  <c r="D263" i="12"/>
  <c r="G263" i="12"/>
  <c r="C263" i="12"/>
  <c r="B264" i="12"/>
  <c r="G264" i="12" l="1"/>
  <c r="B265" i="12"/>
  <c r="C264" i="12"/>
  <c r="D264" i="12"/>
  <c r="I263" i="12"/>
  <c r="J263" i="12" s="1"/>
  <c r="F263" i="12"/>
  <c r="A263" i="12"/>
  <c r="I264" i="12" l="1"/>
  <c r="J264" i="12" s="1"/>
  <c r="A264" i="12"/>
  <c r="F264" i="12"/>
  <c r="B266" i="12"/>
  <c r="D265" i="12"/>
  <c r="G265" i="12"/>
  <c r="C265" i="12"/>
  <c r="D266" i="12" l="1"/>
  <c r="C266" i="12"/>
  <c r="B267" i="12"/>
  <c r="G266" i="12"/>
  <c r="I265" i="12"/>
  <c r="J265" i="12" s="1"/>
  <c r="A265" i="12"/>
  <c r="F265" i="12"/>
  <c r="D267" i="12" l="1"/>
  <c r="B268" i="12"/>
  <c r="G267" i="12"/>
  <c r="C267" i="12"/>
  <c r="I266" i="12"/>
  <c r="J266" i="12" s="1"/>
  <c r="A266" i="12"/>
  <c r="F266" i="12"/>
  <c r="G268" i="12" l="1"/>
  <c r="D268" i="12"/>
  <c r="B269" i="12"/>
  <c r="C268" i="12"/>
  <c r="I267" i="12"/>
  <c r="J267" i="12" s="1"/>
  <c r="A267" i="12"/>
  <c r="F267" i="12"/>
  <c r="D269" i="12" l="1"/>
  <c r="C269" i="12"/>
  <c r="B270" i="12"/>
  <c r="G269" i="12"/>
  <c r="I268" i="12"/>
  <c r="J268" i="12" s="1"/>
  <c r="A268" i="12"/>
  <c r="F268" i="12"/>
  <c r="C270" i="12" l="1"/>
  <c r="G270" i="12"/>
  <c r="D270" i="12"/>
  <c r="B271" i="12"/>
  <c r="I269" i="12"/>
  <c r="J269" i="12" s="1"/>
  <c r="A269" i="12"/>
  <c r="F269" i="12"/>
  <c r="I270" i="12" l="1"/>
  <c r="J270" i="12" s="1"/>
  <c r="A270" i="12"/>
  <c r="F270" i="12"/>
  <c r="D271" i="12"/>
  <c r="G271" i="12"/>
  <c r="C271" i="12"/>
  <c r="B272" i="12"/>
  <c r="C272" i="12" l="1"/>
  <c r="B273" i="12"/>
  <c r="G272" i="12"/>
  <c r="D272" i="12"/>
  <c r="I271" i="12"/>
  <c r="J271" i="12" s="1"/>
  <c r="A271" i="12"/>
  <c r="F271" i="12"/>
  <c r="I272" i="12" l="1"/>
  <c r="J272" i="12" s="1"/>
  <c r="A272" i="12"/>
  <c r="F272" i="12"/>
  <c r="D273" i="12"/>
  <c r="B274" i="12"/>
  <c r="G273" i="12"/>
  <c r="C273" i="12"/>
  <c r="I273" i="12" l="1"/>
  <c r="J273" i="12" s="1"/>
  <c r="F273" i="12"/>
  <c r="A273" i="12"/>
  <c r="G274" i="12"/>
  <c r="D274" i="12"/>
  <c r="B275" i="12"/>
  <c r="C274" i="12"/>
  <c r="D275" i="12" l="1"/>
  <c r="B276" i="12"/>
  <c r="G275" i="12"/>
  <c r="C275" i="12"/>
  <c r="I274" i="12"/>
  <c r="J274" i="12" s="1"/>
  <c r="A274" i="12"/>
  <c r="F274" i="12"/>
  <c r="G276" i="12" l="1"/>
  <c r="D276" i="12"/>
  <c r="B277" i="12"/>
  <c r="C276" i="12"/>
  <c r="I275" i="12"/>
  <c r="J275" i="12" s="1"/>
  <c r="A275" i="12"/>
  <c r="F275" i="12"/>
  <c r="B278" i="12" l="1"/>
  <c r="C277" i="12"/>
  <c r="D277" i="12"/>
  <c r="G277" i="12"/>
  <c r="I276" i="12"/>
  <c r="J276" i="12" s="1"/>
  <c r="A276" i="12"/>
  <c r="F276" i="12"/>
  <c r="I277" i="12" l="1"/>
  <c r="J277" i="12" s="1"/>
  <c r="A277" i="12"/>
  <c r="F277" i="12"/>
  <c r="D278" i="12"/>
  <c r="B279" i="12"/>
  <c r="G278" i="12"/>
  <c r="C278" i="12"/>
  <c r="I278" i="12" l="1"/>
  <c r="J278" i="12" s="1"/>
  <c r="A278" i="12"/>
  <c r="F278" i="12"/>
  <c r="G279" i="12"/>
  <c r="D279" i="12"/>
  <c r="B280" i="12"/>
  <c r="C279" i="12"/>
  <c r="G280" i="12" l="1"/>
  <c r="B281" i="12"/>
  <c r="C280" i="12"/>
  <c r="D280" i="12"/>
  <c r="I279" i="12"/>
  <c r="J279" i="12" s="1"/>
  <c r="A279" i="12"/>
  <c r="F279" i="12"/>
  <c r="B282" i="12" l="1"/>
  <c r="D281" i="12"/>
  <c r="C281" i="12"/>
  <c r="G281" i="12"/>
  <c r="I280" i="12"/>
  <c r="J280" i="12" s="1"/>
  <c r="A280" i="12"/>
  <c r="F280" i="12"/>
  <c r="I281" i="12" l="1"/>
  <c r="J281" i="12" s="1"/>
  <c r="A281" i="12"/>
  <c r="F281" i="12"/>
  <c r="D282" i="12"/>
  <c r="C282" i="12"/>
  <c r="B283" i="12"/>
  <c r="G282" i="12"/>
  <c r="D283" i="12" l="1"/>
  <c r="B284" i="12"/>
  <c r="G283" i="12"/>
  <c r="C283" i="12"/>
  <c r="I282" i="12"/>
  <c r="J282" i="12" s="1"/>
  <c r="A282" i="12"/>
  <c r="F282" i="12"/>
  <c r="G284" i="12" l="1"/>
  <c r="D284" i="12"/>
  <c r="B285" i="12"/>
  <c r="C284" i="12"/>
  <c r="I283" i="12"/>
  <c r="J283" i="12" s="1"/>
  <c r="A283" i="12"/>
  <c r="F283" i="12"/>
  <c r="D285" i="12" l="1"/>
  <c r="C285" i="12"/>
  <c r="B286" i="12"/>
  <c r="G285" i="12"/>
  <c r="I284" i="12"/>
  <c r="J284" i="12" s="1"/>
  <c r="A284" i="12"/>
  <c r="F284" i="12"/>
  <c r="G286" i="12" l="1"/>
  <c r="C286" i="12"/>
  <c r="B287" i="12"/>
  <c r="D286" i="12"/>
  <c r="I285" i="12"/>
  <c r="J285" i="12" s="1"/>
  <c r="A285" i="12"/>
  <c r="F285" i="12"/>
  <c r="D287" i="12" l="1"/>
  <c r="C287" i="12"/>
  <c r="B288" i="12"/>
  <c r="I286" i="12"/>
  <c r="J286" i="12" s="1"/>
  <c r="F286" i="12"/>
  <c r="A286" i="12"/>
  <c r="C288" i="12" l="1"/>
  <c r="D288" i="12"/>
  <c r="B289" i="12"/>
  <c r="I287" i="12"/>
  <c r="J287" i="12" s="1"/>
  <c r="A287" i="12"/>
  <c r="F287" i="12"/>
  <c r="I288" i="12" l="1"/>
  <c r="J288" i="12" s="1"/>
  <c r="A288" i="12"/>
  <c r="F288" i="12"/>
  <c r="C289" i="12"/>
  <c r="D289" i="12"/>
  <c r="B290" i="12"/>
  <c r="B291" i="12" l="1"/>
  <c r="D290" i="12"/>
  <c r="C290" i="12"/>
  <c r="I289" i="12"/>
  <c r="J289" i="12" s="1"/>
  <c r="A289" i="12"/>
  <c r="F289" i="12"/>
  <c r="I290" i="12" l="1"/>
  <c r="J290" i="12" s="1"/>
  <c r="F290" i="12"/>
  <c r="A290" i="12"/>
  <c r="D291" i="12"/>
  <c r="B292" i="12"/>
  <c r="C291" i="12"/>
  <c r="I291" i="12" l="1"/>
  <c r="J291" i="12" s="1"/>
  <c r="A291" i="12"/>
  <c r="F291" i="12"/>
  <c r="D292" i="12"/>
  <c r="B293" i="12"/>
  <c r="C292" i="12"/>
  <c r="I292" i="12" l="1"/>
  <c r="J292" i="12" s="1"/>
  <c r="F292" i="12"/>
  <c r="A292" i="12"/>
  <c r="C293" i="12"/>
  <c r="B294" i="12"/>
  <c r="D293" i="12"/>
  <c r="I293" i="12" l="1"/>
  <c r="J293" i="12" s="1"/>
  <c r="F293" i="12"/>
  <c r="A293" i="12"/>
  <c r="C294" i="12"/>
  <c r="B295" i="12"/>
  <c r="D294" i="12"/>
  <c r="I294" i="12" l="1"/>
  <c r="J294" i="12" s="1"/>
  <c r="F294" i="12"/>
  <c r="A294" i="12"/>
  <c r="D295" i="12"/>
  <c r="B296" i="12"/>
  <c r="C295" i="12"/>
  <c r="I295" i="12" l="1"/>
  <c r="J295" i="12" s="1"/>
  <c r="A295" i="12"/>
  <c r="F295" i="12"/>
  <c r="D296" i="12"/>
  <c r="B297" i="12"/>
  <c r="C296" i="12"/>
  <c r="I296" i="12" l="1"/>
  <c r="J296" i="12" s="1"/>
  <c r="A296" i="12"/>
  <c r="F296" i="12"/>
  <c r="C297" i="12"/>
  <c r="B298" i="12"/>
  <c r="D297" i="12"/>
  <c r="I297" i="12" l="1"/>
  <c r="J297" i="12" s="1"/>
  <c r="F297" i="12"/>
  <c r="A297" i="12"/>
  <c r="D298" i="12"/>
  <c r="B299" i="12"/>
  <c r="C298" i="12"/>
  <c r="I298" i="12" l="1"/>
  <c r="J298" i="12" s="1"/>
  <c r="F298" i="12"/>
  <c r="A298" i="12"/>
  <c r="D299" i="12"/>
  <c r="B300" i="12"/>
  <c r="C299" i="12"/>
  <c r="I299" i="12" l="1"/>
  <c r="J299" i="12" s="1"/>
  <c r="A299" i="12"/>
  <c r="F299" i="12"/>
  <c r="B301" i="12"/>
  <c r="C300" i="12"/>
  <c r="D300" i="12"/>
  <c r="C301" i="12" l="1"/>
  <c r="B302" i="12"/>
  <c r="D301" i="12"/>
  <c r="I300" i="12"/>
  <c r="J300" i="12" s="1"/>
  <c r="A300" i="12"/>
  <c r="F300" i="12"/>
  <c r="B303" i="12" l="1"/>
  <c r="C302" i="12"/>
  <c r="D302" i="12"/>
  <c r="I301" i="12"/>
  <c r="J301" i="12" s="1"/>
  <c r="A301" i="12"/>
  <c r="F301" i="12"/>
  <c r="I302" i="12" l="1"/>
  <c r="J302" i="12" s="1"/>
  <c r="F302" i="12"/>
  <c r="A302" i="12"/>
  <c r="D303" i="12"/>
  <c r="C303" i="12"/>
  <c r="B304" i="12"/>
  <c r="C304" i="12" l="1"/>
  <c r="D304" i="12"/>
  <c r="B305" i="12"/>
  <c r="I303" i="12"/>
  <c r="J303" i="12" s="1"/>
  <c r="A303" i="12"/>
  <c r="F303" i="12"/>
  <c r="I304" i="12" l="1"/>
  <c r="J304" i="12" s="1"/>
  <c r="A304" i="12"/>
  <c r="F304" i="12"/>
  <c r="C305" i="12"/>
  <c r="D305" i="12"/>
  <c r="B306" i="12"/>
  <c r="B307" i="12" l="1"/>
  <c r="C306" i="12"/>
  <c r="D306" i="12"/>
  <c r="I305" i="12"/>
  <c r="J305" i="12" s="1"/>
  <c r="A305" i="12"/>
  <c r="F305" i="12"/>
  <c r="I306" i="12" l="1"/>
  <c r="J306" i="12" s="1"/>
  <c r="F306" i="12"/>
  <c r="A306" i="12"/>
  <c r="D307" i="12"/>
  <c r="B308" i="12"/>
  <c r="C307" i="12"/>
  <c r="I307" i="12" l="1"/>
  <c r="J307" i="12" s="1"/>
  <c r="A307" i="12"/>
  <c r="F307" i="12"/>
  <c r="D308" i="12"/>
  <c r="B309" i="12"/>
  <c r="C308" i="12"/>
  <c r="I308" i="12" l="1"/>
  <c r="J308" i="12" s="1"/>
  <c r="F308" i="12"/>
  <c r="A308" i="12"/>
  <c r="C309" i="12"/>
  <c r="D309" i="12"/>
  <c r="B310" i="12"/>
  <c r="C310" i="12" l="1"/>
  <c r="B311" i="12"/>
  <c r="D310" i="12"/>
  <c r="I309" i="12"/>
  <c r="J309" i="12" s="1"/>
  <c r="F309" i="12"/>
  <c r="A309" i="12"/>
  <c r="I310" i="12" l="1"/>
  <c r="J310" i="12" s="1"/>
  <c r="F310" i="12"/>
  <c r="A310" i="12"/>
  <c r="D311" i="12"/>
  <c r="B312" i="12"/>
  <c r="C311" i="12"/>
  <c r="I311" i="12" l="1"/>
  <c r="J311" i="12" s="1"/>
  <c r="A311" i="12"/>
  <c r="F311" i="12"/>
  <c r="D312" i="12"/>
  <c r="B313" i="12"/>
  <c r="C312" i="12"/>
  <c r="C313" i="12" l="1"/>
  <c r="B314" i="12"/>
  <c r="D313" i="12"/>
  <c r="I312" i="12"/>
  <c r="J312" i="12" s="1"/>
  <c r="A312" i="12"/>
  <c r="F312" i="12"/>
  <c r="I313" i="12" l="1"/>
  <c r="J313" i="12" s="1"/>
  <c r="F313" i="12"/>
  <c r="A313" i="12"/>
  <c r="C314" i="12"/>
  <c r="D314" i="12"/>
  <c r="B315" i="12"/>
  <c r="I314" i="12" l="1"/>
  <c r="J314" i="12" s="1"/>
  <c r="F314" i="12"/>
  <c r="A314" i="12"/>
  <c r="D315" i="12"/>
  <c r="B316" i="12"/>
  <c r="C315" i="12"/>
  <c r="I315" i="12" l="1"/>
  <c r="J315" i="12" s="1"/>
  <c r="A315" i="12"/>
  <c r="F315" i="12"/>
  <c r="B317" i="12"/>
  <c r="C316" i="12"/>
  <c r="D316" i="12"/>
  <c r="I316" i="12" l="1"/>
  <c r="J316" i="12" s="1"/>
  <c r="F316" i="12"/>
  <c r="A316" i="12"/>
  <c r="C317" i="12"/>
  <c r="B318" i="12"/>
  <c r="D317" i="12"/>
  <c r="I317" i="12" l="1"/>
  <c r="J317" i="12" s="1"/>
  <c r="A317" i="12"/>
  <c r="F317" i="12"/>
  <c r="B319" i="12"/>
  <c r="C318" i="12"/>
  <c r="D318" i="12"/>
  <c r="D319" i="12" l="1"/>
  <c r="C319" i="12"/>
  <c r="B320" i="12"/>
  <c r="I318" i="12"/>
  <c r="J318" i="12" s="1"/>
  <c r="F318" i="12"/>
  <c r="A318" i="12"/>
  <c r="C320" i="12" l="1"/>
  <c r="D320" i="12"/>
  <c r="B321" i="12"/>
  <c r="I319" i="12"/>
  <c r="J319" i="12" s="1"/>
  <c r="A319" i="12"/>
  <c r="F319" i="12"/>
  <c r="C321" i="12" l="1"/>
  <c r="D321" i="12"/>
  <c r="B322" i="12"/>
  <c r="I320" i="12"/>
  <c r="J320" i="12" s="1"/>
  <c r="A320" i="12"/>
  <c r="F320" i="12"/>
  <c r="I321" i="12" l="1"/>
  <c r="J321" i="12" s="1"/>
  <c r="A321" i="12"/>
  <c r="F321" i="12"/>
  <c r="B323" i="12"/>
  <c r="D322" i="12"/>
  <c r="C322" i="12"/>
  <c r="D323" i="12" l="1"/>
  <c r="C323" i="12"/>
  <c r="B324" i="12"/>
  <c r="I322" i="12"/>
  <c r="J322" i="12" s="1"/>
  <c r="F322" i="12"/>
  <c r="A322" i="12"/>
  <c r="D324" i="12" l="1"/>
  <c r="B325" i="12"/>
  <c r="C324" i="12"/>
  <c r="I323" i="12"/>
  <c r="J323" i="12" s="1"/>
  <c r="A323" i="12"/>
  <c r="F323" i="12"/>
  <c r="C325" i="12" l="1"/>
  <c r="B326" i="12"/>
  <c r="D325" i="12"/>
  <c r="I324" i="12"/>
  <c r="J324" i="12" s="1"/>
  <c r="F324" i="12"/>
  <c r="A324" i="12"/>
  <c r="C326" i="12" l="1"/>
  <c r="D326" i="12"/>
  <c r="B327" i="12"/>
  <c r="I325" i="12"/>
  <c r="J325" i="12" s="1"/>
  <c r="F325" i="12"/>
  <c r="A325" i="12"/>
  <c r="C327" i="12" l="1"/>
  <c r="B328" i="12"/>
  <c r="D327" i="12"/>
  <c r="I326" i="12"/>
  <c r="J326" i="12" s="1"/>
  <c r="A326" i="12"/>
  <c r="F326" i="12"/>
  <c r="D328" i="12" l="1"/>
  <c r="B329" i="12"/>
  <c r="C328" i="12"/>
  <c r="I327" i="12"/>
  <c r="J327" i="12" s="1"/>
  <c r="A327" i="12"/>
  <c r="F327" i="12"/>
  <c r="C329" i="12" l="1"/>
  <c r="B330" i="12"/>
  <c r="D329" i="12"/>
  <c r="I328" i="12"/>
  <c r="J328" i="12" s="1"/>
  <c r="A328" i="12"/>
  <c r="F328" i="12"/>
  <c r="B331" i="12" l="1"/>
  <c r="C330" i="12"/>
  <c r="D330" i="12"/>
  <c r="I329" i="12"/>
  <c r="J329" i="12" s="1"/>
  <c r="F329" i="12"/>
  <c r="A329" i="12"/>
  <c r="I330" i="12" l="1"/>
  <c r="J330" i="12" s="1"/>
  <c r="F330" i="12"/>
  <c r="A330" i="12"/>
  <c r="D331" i="12"/>
  <c r="B332" i="12"/>
  <c r="C331" i="12"/>
  <c r="I331" i="12" l="1"/>
  <c r="J331" i="12" s="1"/>
  <c r="A331" i="12"/>
  <c r="F331" i="12"/>
  <c r="B333" i="12"/>
  <c r="D332" i="12"/>
  <c r="C332" i="12"/>
  <c r="C333" i="12" l="1"/>
  <c r="B334" i="12"/>
  <c r="D333" i="12"/>
  <c r="I332" i="12"/>
  <c r="J332" i="12" s="1"/>
  <c r="A332" i="12"/>
  <c r="F332" i="12"/>
  <c r="I333" i="12" l="1"/>
  <c r="J333" i="12" s="1"/>
  <c r="F333" i="12"/>
  <c r="A333" i="12"/>
  <c r="B335" i="12"/>
  <c r="C334" i="12"/>
  <c r="D334" i="12"/>
  <c r="I334" i="12" l="1"/>
  <c r="J334" i="12" s="1"/>
  <c r="F334" i="12"/>
  <c r="A334" i="12"/>
  <c r="D335" i="12"/>
  <c r="C335" i="12"/>
  <c r="B336" i="12"/>
  <c r="I335" i="12" l="1"/>
  <c r="J335" i="12" s="1"/>
  <c r="A335" i="12"/>
  <c r="F335" i="12"/>
  <c r="C336" i="12"/>
  <c r="B337" i="12"/>
  <c r="D336" i="12"/>
  <c r="I336" i="12" l="1"/>
  <c r="J336" i="12" s="1"/>
  <c r="A336" i="12"/>
  <c r="F336" i="12"/>
  <c r="C337" i="12"/>
  <c r="D337" i="12"/>
  <c r="B338" i="12"/>
  <c r="B339" i="12" l="1"/>
  <c r="D338" i="12"/>
  <c r="C338" i="12"/>
  <c r="I337" i="12"/>
  <c r="J337" i="12" s="1"/>
  <c r="A337" i="12"/>
  <c r="F337" i="12"/>
  <c r="I338" i="12" l="1"/>
  <c r="J338" i="12" s="1"/>
  <c r="F338" i="12"/>
  <c r="A338" i="12"/>
  <c r="D339" i="12"/>
  <c r="B340" i="12"/>
  <c r="C339" i="12"/>
  <c r="I339" i="12" l="1"/>
  <c r="J339" i="12" s="1"/>
  <c r="A339" i="12"/>
  <c r="F339" i="12"/>
  <c r="C340" i="12"/>
  <c r="D340" i="12"/>
  <c r="B341" i="12"/>
  <c r="C341" i="12" l="1"/>
  <c r="B342" i="12"/>
  <c r="D341" i="12"/>
  <c r="I340" i="12"/>
  <c r="J340" i="12" s="1"/>
  <c r="F340" i="12"/>
  <c r="A340" i="12"/>
  <c r="C342" i="12" l="1"/>
  <c r="D342" i="12"/>
  <c r="B343" i="12"/>
  <c r="I341" i="12"/>
  <c r="J341" i="12" s="1"/>
  <c r="F341" i="12"/>
  <c r="A341" i="12"/>
  <c r="D343" i="12" l="1"/>
  <c r="C343" i="12"/>
  <c r="B344" i="12"/>
  <c r="I342" i="12"/>
  <c r="J342" i="12" s="1"/>
  <c r="F342" i="12"/>
  <c r="A342" i="12"/>
  <c r="D344" i="12" l="1"/>
  <c r="B345" i="12"/>
  <c r="C344" i="12"/>
  <c r="I343" i="12"/>
  <c r="J343" i="12" s="1"/>
  <c r="A343" i="12"/>
  <c r="F343" i="12"/>
  <c r="C345" i="12" l="1"/>
  <c r="B346" i="12"/>
  <c r="D345" i="12"/>
  <c r="I344" i="12"/>
  <c r="J344" i="12" s="1"/>
  <c r="A344" i="12"/>
  <c r="F344" i="12"/>
  <c r="D346" i="12" l="1"/>
  <c r="B347" i="12"/>
  <c r="C346" i="12"/>
  <c r="I345" i="12"/>
  <c r="J345" i="12" s="1"/>
  <c r="F345" i="12"/>
  <c r="A345" i="12"/>
  <c r="D347" i="12" l="1"/>
  <c r="B348" i="12"/>
  <c r="C347" i="12"/>
  <c r="I346" i="12"/>
  <c r="J346" i="12" s="1"/>
  <c r="F346" i="12"/>
  <c r="A346" i="12"/>
  <c r="B349" i="12" l="1"/>
  <c r="D348" i="12"/>
  <c r="C348" i="12"/>
  <c r="I347" i="12"/>
  <c r="J347" i="12" s="1"/>
  <c r="A347" i="12"/>
  <c r="F347" i="12"/>
  <c r="I348" i="12" l="1"/>
  <c r="J348" i="12" s="1"/>
  <c r="A348" i="12"/>
  <c r="F348" i="12"/>
  <c r="C349" i="12"/>
  <c r="B350" i="12"/>
  <c r="D349" i="12"/>
  <c r="I349" i="12" l="1"/>
  <c r="J349" i="12" s="1"/>
  <c r="A349" i="12"/>
  <c r="F349" i="12"/>
  <c r="B351" i="12"/>
  <c r="C350" i="12"/>
  <c r="D350" i="12"/>
  <c r="D351" i="12" l="1"/>
  <c r="C351" i="12"/>
  <c r="B352" i="12"/>
  <c r="I350" i="12"/>
  <c r="J350" i="12" s="1"/>
  <c r="F350" i="12"/>
  <c r="A350" i="12"/>
  <c r="C352" i="12" l="1"/>
  <c r="D352" i="12"/>
  <c r="B353" i="12"/>
  <c r="I351" i="12"/>
  <c r="J351" i="12" s="1"/>
  <c r="A351" i="12"/>
  <c r="F351" i="12"/>
  <c r="I352" i="12" l="1"/>
  <c r="J352" i="12" s="1"/>
  <c r="A352" i="12"/>
  <c r="F352" i="12"/>
  <c r="C353" i="12"/>
  <c r="B354" i="12"/>
  <c r="D353" i="12"/>
  <c r="I353" i="12" l="1"/>
  <c r="J353" i="12" s="1"/>
  <c r="A353" i="12"/>
  <c r="F353" i="12"/>
  <c r="B355" i="12"/>
  <c r="D354" i="12"/>
  <c r="C354" i="12"/>
  <c r="D355" i="12" l="1"/>
  <c r="B356" i="12"/>
  <c r="C355" i="12"/>
  <c r="I354" i="12"/>
  <c r="J354" i="12" s="1"/>
  <c r="F354" i="12"/>
  <c r="A354" i="12"/>
  <c r="B357" i="12" l="1"/>
  <c r="C356" i="12"/>
  <c r="D356" i="12"/>
  <c r="I355" i="12"/>
  <c r="J355" i="12" s="1"/>
  <c r="A355" i="12"/>
  <c r="F355" i="12"/>
  <c r="I356" i="12" l="1"/>
  <c r="J356" i="12" s="1"/>
  <c r="F356" i="12"/>
  <c r="A356" i="12"/>
  <c r="C357" i="12"/>
  <c r="D357" i="12"/>
  <c r="B358" i="12"/>
  <c r="I357" i="12" l="1"/>
  <c r="J357" i="12" s="1"/>
  <c r="F357" i="12"/>
  <c r="A357" i="12"/>
  <c r="B359" i="12"/>
  <c r="D358" i="12"/>
  <c r="C358" i="12"/>
  <c r="D359" i="12" l="1"/>
  <c r="B360" i="12"/>
  <c r="C359" i="12"/>
  <c r="I358" i="12"/>
  <c r="J358" i="12" s="1"/>
  <c r="F358" i="12"/>
  <c r="A358" i="12"/>
  <c r="D360" i="12" l="1"/>
  <c r="C360" i="12"/>
  <c r="B361" i="12"/>
  <c r="I359" i="12"/>
  <c r="J359" i="12" s="1"/>
  <c r="A359" i="12"/>
  <c r="F359" i="12"/>
  <c r="C361" i="12" l="1"/>
  <c r="B362" i="12"/>
  <c r="D361" i="12"/>
  <c r="I360" i="12"/>
  <c r="J360" i="12" s="1"/>
  <c r="F360" i="12"/>
  <c r="A360" i="12"/>
  <c r="I361" i="12" l="1"/>
  <c r="J361" i="12" s="1"/>
  <c r="F361" i="12"/>
  <c r="A361" i="12"/>
  <c r="D362" i="12"/>
  <c r="B363" i="12"/>
  <c r="C362" i="12"/>
  <c r="I362" i="12" l="1"/>
  <c r="J362" i="12" s="1"/>
  <c r="F362" i="12"/>
  <c r="A362" i="12"/>
  <c r="D363" i="12"/>
  <c r="B364" i="12"/>
  <c r="C363" i="12"/>
  <c r="I363" i="12" l="1"/>
  <c r="J363" i="12" s="1"/>
  <c r="A363" i="12"/>
  <c r="F363" i="12"/>
  <c r="B365" i="12"/>
  <c r="D364" i="12"/>
  <c r="C364" i="12"/>
  <c r="C365" i="12" l="1"/>
  <c r="B366" i="12"/>
  <c r="D365" i="12"/>
  <c r="I364" i="12"/>
  <c r="J364" i="12" s="1"/>
  <c r="A364" i="12"/>
  <c r="F364" i="12"/>
  <c r="I365" i="12" l="1"/>
  <c r="J365" i="12" s="1"/>
  <c r="A365" i="12"/>
  <c r="F365" i="12"/>
  <c r="B367" i="12"/>
  <c r="C366" i="12"/>
  <c r="D366" i="12"/>
  <c r="D367" i="12" l="1"/>
  <c r="C367" i="12"/>
  <c r="B368" i="12"/>
  <c r="I366" i="12"/>
  <c r="J366" i="12" s="1"/>
  <c r="F366" i="12"/>
  <c r="A366" i="12"/>
  <c r="C368" i="12" l="1"/>
  <c r="D368" i="12"/>
  <c r="B369" i="12"/>
  <c r="I367" i="12"/>
  <c r="J367" i="12" s="1"/>
  <c r="A367" i="12"/>
  <c r="F367" i="12"/>
  <c r="C369" i="12" l="1"/>
  <c r="D369" i="12"/>
  <c r="B370" i="12"/>
  <c r="I368" i="12"/>
  <c r="J368" i="12" s="1"/>
  <c r="A368" i="12"/>
  <c r="F368" i="12"/>
  <c r="B371" i="12" l="1"/>
  <c r="C370" i="12"/>
  <c r="D370" i="12"/>
  <c r="I369" i="12"/>
  <c r="J369" i="12" s="1"/>
  <c r="A369" i="12"/>
  <c r="F369" i="12"/>
  <c r="I370" i="12" l="1"/>
  <c r="J370" i="12" s="1"/>
  <c r="F370" i="12"/>
  <c r="A370" i="12"/>
  <c r="D371" i="12"/>
  <c r="B372" i="12"/>
  <c r="C371" i="12"/>
  <c r="I371" i="12" l="1"/>
  <c r="J371" i="12" s="1"/>
  <c r="A371" i="12"/>
  <c r="F371" i="12"/>
  <c r="D372" i="12"/>
  <c r="B373" i="12"/>
  <c r="C372" i="12"/>
  <c r="I372" i="12" l="1"/>
  <c r="J372" i="12" s="1"/>
  <c r="F372" i="12"/>
  <c r="A372" i="12"/>
  <c r="C373" i="12"/>
  <c r="B374" i="12"/>
  <c r="D373" i="12"/>
  <c r="I373" i="12" l="1"/>
  <c r="J373" i="12" s="1"/>
  <c r="F373" i="12"/>
  <c r="A373" i="12"/>
  <c r="B375" i="12"/>
  <c r="D374" i="12"/>
  <c r="C374" i="12"/>
  <c r="D375" i="12" l="1"/>
  <c r="B376" i="12"/>
  <c r="C375" i="12"/>
  <c r="I374" i="12"/>
  <c r="J374" i="12" s="1"/>
  <c r="F374" i="12"/>
  <c r="A374" i="12"/>
  <c r="D376" i="12" l="1"/>
  <c r="B377" i="12"/>
  <c r="C376" i="12"/>
  <c r="I375" i="12"/>
  <c r="J375" i="12" s="1"/>
  <c r="A375" i="12"/>
  <c r="F375" i="12"/>
  <c r="C377" i="12" l="1"/>
  <c r="B378" i="12"/>
  <c r="D377" i="12"/>
  <c r="I376" i="12"/>
  <c r="J376" i="12" s="1"/>
  <c r="A376" i="12"/>
  <c r="F376" i="12"/>
  <c r="I377" i="12" l="1"/>
  <c r="J377" i="12" s="1"/>
  <c r="F377" i="12"/>
  <c r="A377" i="12"/>
  <c r="C378" i="12"/>
  <c r="D378" i="12"/>
  <c r="B379" i="12"/>
  <c r="D379" i="12" l="1"/>
  <c r="B380" i="12"/>
  <c r="C379" i="12"/>
  <c r="I378" i="12"/>
  <c r="J378" i="12" s="1"/>
  <c r="F378" i="12"/>
  <c r="A378" i="12"/>
  <c r="B381" i="12" l="1"/>
  <c r="C380" i="12"/>
  <c r="D380" i="12"/>
  <c r="I379" i="12"/>
  <c r="J379" i="12" s="1"/>
  <c r="A379" i="12"/>
  <c r="F379" i="12"/>
  <c r="I380" i="12" l="1"/>
  <c r="J380" i="12" s="1"/>
  <c r="F380" i="12"/>
  <c r="A380" i="12"/>
  <c r="C381" i="12"/>
  <c r="B382" i="12"/>
  <c r="D381" i="12"/>
  <c r="I381" i="12" l="1"/>
  <c r="J381" i="12" s="1"/>
  <c r="A381" i="12"/>
  <c r="F381" i="12"/>
  <c r="B383" i="12"/>
  <c r="C382" i="12"/>
  <c r="D382" i="12"/>
  <c r="I382" i="12" l="1"/>
  <c r="J382" i="12" s="1"/>
  <c r="F382" i="12"/>
  <c r="A382" i="12"/>
  <c r="D383" i="12"/>
  <c r="C383" i="12"/>
  <c r="B384" i="12"/>
  <c r="I383" i="12" l="1"/>
  <c r="J383" i="12" s="1"/>
  <c r="A383" i="12"/>
  <c r="F383" i="12"/>
  <c r="C384" i="12"/>
  <c r="D384" i="12"/>
  <c r="B385" i="12"/>
  <c r="C385" i="12" l="1"/>
  <c r="D385" i="12"/>
  <c r="B386" i="12"/>
  <c r="I384" i="12"/>
  <c r="J384" i="12" s="1"/>
  <c r="A384" i="12"/>
  <c r="F384" i="12"/>
  <c r="B387" i="12" l="1"/>
  <c r="D386" i="12"/>
  <c r="C386" i="12"/>
  <c r="I385" i="12"/>
  <c r="J385" i="12" s="1"/>
  <c r="A385" i="12"/>
  <c r="F385" i="12"/>
  <c r="I386" i="12" l="1"/>
  <c r="J386" i="12" s="1"/>
  <c r="F386" i="12"/>
  <c r="A386" i="12"/>
  <c r="D387" i="12"/>
  <c r="C387" i="12"/>
  <c r="B388" i="12"/>
  <c r="D388" i="12" l="1"/>
  <c r="B389" i="12"/>
  <c r="C388" i="12"/>
  <c r="I387" i="12"/>
  <c r="J387" i="12" s="1"/>
  <c r="A387" i="12"/>
  <c r="F387" i="12"/>
  <c r="C389" i="12" l="1"/>
  <c r="D389" i="12"/>
  <c r="B390" i="12"/>
  <c r="I388" i="12"/>
  <c r="J388" i="12" s="1"/>
  <c r="F388" i="12"/>
  <c r="A388" i="12"/>
  <c r="B391" i="12" l="1"/>
  <c r="C390" i="12"/>
  <c r="D390" i="12"/>
  <c r="I389" i="12"/>
  <c r="J389" i="12" s="1"/>
  <c r="F389" i="12"/>
  <c r="A389" i="12"/>
  <c r="I390" i="12" l="1"/>
  <c r="J390" i="12" s="1"/>
  <c r="F390" i="12"/>
  <c r="A390" i="12"/>
  <c r="D391" i="12"/>
  <c r="B392" i="12"/>
  <c r="C391" i="12"/>
  <c r="I391" i="12" l="1"/>
  <c r="J391" i="12" s="1"/>
  <c r="A391" i="12"/>
  <c r="F391" i="12"/>
  <c r="D392" i="12"/>
  <c r="B393" i="12"/>
  <c r="C392" i="12"/>
  <c r="I392" i="12" l="1"/>
  <c r="J392" i="12" s="1"/>
  <c r="A392" i="12"/>
  <c r="F392" i="12"/>
  <c r="C393" i="12"/>
  <c r="B394" i="12"/>
  <c r="D393" i="12"/>
  <c r="I393" i="12" l="1"/>
  <c r="J393" i="12" s="1"/>
  <c r="F393" i="12"/>
  <c r="A393" i="12"/>
  <c r="B395" i="12"/>
  <c r="C394" i="12"/>
  <c r="D394" i="12"/>
  <c r="D395" i="12" l="1"/>
  <c r="B396" i="12"/>
  <c r="C395" i="12"/>
  <c r="I394" i="12"/>
  <c r="J394" i="12" s="1"/>
  <c r="F394" i="12"/>
  <c r="A394" i="12"/>
  <c r="B397" i="12" l="1"/>
  <c r="D396" i="12"/>
  <c r="C396" i="12"/>
  <c r="I395" i="12"/>
  <c r="J395" i="12" s="1"/>
  <c r="A395" i="12"/>
  <c r="F395" i="12"/>
  <c r="I396" i="12" l="1"/>
  <c r="J396" i="12" s="1"/>
  <c r="A396" i="12"/>
  <c r="F396" i="12"/>
  <c r="C397" i="12"/>
  <c r="B398" i="12"/>
  <c r="D397" i="12"/>
  <c r="I397" i="12" l="1"/>
  <c r="J397" i="12" s="1"/>
  <c r="F397" i="12"/>
  <c r="A397" i="12"/>
  <c r="B399" i="12"/>
  <c r="C398" i="12"/>
  <c r="D398" i="12"/>
  <c r="D399" i="12" l="1"/>
  <c r="C399" i="12"/>
  <c r="B400" i="12"/>
  <c r="I398" i="12"/>
  <c r="J398" i="12" s="1"/>
  <c r="F398" i="12"/>
  <c r="A398" i="12"/>
  <c r="C400" i="12" l="1"/>
  <c r="B401" i="12"/>
  <c r="D400" i="12"/>
  <c r="I399" i="12"/>
  <c r="J399" i="12" s="1"/>
  <c r="A399" i="12"/>
  <c r="F399" i="12"/>
  <c r="C401" i="12" l="1"/>
  <c r="D401" i="12"/>
  <c r="B402" i="12"/>
  <c r="I400" i="12"/>
  <c r="J400" i="12" s="1"/>
  <c r="A400" i="12"/>
  <c r="F400" i="12"/>
  <c r="I401" i="12" l="1"/>
  <c r="J401" i="12" s="1"/>
  <c r="A401" i="12"/>
  <c r="F401" i="12"/>
  <c r="B403" i="12"/>
  <c r="D402" i="12"/>
  <c r="C402" i="12"/>
  <c r="I402" i="12" l="1"/>
  <c r="J402" i="12" s="1"/>
  <c r="F402" i="12"/>
  <c r="A402" i="12"/>
  <c r="D403" i="12"/>
  <c r="B404" i="12"/>
  <c r="C403" i="12"/>
  <c r="I403" i="12" l="1"/>
  <c r="J403" i="12" s="1"/>
  <c r="A403" i="12"/>
  <c r="F403" i="12"/>
  <c r="C404" i="12"/>
  <c r="D404" i="12"/>
  <c r="B405" i="12"/>
  <c r="C405" i="12" l="1"/>
  <c r="D405" i="12"/>
  <c r="B406" i="12"/>
  <c r="I404" i="12"/>
  <c r="J404" i="12" s="1"/>
  <c r="F404" i="12"/>
  <c r="A404" i="12"/>
  <c r="B407" i="12" l="1"/>
  <c r="D406" i="12"/>
  <c r="C406" i="12"/>
  <c r="I405" i="12"/>
  <c r="J405" i="12" s="1"/>
  <c r="F405" i="12"/>
  <c r="A405" i="12"/>
  <c r="I406" i="12" l="1"/>
  <c r="J406" i="12" s="1"/>
  <c r="F406" i="12"/>
  <c r="A406" i="12"/>
  <c r="D407" i="12"/>
  <c r="C407" i="12"/>
  <c r="B408" i="12"/>
  <c r="I407" i="12" l="1"/>
  <c r="J407" i="12" s="1"/>
  <c r="A407" i="12"/>
  <c r="F407" i="12"/>
  <c r="D408" i="12"/>
  <c r="B409" i="12"/>
  <c r="C408" i="12"/>
  <c r="I408" i="12" l="1"/>
  <c r="J408" i="12" s="1"/>
  <c r="A408" i="12"/>
  <c r="F408" i="12"/>
  <c r="C409" i="12"/>
  <c r="D409" i="12"/>
  <c r="B410" i="12"/>
  <c r="B411" i="12" l="1"/>
  <c r="D410" i="12"/>
  <c r="C410" i="12"/>
  <c r="I409" i="12"/>
  <c r="J409" i="12" s="1"/>
  <c r="A409" i="12"/>
  <c r="F409" i="12"/>
  <c r="I410" i="12" l="1"/>
  <c r="J410" i="12" s="1"/>
  <c r="F410" i="12"/>
  <c r="A410" i="12"/>
  <c r="D411" i="12"/>
  <c r="B412" i="12"/>
  <c r="C411" i="12"/>
  <c r="I411" i="12" l="1"/>
  <c r="J411" i="12" s="1"/>
  <c r="A411" i="12"/>
  <c r="F411" i="12"/>
  <c r="B413" i="12"/>
  <c r="D412" i="12"/>
  <c r="C412" i="12"/>
  <c r="C413" i="12" l="1"/>
  <c r="B414" i="12"/>
  <c r="D413" i="12"/>
  <c r="I412" i="12"/>
  <c r="J412" i="12" s="1"/>
  <c r="A412" i="12"/>
  <c r="F412" i="12"/>
  <c r="I413" i="12" l="1"/>
  <c r="J413" i="12" s="1"/>
  <c r="A413" i="12"/>
  <c r="F413" i="12"/>
  <c r="B415" i="12"/>
  <c r="C414" i="12"/>
  <c r="D414" i="12"/>
  <c r="D415" i="12" l="1"/>
  <c r="C415" i="12"/>
  <c r="B416" i="12"/>
  <c r="I414" i="12"/>
  <c r="J414" i="12" s="1"/>
  <c r="F414" i="12"/>
  <c r="A414" i="12"/>
  <c r="C416" i="12" l="1"/>
  <c r="D416" i="12"/>
  <c r="B417" i="12"/>
  <c r="I415" i="12"/>
  <c r="J415" i="12" s="1"/>
  <c r="A415" i="12"/>
  <c r="F415" i="12"/>
  <c r="C417" i="12" l="1"/>
  <c r="B418" i="12"/>
  <c r="D417" i="12"/>
  <c r="I416" i="12"/>
  <c r="J416" i="12" s="1"/>
  <c r="A416" i="12"/>
  <c r="F416" i="12"/>
  <c r="I417" i="12" l="1"/>
  <c r="J417" i="12" s="1"/>
  <c r="A417" i="12"/>
  <c r="F417" i="12"/>
  <c r="B419" i="12"/>
  <c r="D418" i="12"/>
  <c r="C418" i="12"/>
  <c r="D419" i="12" l="1"/>
  <c r="B420" i="12"/>
  <c r="C419" i="12"/>
  <c r="I418" i="12"/>
  <c r="J418" i="12" s="1"/>
  <c r="F418" i="12"/>
  <c r="A418" i="12"/>
  <c r="B421" i="12" l="1"/>
  <c r="C420" i="12"/>
  <c r="D420" i="12"/>
  <c r="I419" i="12"/>
  <c r="J419" i="12" s="1"/>
  <c r="A419" i="12"/>
  <c r="F419" i="12"/>
  <c r="I420" i="12" l="1"/>
  <c r="J420" i="12" s="1"/>
  <c r="F420" i="12"/>
  <c r="A420" i="12"/>
  <c r="C421" i="12"/>
  <c r="D421" i="12"/>
  <c r="B422" i="12"/>
  <c r="B423" i="12" l="1"/>
  <c r="D422" i="12"/>
  <c r="C422" i="12"/>
  <c r="I421" i="12"/>
  <c r="J421" i="12" s="1"/>
  <c r="F421" i="12"/>
  <c r="A421" i="12"/>
  <c r="I422" i="12" l="1"/>
  <c r="J422" i="12" s="1"/>
  <c r="F422" i="12"/>
  <c r="A422" i="12"/>
  <c r="D423" i="12"/>
  <c r="B424" i="12"/>
  <c r="C423" i="12"/>
  <c r="I423" i="12" l="1"/>
  <c r="J423" i="12" s="1"/>
  <c r="A423" i="12"/>
  <c r="F423" i="12"/>
  <c r="D424" i="12"/>
  <c r="C424" i="12"/>
  <c r="B425" i="12"/>
  <c r="I424" i="12" l="1"/>
  <c r="J424" i="12" s="1"/>
  <c r="F424" i="12"/>
  <c r="A424" i="12"/>
  <c r="C425" i="12"/>
  <c r="B426" i="12"/>
  <c r="D425" i="12"/>
  <c r="I425" i="12" l="1"/>
  <c r="J425" i="12" s="1"/>
  <c r="F425" i="12"/>
  <c r="A425" i="12"/>
  <c r="D426" i="12"/>
  <c r="B427" i="12"/>
  <c r="C426" i="12"/>
  <c r="I426" i="12" l="1"/>
  <c r="J426" i="12" s="1"/>
  <c r="F426" i="12"/>
  <c r="A426" i="12"/>
  <c r="D427" i="12"/>
  <c r="B428" i="12"/>
  <c r="C427" i="12"/>
  <c r="I427" i="12" l="1"/>
  <c r="J427" i="12" s="1"/>
  <c r="A427" i="12"/>
  <c r="F427" i="12"/>
  <c r="B429" i="12"/>
  <c r="D428" i="12"/>
  <c r="C428" i="12"/>
  <c r="C429" i="12" l="1"/>
  <c r="B430" i="12"/>
  <c r="D429" i="12"/>
  <c r="I428" i="12"/>
  <c r="J428" i="12" s="1"/>
  <c r="A428" i="12"/>
  <c r="F428" i="12"/>
  <c r="I429" i="12" l="1"/>
  <c r="J429" i="12" s="1"/>
  <c r="A429" i="12"/>
  <c r="F429" i="12"/>
  <c r="B431" i="12"/>
  <c r="C430" i="12"/>
  <c r="D430" i="12"/>
  <c r="I430" i="12" l="1"/>
  <c r="J430" i="12" s="1"/>
  <c r="F430" i="12"/>
  <c r="A430" i="12"/>
  <c r="D431" i="12"/>
  <c r="C431" i="12"/>
  <c r="B432" i="12"/>
  <c r="C432" i="12" l="1"/>
  <c r="D432" i="12"/>
  <c r="B433" i="12"/>
  <c r="I431" i="12"/>
  <c r="J431" i="12" s="1"/>
  <c r="A431" i="12"/>
  <c r="F431" i="12"/>
  <c r="C433" i="12" l="1"/>
  <c r="D433" i="12"/>
  <c r="B434" i="12"/>
  <c r="I432" i="12"/>
  <c r="J432" i="12" s="1"/>
  <c r="A432" i="12"/>
  <c r="F432" i="12"/>
  <c r="B435" i="12" l="1"/>
  <c r="C434" i="12"/>
  <c r="D434" i="12"/>
  <c r="I433" i="12"/>
  <c r="J433" i="12" s="1"/>
  <c r="A433" i="12"/>
  <c r="F433" i="12"/>
  <c r="I434" i="12" l="1"/>
  <c r="J434" i="12" s="1"/>
  <c r="F434" i="12"/>
  <c r="A434" i="12"/>
  <c r="D435" i="12"/>
  <c r="B436" i="12"/>
  <c r="C435" i="12"/>
  <c r="I435" i="12" l="1"/>
  <c r="J435" i="12" s="1"/>
  <c r="A435" i="12"/>
  <c r="F435" i="12"/>
  <c r="D436" i="12"/>
  <c r="B437" i="12"/>
  <c r="C436" i="12"/>
  <c r="I436" i="12" l="1"/>
  <c r="J436" i="12" s="1"/>
  <c r="F436" i="12"/>
  <c r="A436" i="12"/>
  <c r="C437" i="12"/>
  <c r="B438" i="12"/>
  <c r="D437" i="12"/>
  <c r="I437" i="12" l="1"/>
  <c r="J437" i="12" s="1"/>
  <c r="F437" i="12"/>
  <c r="A437" i="12"/>
  <c r="B439" i="12"/>
  <c r="D438" i="12"/>
  <c r="C438" i="12"/>
  <c r="C439" i="12" l="1"/>
  <c r="D439" i="12"/>
  <c r="B440" i="12"/>
  <c r="I438" i="12"/>
  <c r="J438" i="12" s="1"/>
  <c r="A438" i="12"/>
  <c r="F438" i="12"/>
  <c r="B441" i="12" l="1"/>
  <c r="D440" i="12"/>
  <c r="C440" i="12"/>
  <c r="I439" i="12"/>
  <c r="J439" i="12" s="1"/>
  <c r="A439" i="12"/>
  <c r="F439" i="12"/>
  <c r="C441" i="12" l="1"/>
  <c r="B442" i="12"/>
  <c r="D441" i="12"/>
  <c r="I440" i="12"/>
  <c r="J440" i="12" s="1"/>
  <c r="A440" i="12"/>
  <c r="F440" i="12"/>
  <c r="I441" i="12" l="1"/>
  <c r="J441" i="12" s="1"/>
  <c r="F441" i="12"/>
  <c r="A441" i="12"/>
  <c r="C442" i="12"/>
  <c r="D442" i="12"/>
  <c r="B443" i="12"/>
  <c r="D443" i="12" l="1"/>
  <c r="B444" i="12"/>
  <c r="C443" i="12"/>
  <c r="I442" i="12"/>
  <c r="J442" i="12" s="1"/>
  <c r="F442" i="12"/>
  <c r="A442" i="12"/>
  <c r="I443" i="12" l="1"/>
  <c r="J443" i="12" s="1"/>
  <c r="A443" i="12"/>
  <c r="F443" i="12"/>
  <c r="B445" i="12"/>
  <c r="C444" i="12"/>
  <c r="D444" i="12"/>
  <c r="C445" i="12" l="1"/>
  <c r="B446" i="12"/>
  <c r="D445" i="12"/>
  <c r="I444" i="12"/>
  <c r="J444" i="12" s="1"/>
  <c r="F444" i="12"/>
  <c r="A444" i="12"/>
  <c r="I445" i="12" l="1"/>
  <c r="J445" i="12" s="1"/>
  <c r="A445" i="12"/>
  <c r="F445" i="12"/>
  <c r="B447" i="12"/>
  <c r="C446" i="12"/>
  <c r="D446" i="12"/>
  <c r="D447" i="12" l="1"/>
  <c r="C447" i="12"/>
  <c r="B448" i="12"/>
  <c r="I446" i="12"/>
  <c r="J446" i="12" s="1"/>
  <c r="F446" i="12"/>
  <c r="A446" i="12"/>
  <c r="C448" i="12" l="1"/>
  <c r="D448" i="12"/>
  <c r="B449" i="12"/>
  <c r="I447" i="12"/>
  <c r="J447" i="12" s="1"/>
  <c r="A447" i="12"/>
  <c r="F447" i="12"/>
  <c r="I448" i="12" l="1"/>
  <c r="J448" i="12" s="1"/>
  <c r="A448" i="12"/>
  <c r="F448" i="12"/>
  <c r="C449" i="12"/>
  <c r="D449" i="12"/>
  <c r="B450" i="12"/>
  <c r="B451" i="12" l="1"/>
  <c r="D450" i="12"/>
  <c r="C450" i="12"/>
  <c r="I449" i="12"/>
  <c r="J449" i="12" s="1"/>
  <c r="A449" i="12"/>
  <c r="F449" i="12"/>
  <c r="I450" i="12" l="1"/>
  <c r="J450" i="12" s="1"/>
  <c r="F450" i="12"/>
  <c r="A450" i="12"/>
  <c r="D451" i="12"/>
  <c r="C451" i="12"/>
  <c r="B452" i="12"/>
  <c r="I451" i="12" l="1"/>
  <c r="J451" i="12" s="1"/>
  <c r="A451" i="12"/>
  <c r="F451" i="12"/>
  <c r="D452" i="12"/>
  <c r="B453" i="12"/>
  <c r="C452" i="12"/>
  <c r="I452" i="12" l="1"/>
  <c r="J452" i="12" s="1"/>
  <c r="F452" i="12"/>
  <c r="A452" i="12"/>
  <c r="C453" i="12"/>
  <c r="D453" i="12"/>
  <c r="B454" i="12"/>
  <c r="B455" i="12" l="1"/>
  <c r="C454" i="12"/>
  <c r="D454" i="12"/>
  <c r="I453" i="12"/>
  <c r="J453" i="12" s="1"/>
  <c r="F453" i="12"/>
  <c r="A453" i="12"/>
  <c r="I454" i="12" l="1"/>
  <c r="J454" i="12" s="1"/>
  <c r="F454" i="12"/>
  <c r="A454" i="12"/>
  <c r="D455" i="12"/>
  <c r="B456" i="12"/>
  <c r="C455" i="12"/>
  <c r="I455" i="12" l="1"/>
  <c r="J455" i="12" s="1"/>
  <c r="A455" i="12"/>
  <c r="F455" i="12"/>
  <c r="D456" i="12"/>
  <c r="B457" i="12"/>
  <c r="C456" i="12"/>
  <c r="I456" i="12" l="1"/>
  <c r="J456" i="12" s="1"/>
  <c r="A456" i="12"/>
  <c r="F456" i="12"/>
  <c r="C457" i="12"/>
  <c r="B458" i="12"/>
  <c r="D457" i="12"/>
  <c r="I457" i="12" l="1"/>
  <c r="J457" i="12" s="1"/>
  <c r="F457" i="12"/>
  <c r="A457" i="12"/>
  <c r="B459" i="12"/>
  <c r="C458" i="12"/>
  <c r="D458" i="12"/>
  <c r="C459" i="12" l="1"/>
  <c r="D459" i="12"/>
  <c r="B460" i="12"/>
  <c r="I458" i="12"/>
  <c r="J458" i="12" s="1"/>
  <c r="A458" i="12"/>
  <c r="F458" i="12"/>
  <c r="B461" i="12" l="1"/>
  <c r="D460" i="12"/>
  <c r="C460" i="12"/>
  <c r="I459" i="12"/>
  <c r="J459" i="12" s="1"/>
  <c r="A459" i="12"/>
  <c r="F459" i="12"/>
  <c r="I460" i="12" l="1"/>
  <c r="J460" i="12" s="1"/>
  <c r="A460" i="12"/>
  <c r="F460" i="12"/>
  <c r="C461" i="12"/>
  <c r="B462" i="12"/>
  <c r="D461" i="12"/>
  <c r="I461" i="12" l="1"/>
  <c r="J461" i="12" s="1"/>
  <c r="F461" i="12"/>
  <c r="A461" i="12"/>
  <c r="B463" i="12"/>
  <c r="C462" i="12"/>
  <c r="D462" i="12"/>
  <c r="I462" i="12" l="1"/>
  <c r="J462" i="12" s="1"/>
  <c r="F462" i="12"/>
  <c r="A462" i="12"/>
  <c r="D463" i="12"/>
  <c r="C463" i="12"/>
  <c r="B464" i="12"/>
  <c r="I463" i="12" l="1"/>
  <c r="J463" i="12" s="1"/>
  <c r="A463" i="12"/>
  <c r="F463" i="12"/>
  <c r="C464" i="12"/>
  <c r="B465" i="12"/>
  <c r="D464" i="12"/>
  <c r="I464" i="12" l="1"/>
  <c r="J464" i="12" s="1"/>
  <c r="A464" i="12"/>
  <c r="F464" i="12"/>
  <c r="C465" i="12"/>
  <c r="D465" i="12"/>
  <c r="B466" i="12"/>
  <c r="B467" i="12" l="1"/>
  <c r="D466" i="12"/>
  <c r="C466" i="12"/>
  <c r="I465" i="12"/>
  <c r="J465" i="12" s="1"/>
  <c r="A465" i="12"/>
  <c r="F465" i="12"/>
  <c r="I466" i="12" l="1"/>
  <c r="J466" i="12" s="1"/>
  <c r="F466" i="12"/>
  <c r="A466" i="12"/>
  <c r="D467" i="12"/>
  <c r="B468" i="12"/>
  <c r="C467" i="12"/>
  <c r="I467" i="12" l="1"/>
  <c r="J467" i="12" s="1"/>
  <c r="A467" i="12"/>
  <c r="F467" i="12"/>
  <c r="C468" i="12"/>
  <c r="D468" i="12"/>
  <c r="B469" i="12"/>
  <c r="C469" i="12" l="1"/>
  <c r="D469" i="12"/>
  <c r="B470" i="12"/>
  <c r="I468" i="12"/>
  <c r="J468" i="12" s="1"/>
  <c r="F468" i="12"/>
  <c r="A468" i="12"/>
  <c r="I469" i="12" l="1"/>
  <c r="J469" i="12" s="1"/>
  <c r="F469" i="12"/>
  <c r="A469" i="12"/>
  <c r="B471" i="12"/>
  <c r="D470" i="12"/>
  <c r="C470" i="12"/>
  <c r="D471" i="12" l="1"/>
  <c r="C471" i="12"/>
  <c r="B472" i="12"/>
  <c r="I470" i="12"/>
  <c r="J470" i="12" s="1"/>
  <c r="F470" i="12"/>
  <c r="A470" i="12"/>
  <c r="D472" i="12" l="1"/>
  <c r="B473" i="12"/>
  <c r="C472" i="12"/>
  <c r="I471" i="12"/>
  <c r="J471" i="12" s="1"/>
  <c r="A471" i="12"/>
  <c r="F471" i="12"/>
  <c r="C473" i="12" l="1"/>
  <c r="D473" i="12"/>
  <c r="B474" i="12"/>
  <c r="I472" i="12"/>
  <c r="J472" i="12" s="1"/>
  <c r="A472" i="12"/>
  <c r="F472" i="12"/>
  <c r="I473" i="12" l="1"/>
  <c r="J473" i="12" s="1"/>
  <c r="A473" i="12"/>
  <c r="F473" i="12"/>
  <c r="B475" i="12"/>
  <c r="D474" i="12"/>
  <c r="C474" i="12"/>
  <c r="D475" i="12" l="1"/>
  <c r="B476" i="12"/>
  <c r="C475" i="12"/>
  <c r="I474" i="12"/>
  <c r="J474" i="12" s="1"/>
  <c r="A474" i="12"/>
  <c r="F474" i="12"/>
  <c r="D476" i="12" l="1"/>
  <c r="B477" i="12"/>
  <c r="C476" i="12"/>
  <c r="I475" i="12"/>
  <c r="J475" i="12" s="1"/>
  <c r="F475" i="12"/>
  <c r="A475" i="12"/>
  <c r="D477" i="12" l="1"/>
  <c r="B478" i="12"/>
  <c r="C477" i="12"/>
  <c r="I476" i="12"/>
  <c r="J476" i="12" s="1"/>
  <c r="A476" i="12"/>
  <c r="F476" i="12"/>
  <c r="C478" i="12" l="1"/>
  <c r="D478" i="12"/>
  <c r="B479" i="12"/>
  <c r="I477" i="12"/>
  <c r="J477" i="12" s="1"/>
  <c r="F477" i="12"/>
  <c r="A477" i="12"/>
  <c r="B480" i="12" l="1"/>
  <c r="D479" i="12"/>
  <c r="C479" i="12"/>
  <c r="I478" i="12"/>
  <c r="J478" i="12" s="1"/>
  <c r="F478" i="12"/>
  <c r="A478" i="12"/>
  <c r="I479" i="12" l="1"/>
  <c r="J479" i="12" s="1"/>
  <c r="F479" i="12"/>
  <c r="A479" i="12"/>
  <c r="D480" i="12"/>
  <c r="B481" i="12"/>
  <c r="C480" i="12"/>
  <c r="I480" i="12" l="1"/>
  <c r="J480" i="12" s="1"/>
  <c r="A480" i="12"/>
  <c r="F480" i="12"/>
  <c r="D481" i="12"/>
  <c r="B482" i="12"/>
  <c r="C481" i="12"/>
  <c r="I481" i="12" l="1"/>
  <c r="J481" i="12" s="1"/>
  <c r="A481" i="12"/>
  <c r="F481" i="12"/>
  <c r="C482" i="12"/>
  <c r="D482" i="12"/>
  <c r="B483" i="12"/>
  <c r="B484" i="12" l="1"/>
  <c r="D483" i="12"/>
  <c r="C483" i="12"/>
  <c r="I482" i="12"/>
  <c r="J482" i="12" s="1"/>
  <c r="A482" i="12"/>
  <c r="F482" i="12"/>
  <c r="I483" i="12" l="1"/>
  <c r="J483" i="12" s="1"/>
  <c r="F483" i="12"/>
  <c r="A483" i="12"/>
  <c r="D484" i="12"/>
  <c r="B485" i="12"/>
  <c r="C484" i="12"/>
  <c r="I484" i="12" l="1"/>
  <c r="J484" i="12" s="1"/>
  <c r="A484" i="12"/>
  <c r="F484" i="12"/>
  <c r="B486" i="12"/>
  <c r="C485" i="12"/>
  <c r="D485" i="12"/>
  <c r="C486" i="12" l="1"/>
  <c r="B487" i="12"/>
  <c r="D486" i="12"/>
  <c r="I485" i="12"/>
  <c r="J485" i="12" s="1"/>
  <c r="A485" i="12"/>
  <c r="F485" i="12"/>
  <c r="I486" i="12" l="1"/>
  <c r="J486" i="12" s="1"/>
  <c r="A486" i="12"/>
  <c r="F486" i="12"/>
  <c r="B488" i="12"/>
  <c r="C487" i="12"/>
  <c r="D487" i="12"/>
  <c r="D488" i="12" l="1"/>
  <c r="C488" i="12"/>
  <c r="B489" i="12"/>
  <c r="I487" i="12"/>
  <c r="J487" i="12" s="1"/>
  <c r="F487" i="12"/>
  <c r="A487" i="12"/>
  <c r="C489" i="12" l="1"/>
  <c r="B490" i="12"/>
  <c r="D489" i="12"/>
  <c r="I488" i="12"/>
  <c r="J488" i="12" s="1"/>
  <c r="A488" i="12"/>
  <c r="F488" i="12"/>
  <c r="D490" i="12" l="1"/>
  <c r="B491" i="12"/>
  <c r="C490" i="12"/>
  <c r="I489" i="12"/>
  <c r="J489" i="12" s="1"/>
  <c r="A489" i="12"/>
  <c r="F489" i="12"/>
  <c r="B492" i="12" l="1"/>
  <c r="D491" i="12"/>
  <c r="C491" i="12"/>
  <c r="I490" i="12"/>
  <c r="J490" i="12" s="1"/>
  <c r="A490" i="12"/>
  <c r="F490" i="12"/>
  <c r="I491" i="12" l="1"/>
  <c r="J491" i="12" s="1"/>
  <c r="F491" i="12"/>
  <c r="A491" i="12"/>
  <c r="D492" i="12"/>
  <c r="B493" i="12"/>
  <c r="C492" i="12"/>
  <c r="I492" i="12" l="1"/>
  <c r="J492" i="12" s="1"/>
  <c r="A492" i="12"/>
  <c r="F492" i="12"/>
  <c r="D493" i="12"/>
  <c r="B494" i="12"/>
  <c r="C493" i="12"/>
  <c r="I493" i="12" l="1"/>
  <c r="J493" i="12" s="1"/>
  <c r="F493" i="12"/>
  <c r="A493" i="12"/>
  <c r="C494" i="12"/>
  <c r="D494" i="12"/>
  <c r="B495" i="12"/>
  <c r="B496" i="12" l="1"/>
  <c r="D495" i="12"/>
  <c r="C495" i="12"/>
  <c r="I494" i="12"/>
  <c r="J494" i="12" s="1"/>
  <c r="F494" i="12"/>
  <c r="A494" i="12"/>
  <c r="I495" i="12" l="1"/>
  <c r="J495" i="12" s="1"/>
  <c r="F495" i="12"/>
  <c r="A495" i="12"/>
  <c r="D496" i="12"/>
  <c r="B497" i="12"/>
  <c r="C496" i="12"/>
  <c r="I496" i="12" l="1"/>
  <c r="J496" i="12" s="1"/>
  <c r="A496" i="12"/>
  <c r="F496" i="12"/>
  <c r="D497" i="12"/>
  <c r="B498" i="12"/>
  <c r="C497" i="12"/>
  <c r="I497" i="12" l="1"/>
  <c r="J497" i="12" s="1"/>
  <c r="A497" i="12"/>
  <c r="F497" i="12"/>
  <c r="C498" i="12"/>
  <c r="D498" i="12"/>
  <c r="B499" i="12"/>
  <c r="B500" i="12" l="1"/>
  <c r="D499" i="12"/>
  <c r="C499" i="12"/>
  <c r="I498" i="12"/>
  <c r="J498" i="12" s="1"/>
  <c r="A498" i="12"/>
  <c r="F498" i="12"/>
  <c r="I499" i="12" l="1"/>
  <c r="J499" i="12" s="1"/>
  <c r="F499" i="12"/>
  <c r="A499" i="12"/>
  <c r="D500" i="12"/>
  <c r="B501" i="12"/>
  <c r="C500" i="12"/>
  <c r="I500" i="12" l="1"/>
  <c r="J500" i="12" s="1"/>
  <c r="A500" i="12"/>
  <c r="F500" i="12"/>
  <c r="B502" i="12"/>
  <c r="C501" i="12"/>
  <c r="D501" i="12"/>
  <c r="I501" i="12" l="1"/>
  <c r="J501" i="12" s="1"/>
  <c r="A501" i="12"/>
  <c r="F501" i="12"/>
  <c r="C502" i="12"/>
  <c r="B503" i="12"/>
  <c r="D502" i="12"/>
  <c r="I502" i="12" l="1"/>
  <c r="J502" i="12" s="1"/>
  <c r="A502" i="12"/>
  <c r="F502" i="12"/>
  <c r="B504" i="12"/>
  <c r="C503" i="12"/>
  <c r="D503" i="12"/>
  <c r="D504" i="12" l="1"/>
  <c r="C504" i="12"/>
  <c r="B505" i="12"/>
  <c r="I503" i="12"/>
  <c r="J503" i="12" s="1"/>
  <c r="F503" i="12"/>
  <c r="A503" i="12"/>
  <c r="C505" i="12" l="1"/>
  <c r="B506" i="12"/>
  <c r="D505" i="12"/>
  <c r="I504" i="12"/>
  <c r="J504" i="12" s="1"/>
  <c r="A504" i="12"/>
  <c r="F504" i="12"/>
  <c r="I505" i="12" l="1"/>
  <c r="J505" i="12" s="1"/>
  <c r="A505" i="12"/>
  <c r="F505" i="12"/>
  <c r="D506" i="12"/>
  <c r="B507" i="12"/>
  <c r="C506" i="12"/>
  <c r="I506" i="12" l="1"/>
  <c r="J506" i="12" s="1"/>
  <c r="A506" i="12"/>
  <c r="F506" i="12"/>
  <c r="B508" i="12"/>
  <c r="D507" i="12"/>
  <c r="C507" i="12"/>
  <c r="D508" i="12" l="1"/>
  <c r="B509" i="12"/>
  <c r="C508" i="12"/>
  <c r="I507" i="12"/>
  <c r="J507" i="12" s="1"/>
  <c r="F507" i="12"/>
  <c r="A507" i="12"/>
  <c r="D509" i="12" l="1"/>
  <c r="B510" i="12"/>
  <c r="C509" i="12"/>
  <c r="I508" i="12"/>
  <c r="J508" i="12" s="1"/>
  <c r="A508" i="12"/>
  <c r="F508" i="12"/>
  <c r="C510" i="12" l="1"/>
  <c r="D510" i="12"/>
  <c r="B511" i="12"/>
  <c r="I509" i="12"/>
  <c r="J509" i="12" s="1"/>
  <c r="F509" i="12"/>
  <c r="A509" i="12"/>
  <c r="I510" i="12" l="1"/>
  <c r="J510" i="12" s="1"/>
  <c r="F510" i="12"/>
  <c r="A510" i="12"/>
  <c r="B512" i="12"/>
  <c r="D511" i="12"/>
  <c r="C511" i="12"/>
  <c r="D512" i="12" l="1"/>
  <c r="B513" i="12"/>
  <c r="C512" i="12"/>
  <c r="I511" i="12"/>
  <c r="J511" i="12" s="1"/>
  <c r="F511" i="12"/>
  <c r="A511" i="12"/>
  <c r="D513" i="12" l="1"/>
  <c r="B514" i="12"/>
  <c r="C513" i="12"/>
  <c r="I512" i="12"/>
  <c r="J512" i="12" s="1"/>
  <c r="A512" i="12"/>
  <c r="F512" i="12"/>
  <c r="C514" i="12" l="1"/>
  <c r="D514" i="12"/>
  <c r="B515" i="12"/>
  <c r="I513" i="12"/>
  <c r="J513" i="12" s="1"/>
  <c r="A513" i="12"/>
  <c r="F513" i="12"/>
  <c r="B516" i="12" l="1"/>
  <c r="D515" i="12"/>
  <c r="C515" i="12"/>
  <c r="I514" i="12"/>
  <c r="J514" i="12" s="1"/>
  <c r="A514" i="12"/>
  <c r="F514" i="12"/>
  <c r="I515" i="12" l="1"/>
  <c r="J515" i="12" s="1"/>
  <c r="F515" i="12"/>
  <c r="A515" i="12"/>
  <c r="D516" i="12"/>
  <c r="B517" i="12"/>
  <c r="C516" i="12"/>
  <c r="I516" i="12" l="1"/>
  <c r="J516" i="12" s="1"/>
  <c r="A516" i="12"/>
  <c r="F516" i="12"/>
  <c r="B518" i="12"/>
  <c r="C517" i="12"/>
  <c r="D517" i="12"/>
  <c r="I517" i="12" l="1"/>
  <c r="J517" i="12" s="1"/>
  <c r="A517" i="12"/>
  <c r="F517" i="12"/>
  <c r="C518" i="12"/>
  <c r="B519" i="12"/>
  <c r="D518" i="12"/>
  <c r="I518" i="12" l="1"/>
  <c r="J518" i="12" s="1"/>
  <c r="A518" i="12"/>
  <c r="F518" i="12"/>
  <c r="B520" i="12"/>
  <c r="C519" i="12"/>
  <c r="D519" i="12"/>
  <c r="D520" i="12" l="1"/>
  <c r="C520" i="12"/>
  <c r="B521" i="12"/>
  <c r="I519" i="12"/>
  <c r="J519" i="12" s="1"/>
  <c r="F519" i="12"/>
  <c r="A519" i="12"/>
  <c r="C521" i="12" l="1"/>
  <c r="B522" i="12"/>
  <c r="D521" i="12"/>
  <c r="I520" i="12"/>
  <c r="J520" i="12" s="1"/>
  <c r="A520" i="12"/>
  <c r="F520" i="12"/>
  <c r="D522" i="12" l="1"/>
  <c r="B523" i="12"/>
  <c r="C522" i="12"/>
  <c r="I521" i="12"/>
  <c r="J521" i="12" s="1"/>
  <c r="A521" i="12"/>
  <c r="F521" i="12"/>
  <c r="B524" i="12" l="1"/>
  <c r="D523" i="12"/>
  <c r="C523" i="12"/>
  <c r="I522" i="12"/>
  <c r="J522" i="12" s="1"/>
  <c r="A522" i="12"/>
  <c r="F522" i="12"/>
  <c r="I523" i="12" l="1"/>
  <c r="J523" i="12" s="1"/>
  <c r="F523" i="12"/>
  <c r="A523" i="12"/>
  <c r="D524" i="12"/>
  <c r="B525" i="12"/>
  <c r="C524" i="12"/>
  <c r="I524" i="12" l="1"/>
  <c r="J524" i="12" s="1"/>
  <c r="A524" i="12"/>
  <c r="F524" i="12"/>
  <c r="D525" i="12"/>
  <c r="B526" i="12"/>
  <c r="C525" i="12"/>
  <c r="C526" i="12" l="1"/>
  <c r="D526" i="12"/>
  <c r="B527" i="12"/>
  <c r="I525" i="12"/>
  <c r="J525" i="12" s="1"/>
  <c r="F525" i="12"/>
  <c r="A525" i="12"/>
  <c r="B528" i="12" l="1"/>
  <c r="D527" i="12"/>
  <c r="C527" i="12"/>
  <c r="I526" i="12"/>
  <c r="J526" i="12" s="1"/>
  <c r="F526" i="12"/>
  <c r="A526" i="12"/>
  <c r="I527" i="12" l="1"/>
  <c r="J527" i="12" s="1"/>
  <c r="F527" i="12"/>
  <c r="A527" i="12"/>
  <c r="D528" i="12"/>
  <c r="B529" i="12"/>
  <c r="C528" i="12"/>
  <c r="I528" i="12" l="1"/>
  <c r="J528" i="12" s="1"/>
  <c r="A528" i="12"/>
  <c r="F528" i="12"/>
  <c r="D529" i="12"/>
  <c r="B530" i="12"/>
  <c r="C529" i="12"/>
  <c r="I529" i="12" l="1"/>
  <c r="J529" i="12" s="1"/>
  <c r="A529" i="12"/>
  <c r="F529" i="12"/>
  <c r="C530" i="12"/>
  <c r="D530" i="12"/>
  <c r="B531" i="12"/>
  <c r="B532" i="12" l="1"/>
  <c r="D531" i="12"/>
  <c r="C531" i="12"/>
  <c r="I530" i="12"/>
  <c r="J530" i="12" s="1"/>
  <c r="A530" i="12"/>
  <c r="F530" i="12"/>
  <c r="I531" i="12" l="1"/>
  <c r="J531" i="12" s="1"/>
  <c r="F531" i="12"/>
  <c r="A531" i="12"/>
  <c r="D532" i="12"/>
  <c r="B533" i="12"/>
  <c r="C532" i="12"/>
  <c r="I532" i="12" l="1"/>
  <c r="J532" i="12" s="1"/>
  <c r="A532" i="12"/>
  <c r="F532" i="12"/>
  <c r="B534" i="12"/>
  <c r="C533" i="12"/>
  <c r="D533" i="12"/>
  <c r="C534" i="12" l="1"/>
  <c r="B535" i="12"/>
  <c r="D534" i="12"/>
  <c r="I533" i="12"/>
  <c r="J533" i="12" s="1"/>
  <c r="A533" i="12"/>
  <c r="F533" i="12"/>
  <c r="I534" i="12" l="1"/>
  <c r="J534" i="12" s="1"/>
  <c r="A534" i="12"/>
  <c r="F534" i="12"/>
  <c r="B536" i="12"/>
  <c r="C535" i="12"/>
  <c r="D535" i="12"/>
  <c r="C536" i="12" l="1"/>
  <c r="D536" i="12"/>
  <c r="B537" i="12"/>
  <c r="I535" i="12"/>
  <c r="J535" i="12" s="1"/>
  <c r="A535" i="12"/>
  <c r="F535" i="12"/>
  <c r="B538" i="12" l="1"/>
  <c r="D537" i="12"/>
  <c r="C537" i="12"/>
  <c r="I536" i="12"/>
  <c r="J536" i="12" s="1"/>
  <c r="A536" i="12"/>
  <c r="F536" i="12"/>
  <c r="I537" i="12" l="1"/>
  <c r="J537" i="12" s="1"/>
  <c r="A537" i="12"/>
  <c r="F537" i="12"/>
  <c r="C538" i="12"/>
  <c r="D538" i="12"/>
  <c r="B539" i="12"/>
  <c r="B540" i="12" l="1"/>
  <c r="D539" i="12"/>
  <c r="C539" i="12"/>
  <c r="I538" i="12"/>
  <c r="J538" i="12" s="1"/>
  <c r="A538" i="12"/>
  <c r="F538" i="12"/>
  <c r="I539" i="12" l="1"/>
  <c r="J539" i="12" s="1"/>
  <c r="F539" i="12"/>
  <c r="A539" i="12"/>
  <c r="D540" i="12"/>
  <c r="B541" i="12"/>
  <c r="C540" i="12"/>
  <c r="I540" i="12" l="1"/>
  <c r="J540" i="12" s="1"/>
  <c r="A540" i="12"/>
  <c r="F540" i="12"/>
  <c r="D541" i="12"/>
  <c r="B542" i="12"/>
  <c r="C541" i="12"/>
  <c r="I541" i="12" l="1"/>
  <c r="J541" i="12" s="1"/>
  <c r="F541" i="12"/>
  <c r="A541" i="12"/>
  <c r="C542" i="12"/>
  <c r="D542" i="12"/>
  <c r="B543" i="12"/>
  <c r="B544" i="12" l="1"/>
  <c r="D543" i="12"/>
  <c r="C543" i="12"/>
  <c r="I542" i="12"/>
  <c r="J542" i="12" s="1"/>
  <c r="F542" i="12"/>
  <c r="A542" i="12"/>
  <c r="I543" i="12" l="1"/>
  <c r="J543" i="12" s="1"/>
  <c r="F543" i="12"/>
  <c r="A543" i="12"/>
  <c r="D544" i="12"/>
  <c r="B545" i="12"/>
  <c r="C544" i="12"/>
  <c r="I544" i="12" l="1"/>
  <c r="J544" i="12" s="1"/>
  <c r="A544" i="12"/>
  <c r="F544" i="12"/>
  <c r="D545" i="12"/>
  <c r="B546" i="12"/>
  <c r="C545" i="12"/>
  <c r="I545" i="12" l="1"/>
  <c r="J545" i="12" s="1"/>
  <c r="A545" i="12"/>
  <c r="F545" i="12"/>
  <c r="C546" i="12"/>
  <c r="D546" i="12"/>
  <c r="B547" i="12"/>
  <c r="B548" i="12" l="1"/>
  <c r="D547" i="12"/>
  <c r="C547" i="12"/>
  <c r="I546" i="12"/>
  <c r="J546" i="12" s="1"/>
  <c r="A546" i="12"/>
  <c r="F546" i="12"/>
  <c r="I547" i="12" l="1"/>
  <c r="J547" i="12" s="1"/>
  <c r="F547" i="12"/>
  <c r="A547" i="12"/>
  <c r="D548" i="12"/>
  <c r="B549" i="12"/>
  <c r="C548" i="12"/>
  <c r="I548" i="12" l="1"/>
  <c r="J548" i="12" s="1"/>
  <c r="A548" i="12"/>
  <c r="F548" i="12"/>
  <c r="B550" i="12"/>
  <c r="C549" i="12"/>
  <c r="D549" i="12"/>
  <c r="C550" i="12" l="1"/>
  <c r="B551" i="12"/>
  <c r="D550" i="12"/>
  <c r="I549" i="12"/>
  <c r="J549" i="12" s="1"/>
  <c r="A549" i="12"/>
  <c r="F549" i="12"/>
  <c r="B552" i="12" l="1"/>
  <c r="C551" i="12"/>
  <c r="D551" i="12"/>
  <c r="I550" i="12"/>
  <c r="J550" i="12" s="1"/>
  <c r="A550" i="12"/>
  <c r="F550" i="12"/>
  <c r="I551" i="12" l="1"/>
  <c r="J551" i="12" s="1"/>
  <c r="F551" i="12"/>
  <c r="A551" i="12"/>
  <c r="D552" i="12"/>
  <c r="C552" i="12"/>
  <c r="B553" i="12"/>
  <c r="I552" i="12" l="1"/>
  <c r="J552" i="12" s="1"/>
  <c r="A552" i="12"/>
  <c r="F552" i="12"/>
  <c r="C553" i="12"/>
  <c r="B554" i="12"/>
  <c r="D553" i="12"/>
  <c r="I553" i="12" l="1"/>
  <c r="J553" i="12" s="1"/>
  <c r="A553" i="12"/>
  <c r="F553" i="12"/>
  <c r="D554" i="12"/>
  <c r="B555" i="12"/>
  <c r="C554" i="12"/>
  <c r="I554" i="12" l="1"/>
  <c r="J554" i="12" s="1"/>
  <c r="F554" i="12"/>
  <c r="A554" i="12"/>
  <c r="B556" i="12"/>
  <c r="C555" i="12"/>
  <c r="D555" i="12"/>
  <c r="I555" i="12" l="1"/>
  <c r="J555" i="12" s="1"/>
  <c r="A555" i="12"/>
  <c r="F555" i="12"/>
  <c r="C556" i="12"/>
  <c r="B557" i="12"/>
  <c r="D556" i="12"/>
  <c r="I556" i="12" l="1"/>
  <c r="J556" i="12" s="1"/>
  <c r="A556" i="12"/>
  <c r="F556" i="12"/>
  <c r="B558" i="12"/>
  <c r="C557" i="12"/>
  <c r="D557" i="12"/>
  <c r="D558" i="12" l="1"/>
  <c r="C558" i="12"/>
  <c r="B559" i="12"/>
  <c r="I557" i="12"/>
  <c r="J557" i="12" s="1"/>
  <c r="A557" i="12"/>
  <c r="F557" i="12"/>
  <c r="C559" i="12" l="1"/>
  <c r="D559" i="12"/>
  <c r="B560" i="12"/>
  <c r="I558" i="12"/>
  <c r="J558" i="12" s="1"/>
  <c r="F558" i="12"/>
  <c r="A558" i="12"/>
  <c r="I559" i="12" l="1"/>
  <c r="J559" i="12" s="1"/>
  <c r="A559" i="12"/>
  <c r="F559" i="12"/>
  <c r="C560" i="12"/>
  <c r="D560" i="12"/>
  <c r="B561" i="12"/>
  <c r="B562" i="12" l="1"/>
  <c r="D561" i="12"/>
  <c r="C561" i="12"/>
  <c r="I560" i="12"/>
  <c r="J560" i="12" s="1"/>
  <c r="A560" i="12"/>
  <c r="F560" i="12"/>
  <c r="I561" i="12" l="1"/>
  <c r="J561" i="12" s="1"/>
  <c r="A561" i="12"/>
  <c r="F561" i="12"/>
  <c r="D562" i="12"/>
  <c r="B563" i="12"/>
  <c r="C562" i="12"/>
  <c r="I562" i="12" l="1"/>
  <c r="J562" i="12" s="1"/>
  <c r="F562" i="12"/>
  <c r="A562" i="12"/>
  <c r="D563" i="12"/>
  <c r="B564" i="12"/>
  <c r="C563" i="12"/>
  <c r="I563" i="12" l="1"/>
  <c r="J563" i="12" s="1"/>
  <c r="A563" i="12"/>
  <c r="F563" i="12"/>
  <c r="C564" i="12"/>
  <c r="D564" i="12"/>
  <c r="B565" i="12"/>
  <c r="B566" i="12" l="1"/>
  <c r="D565" i="12"/>
  <c r="C565" i="12"/>
  <c r="I564" i="12"/>
  <c r="J564" i="12" s="1"/>
  <c r="F564" i="12"/>
  <c r="A564" i="12"/>
  <c r="I565" i="12" l="1"/>
  <c r="J565" i="12" s="1"/>
  <c r="F565" i="12"/>
  <c r="A565" i="12"/>
  <c r="D566" i="12"/>
  <c r="B567" i="12"/>
  <c r="C566" i="12"/>
  <c r="I566" i="12" l="1"/>
  <c r="J566" i="12" s="1"/>
  <c r="F566" i="12"/>
  <c r="A566" i="12"/>
  <c r="D567" i="12"/>
  <c r="B568" i="12"/>
  <c r="C567" i="12"/>
  <c r="I567" i="12" l="1"/>
  <c r="J567" i="12" s="1"/>
  <c r="F567" i="12"/>
  <c r="A567" i="12"/>
  <c r="D568" i="12"/>
  <c r="C568" i="12"/>
  <c r="B569" i="12"/>
  <c r="C569" i="12" l="1"/>
  <c r="B570" i="12"/>
  <c r="D569" i="12"/>
  <c r="I568" i="12"/>
  <c r="J568" i="12" s="1"/>
  <c r="A568" i="12"/>
  <c r="F568" i="12"/>
  <c r="D570" i="12" l="1"/>
  <c r="B571" i="12"/>
  <c r="C570" i="12"/>
  <c r="I569" i="12"/>
  <c r="J569" i="12" s="1"/>
  <c r="A569" i="12"/>
  <c r="F569" i="12"/>
  <c r="B572" i="12" l="1"/>
  <c r="D571" i="12"/>
  <c r="C571" i="12"/>
  <c r="I570" i="12"/>
  <c r="J570" i="12" s="1"/>
  <c r="A570" i="12"/>
  <c r="F570" i="12"/>
  <c r="I571" i="12" l="1"/>
  <c r="J571" i="12" s="1"/>
  <c r="F571" i="12"/>
  <c r="A571" i="12"/>
  <c r="D572" i="12"/>
  <c r="B573" i="12"/>
  <c r="C572" i="12"/>
  <c r="I572" i="12" l="1"/>
  <c r="J572" i="12" s="1"/>
  <c r="A572" i="12"/>
  <c r="F572" i="12"/>
  <c r="D573" i="12"/>
  <c r="B574" i="12"/>
  <c r="C573" i="12"/>
  <c r="I573" i="12" l="1"/>
  <c r="J573" i="12" s="1"/>
  <c r="F573" i="12"/>
  <c r="A573" i="12"/>
  <c r="C574" i="12"/>
  <c r="D574" i="12"/>
  <c r="B575" i="12"/>
  <c r="B576" i="12" l="1"/>
  <c r="D575" i="12"/>
  <c r="C575" i="12"/>
  <c r="I574" i="12"/>
  <c r="J574" i="12" s="1"/>
  <c r="F574" i="12"/>
  <c r="A574" i="12"/>
  <c r="I575" i="12" l="1"/>
  <c r="J575" i="12" s="1"/>
  <c r="F575" i="12"/>
  <c r="A575" i="12"/>
  <c r="D576" i="12"/>
  <c r="B577" i="12"/>
  <c r="C576" i="12"/>
  <c r="I576" i="12" l="1"/>
  <c r="J576" i="12" s="1"/>
  <c r="A576" i="12"/>
  <c r="F576" i="12"/>
  <c r="D577" i="12"/>
  <c r="B578" i="12"/>
  <c r="C577" i="12"/>
  <c r="I577" i="12" l="1"/>
  <c r="J577" i="12" s="1"/>
  <c r="A577" i="12"/>
  <c r="F577" i="12"/>
  <c r="D578" i="12"/>
  <c r="C578" i="12"/>
  <c r="I578" i="12" l="1"/>
  <c r="J578" i="12" s="1"/>
  <c r="K191" i="12" s="1"/>
  <c r="I35" i="12" s="1"/>
  <c r="F578" i="12"/>
  <c r="A578" i="12"/>
  <c r="F34" i="12" l="1"/>
  <c r="I32" i="12" s="1"/>
  <c r="J32" i="12" l="1"/>
  <c r="I33" i="12"/>
  <c r="J33" i="12" s="1"/>
</calcChain>
</file>

<file path=xl/sharedStrings.xml><?xml version="1.0" encoding="utf-8"?>
<sst xmlns="http://schemas.openxmlformats.org/spreadsheetml/2006/main" count="1838" uniqueCount="1388">
  <si>
    <t>ID</t>
  </si>
  <si>
    <t>Nombre</t>
  </si>
  <si>
    <t>Saldo</t>
  </si>
  <si>
    <t>cliente1</t>
  </si>
  <si>
    <t>cliente2</t>
  </si>
  <si>
    <t>cliente3</t>
  </si>
  <si>
    <t>cliente4</t>
  </si>
  <si>
    <t>cliente5</t>
  </si>
  <si>
    <t>cliente6</t>
  </si>
  <si>
    <t>cliente7</t>
  </si>
  <si>
    <t>cliente8</t>
  </si>
  <si>
    <t>cliente9</t>
  </si>
  <si>
    <t>cliente10</t>
  </si>
  <si>
    <t>cliente11</t>
  </si>
  <si>
    <t>cliente12</t>
  </si>
  <si>
    <t>cliente13</t>
  </si>
  <si>
    <t>cliente14</t>
  </si>
  <si>
    <t>cliente15</t>
  </si>
  <si>
    <t>cliente16</t>
  </si>
  <si>
    <t>cliente17</t>
  </si>
  <si>
    <t>cliente18</t>
  </si>
  <si>
    <t>cliente19</t>
  </si>
  <si>
    <t>cliente20</t>
  </si>
  <si>
    <t>cliente21</t>
  </si>
  <si>
    <t>cliente22</t>
  </si>
  <si>
    <t>cliente23</t>
  </si>
  <si>
    <t>cliente24</t>
  </si>
  <si>
    <t>cliente25</t>
  </si>
  <si>
    <t>cliente26</t>
  </si>
  <si>
    <t>cliente27</t>
  </si>
  <si>
    <t>cliente28</t>
  </si>
  <si>
    <t>cliente29</t>
  </si>
  <si>
    <t>cliente30</t>
  </si>
  <si>
    <t>cliente31</t>
  </si>
  <si>
    <t>cliente32</t>
  </si>
  <si>
    <t>cliente33</t>
  </si>
  <si>
    <t>cliente34</t>
  </si>
  <si>
    <t>cliente35</t>
  </si>
  <si>
    <t>cliente36</t>
  </si>
  <si>
    <t>cliente37</t>
  </si>
  <si>
    <t>cliente38</t>
  </si>
  <si>
    <t>cliente39</t>
  </si>
  <si>
    <t>cliente40</t>
  </si>
  <si>
    <t>cliente41</t>
  </si>
  <si>
    <t>cliente42</t>
  </si>
  <si>
    <t>cliente43</t>
  </si>
  <si>
    <t>cliente44</t>
  </si>
  <si>
    <t>cliente45</t>
  </si>
  <si>
    <t>cliente46</t>
  </si>
  <si>
    <t>cliente47</t>
  </si>
  <si>
    <t>cliente48</t>
  </si>
  <si>
    <t>cliente49</t>
  </si>
  <si>
    <t>cliente50</t>
  </si>
  <si>
    <t>cliente51</t>
  </si>
  <si>
    <t>cliente52</t>
  </si>
  <si>
    <t>cliente53</t>
  </si>
  <si>
    <t>cliente54</t>
  </si>
  <si>
    <t>cliente55</t>
  </si>
  <si>
    <t>cliente56</t>
  </si>
  <si>
    <t>cliente57</t>
  </si>
  <si>
    <t>cliente58</t>
  </si>
  <si>
    <t>cliente59</t>
  </si>
  <si>
    <t>cliente60</t>
  </si>
  <si>
    <t>cliente61</t>
  </si>
  <si>
    <t>cliente62</t>
  </si>
  <si>
    <t>cliente63</t>
  </si>
  <si>
    <t>cliente64</t>
  </si>
  <si>
    <t>cliente65</t>
  </si>
  <si>
    <t>cliente66</t>
  </si>
  <si>
    <t>cliente67</t>
  </si>
  <si>
    <t>cliente68</t>
  </si>
  <si>
    <t>cliente69</t>
  </si>
  <si>
    <t>cliente70</t>
  </si>
  <si>
    <t>cliente71</t>
  </si>
  <si>
    <t>cliente72</t>
  </si>
  <si>
    <t>cliente73</t>
  </si>
  <si>
    <t>cliente74</t>
  </si>
  <si>
    <t>cliente75</t>
  </si>
  <si>
    <t>cliente76</t>
  </si>
  <si>
    <t>cliente77</t>
  </si>
  <si>
    <t>cliente78</t>
  </si>
  <si>
    <t>cliente79</t>
  </si>
  <si>
    <t>cliente80</t>
  </si>
  <si>
    <t>cliente81</t>
  </si>
  <si>
    <t>cliente82</t>
  </si>
  <si>
    <t>cliente83</t>
  </si>
  <si>
    <t>cliente84</t>
  </si>
  <si>
    <t>cliente85</t>
  </si>
  <si>
    <t>cliente86</t>
  </si>
  <si>
    <t>cliente87</t>
  </si>
  <si>
    <t>cliente88</t>
  </si>
  <si>
    <t>cliente89</t>
  </si>
  <si>
    <t>cliente90</t>
  </si>
  <si>
    <t>cliente91</t>
  </si>
  <si>
    <t>cliente92</t>
  </si>
  <si>
    <t>cliente93</t>
  </si>
  <si>
    <t>cliente94</t>
  </si>
  <si>
    <t>cliente95</t>
  </si>
  <si>
    <t>cliente96</t>
  </si>
  <si>
    <t>cliente97</t>
  </si>
  <si>
    <t>cliente98</t>
  </si>
  <si>
    <t>cliente99</t>
  </si>
  <si>
    <t>cliente100</t>
  </si>
  <si>
    <t>cliente101</t>
  </si>
  <si>
    <t>cliente102</t>
  </si>
  <si>
    <t>cliente103</t>
  </si>
  <si>
    <t>cliente104</t>
  </si>
  <si>
    <t>cliente105</t>
  </si>
  <si>
    <t>cliente106</t>
  </si>
  <si>
    <t>cliente107</t>
  </si>
  <si>
    <t>cliente108</t>
  </si>
  <si>
    <t>cliente109</t>
  </si>
  <si>
    <t>cliente110</t>
  </si>
  <si>
    <t>cliente111</t>
  </si>
  <si>
    <t>cliente112</t>
  </si>
  <si>
    <t>cliente113</t>
  </si>
  <si>
    <t>cliente114</t>
  </si>
  <si>
    <t>cliente115</t>
  </si>
  <si>
    <t>cliente116</t>
  </si>
  <si>
    <t>cliente117</t>
  </si>
  <si>
    <t>cliente118</t>
  </si>
  <si>
    <t>cliente119</t>
  </si>
  <si>
    <t>cliente120</t>
  </si>
  <si>
    <t>cliente121</t>
  </si>
  <si>
    <t>cliente122</t>
  </si>
  <si>
    <t>cliente123</t>
  </si>
  <si>
    <t>cliente124</t>
  </si>
  <si>
    <t>cliente125</t>
  </si>
  <si>
    <t>cliente126</t>
  </si>
  <si>
    <t>cliente127</t>
  </si>
  <si>
    <t>cliente128</t>
  </si>
  <si>
    <t>cliente129</t>
  </si>
  <si>
    <t>cliente130</t>
  </si>
  <si>
    <t>cliente131</t>
  </si>
  <si>
    <t>cliente132</t>
  </si>
  <si>
    <t>cliente133</t>
  </si>
  <si>
    <t>cliente134</t>
  </si>
  <si>
    <t>cliente135</t>
  </si>
  <si>
    <t>cliente136</t>
  </si>
  <si>
    <t>cliente137</t>
  </si>
  <si>
    <t>cliente138</t>
  </si>
  <si>
    <t>cliente139</t>
  </si>
  <si>
    <t>cliente140</t>
  </si>
  <si>
    <t>cliente141</t>
  </si>
  <si>
    <t>cliente142</t>
  </si>
  <si>
    <t>cliente143</t>
  </si>
  <si>
    <t>cliente144</t>
  </si>
  <si>
    <t>cliente145</t>
  </si>
  <si>
    <t>cliente146</t>
  </si>
  <si>
    <t>cliente147</t>
  </si>
  <si>
    <t>cliente148</t>
  </si>
  <si>
    <t>cliente149</t>
  </si>
  <si>
    <t>cliente150</t>
  </si>
  <si>
    <t>cliente151</t>
  </si>
  <si>
    <t>cliente152</t>
  </si>
  <si>
    <t>cliente153</t>
  </si>
  <si>
    <t>cliente154</t>
  </si>
  <si>
    <t>cliente155</t>
  </si>
  <si>
    <t>cliente156</t>
  </si>
  <si>
    <t>cliente157</t>
  </si>
  <si>
    <t>cliente158</t>
  </si>
  <si>
    <t>cliente159</t>
  </si>
  <si>
    <t>cliente160</t>
  </si>
  <si>
    <t>cliente161</t>
  </si>
  <si>
    <t>cliente162</t>
  </si>
  <si>
    <t>cliente163</t>
  </si>
  <si>
    <t>cliente164</t>
  </si>
  <si>
    <t>cliente165</t>
  </si>
  <si>
    <t>cliente166</t>
  </si>
  <si>
    <t>cliente167</t>
  </si>
  <si>
    <t>cliente168</t>
  </si>
  <si>
    <t>cliente169</t>
  </si>
  <si>
    <t>cliente170</t>
  </si>
  <si>
    <t>cliente171</t>
  </si>
  <si>
    <t>cliente172</t>
  </si>
  <si>
    <t>cliente173</t>
  </si>
  <si>
    <t>cliente174</t>
  </si>
  <si>
    <t>cliente175</t>
  </si>
  <si>
    <t>cliente176</t>
  </si>
  <si>
    <t>cliente177</t>
  </si>
  <si>
    <t>cliente178</t>
  </si>
  <si>
    <t>cliente179</t>
  </si>
  <si>
    <t>cliente180</t>
  </si>
  <si>
    <t>cliente181</t>
  </si>
  <si>
    <t>cliente182</t>
  </si>
  <si>
    <t>cliente183</t>
  </si>
  <si>
    <t>cliente184</t>
  </si>
  <si>
    <t>cliente185</t>
  </si>
  <si>
    <t>cliente186</t>
  </si>
  <si>
    <t>cliente187</t>
  </si>
  <si>
    <t>cliente188</t>
  </si>
  <si>
    <t>cliente189</t>
  </si>
  <si>
    <t>cliente190</t>
  </si>
  <si>
    <t>cliente191</t>
  </si>
  <si>
    <t>cliente192</t>
  </si>
  <si>
    <t>cliente193</t>
  </si>
  <si>
    <t>cliente194</t>
  </si>
  <si>
    <t>cliente195</t>
  </si>
  <si>
    <t>cliente196</t>
  </si>
  <si>
    <t>cliente197</t>
  </si>
  <si>
    <t>cliente198</t>
  </si>
  <si>
    <t>cliente199</t>
  </si>
  <si>
    <t>cliente200</t>
  </si>
  <si>
    <t>cliente201</t>
  </si>
  <si>
    <t>cliente202</t>
  </si>
  <si>
    <t>cliente203</t>
  </si>
  <si>
    <t>cliente204</t>
  </si>
  <si>
    <t>cliente205</t>
  </si>
  <si>
    <t>cliente206</t>
  </si>
  <si>
    <t>cliente207</t>
  </si>
  <si>
    <t>cliente208</t>
  </si>
  <si>
    <t>cliente209</t>
  </si>
  <si>
    <t>cliente210</t>
  </si>
  <si>
    <t>cliente211</t>
  </si>
  <si>
    <t>cliente212</t>
  </si>
  <si>
    <t>cliente213</t>
  </si>
  <si>
    <t>cliente214</t>
  </si>
  <si>
    <t>cliente215</t>
  </si>
  <si>
    <t>cliente216</t>
  </si>
  <si>
    <t>cliente217</t>
  </si>
  <si>
    <t>cliente218</t>
  </si>
  <si>
    <t>cliente219</t>
  </si>
  <si>
    <t>cliente220</t>
  </si>
  <si>
    <t>cliente221</t>
  </si>
  <si>
    <t>cliente222</t>
  </si>
  <si>
    <t>cliente223</t>
  </si>
  <si>
    <t>cliente224</t>
  </si>
  <si>
    <t>cliente225</t>
  </si>
  <si>
    <t>cliente226</t>
  </si>
  <si>
    <t>cliente227</t>
  </si>
  <si>
    <t>cliente228</t>
  </si>
  <si>
    <t>cliente229</t>
  </si>
  <si>
    <t>cliente230</t>
  </si>
  <si>
    <t>cliente231</t>
  </si>
  <si>
    <t>cliente232</t>
  </si>
  <si>
    <t>cliente233</t>
  </si>
  <si>
    <t>cliente234</t>
  </si>
  <si>
    <t>cliente235</t>
  </si>
  <si>
    <t>cliente236</t>
  </si>
  <si>
    <t>cliente237</t>
  </si>
  <si>
    <t>cliente238</t>
  </si>
  <si>
    <t>cliente239</t>
  </si>
  <si>
    <t>cliente240</t>
  </si>
  <si>
    <t>cliente241</t>
  </si>
  <si>
    <t>cliente242</t>
  </si>
  <si>
    <t>cliente243</t>
  </si>
  <si>
    <t>cliente244</t>
  </si>
  <si>
    <t>cliente245</t>
  </si>
  <si>
    <t>cliente246</t>
  </si>
  <si>
    <t>cliente247</t>
  </si>
  <si>
    <t>cliente248</t>
  </si>
  <si>
    <t>cliente249</t>
  </si>
  <si>
    <t>cliente250</t>
  </si>
  <si>
    <t>cliente251</t>
  </si>
  <si>
    <t>cliente252</t>
  </si>
  <si>
    <t>cliente253</t>
  </si>
  <si>
    <t>cliente254</t>
  </si>
  <si>
    <t>cliente255</t>
  </si>
  <si>
    <t>cliente256</t>
  </si>
  <si>
    <t>cliente257</t>
  </si>
  <si>
    <t>cliente258</t>
  </si>
  <si>
    <t>cliente259</t>
  </si>
  <si>
    <t>cliente260</t>
  </si>
  <si>
    <t>cliente261</t>
  </si>
  <si>
    <t>cliente262</t>
  </si>
  <si>
    <t>cliente263</t>
  </si>
  <si>
    <t>cliente264</t>
  </si>
  <si>
    <t>cliente265</t>
  </si>
  <si>
    <t>cliente266</t>
  </si>
  <si>
    <t>cliente267</t>
  </si>
  <si>
    <t>cliente268</t>
  </si>
  <si>
    <t>cliente269</t>
  </si>
  <si>
    <t>cliente270</t>
  </si>
  <si>
    <t>cliente271</t>
  </si>
  <si>
    <t>cliente272</t>
  </si>
  <si>
    <t>cliente273</t>
  </si>
  <si>
    <t>cliente274</t>
  </si>
  <si>
    <t>cliente275</t>
  </si>
  <si>
    <t>cliente276</t>
  </si>
  <si>
    <t>cliente277</t>
  </si>
  <si>
    <t>cliente278</t>
  </si>
  <si>
    <t>cliente279</t>
  </si>
  <si>
    <t>cliente280</t>
  </si>
  <si>
    <t>cliente281</t>
  </si>
  <si>
    <t>cliente282</t>
  </si>
  <si>
    <t>cliente283</t>
  </si>
  <si>
    <t>cliente284</t>
  </si>
  <si>
    <t>cliente285</t>
  </si>
  <si>
    <t>cliente286</t>
  </si>
  <si>
    <t>cliente287</t>
  </si>
  <si>
    <t>cliente288</t>
  </si>
  <si>
    <t>cliente289</t>
  </si>
  <si>
    <t>cliente290</t>
  </si>
  <si>
    <t>cliente291</t>
  </si>
  <si>
    <t>cliente292</t>
  </si>
  <si>
    <t>cliente293</t>
  </si>
  <si>
    <t>cliente294</t>
  </si>
  <si>
    <t>cliente295</t>
  </si>
  <si>
    <t>cliente296</t>
  </si>
  <si>
    <t>cliente297</t>
  </si>
  <si>
    <t>cliente298</t>
  </si>
  <si>
    <t>cliente299</t>
  </si>
  <si>
    <t>cliente300</t>
  </si>
  <si>
    <t>cliente301</t>
  </si>
  <si>
    <t>cliente302</t>
  </si>
  <si>
    <t>cliente303</t>
  </si>
  <si>
    <t>cliente304</t>
  </si>
  <si>
    <t>cliente305</t>
  </si>
  <si>
    <t>cliente306</t>
  </si>
  <si>
    <t>cliente307</t>
  </si>
  <si>
    <t>cliente308</t>
  </si>
  <si>
    <t>cliente309</t>
  </si>
  <si>
    <t>cliente310</t>
  </si>
  <si>
    <t>cliente311</t>
  </si>
  <si>
    <t>cliente312</t>
  </si>
  <si>
    <t>cliente313</t>
  </si>
  <si>
    <t>cliente314</t>
  </si>
  <si>
    <t>cliente315</t>
  </si>
  <si>
    <t>cliente316</t>
  </si>
  <si>
    <t>cliente317</t>
  </si>
  <si>
    <t>cliente318</t>
  </si>
  <si>
    <t>cliente319</t>
  </si>
  <si>
    <t>cliente320</t>
  </si>
  <si>
    <t>cliente321</t>
  </si>
  <si>
    <t>cliente322</t>
  </si>
  <si>
    <t>cliente323</t>
  </si>
  <si>
    <t>cliente324</t>
  </si>
  <si>
    <t>cliente325</t>
  </si>
  <si>
    <t>cliente326</t>
  </si>
  <si>
    <t>cliente327</t>
  </si>
  <si>
    <t>cliente328</t>
  </si>
  <si>
    <t>cliente329</t>
  </si>
  <si>
    <t>cliente330</t>
  </si>
  <si>
    <t>cliente331</t>
  </si>
  <si>
    <t>cliente332</t>
  </si>
  <si>
    <t>cliente333</t>
  </si>
  <si>
    <t>cliente334</t>
  </si>
  <si>
    <t>cliente335</t>
  </si>
  <si>
    <t>cliente336</t>
  </si>
  <si>
    <t>cliente337</t>
  </si>
  <si>
    <t>cliente338</t>
  </si>
  <si>
    <t>cliente339</t>
  </si>
  <si>
    <t>cliente340</t>
  </si>
  <si>
    <t>cliente341</t>
  </si>
  <si>
    <t>cliente342</t>
  </si>
  <si>
    <t>cliente343</t>
  </si>
  <si>
    <t>cliente344</t>
  </si>
  <si>
    <t>cliente345</t>
  </si>
  <si>
    <t>cliente346</t>
  </si>
  <si>
    <t>cliente347</t>
  </si>
  <si>
    <t>cliente348</t>
  </si>
  <si>
    <t>cliente349</t>
  </si>
  <si>
    <t>cliente350</t>
  </si>
  <si>
    <t>cliente351</t>
  </si>
  <si>
    <t>cliente352</t>
  </si>
  <si>
    <t>cliente353</t>
  </si>
  <si>
    <t>cliente354</t>
  </si>
  <si>
    <t>cliente355</t>
  </si>
  <si>
    <t>cliente356</t>
  </si>
  <si>
    <t>cliente357</t>
  </si>
  <si>
    <t>cliente358</t>
  </si>
  <si>
    <t>cliente359</t>
  </si>
  <si>
    <t>cliente360</t>
  </si>
  <si>
    <t>cliente361</t>
  </si>
  <si>
    <t>cliente362</t>
  </si>
  <si>
    <t>cliente363</t>
  </si>
  <si>
    <t>cliente364</t>
  </si>
  <si>
    <t>cliente365</t>
  </si>
  <si>
    <t>cliente366</t>
  </si>
  <si>
    <t>cliente367</t>
  </si>
  <si>
    <t>cliente368</t>
  </si>
  <si>
    <t>cliente369</t>
  </si>
  <si>
    <t>cliente370</t>
  </si>
  <si>
    <t>cliente371</t>
  </si>
  <si>
    <t>cliente372</t>
  </si>
  <si>
    <t>cliente373</t>
  </si>
  <si>
    <t>cliente374</t>
  </si>
  <si>
    <t>cliente375</t>
  </si>
  <si>
    <t>cliente376</t>
  </si>
  <si>
    <t>cliente377</t>
  </si>
  <si>
    <t>cliente378</t>
  </si>
  <si>
    <t>cliente379</t>
  </si>
  <si>
    <t>cliente380</t>
  </si>
  <si>
    <t>cliente381</t>
  </si>
  <si>
    <t>cliente382</t>
  </si>
  <si>
    <t>cliente383</t>
  </si>
  <si>
    <t>cliente384</t>
  </si>
  <si>
    <t>cliente385</t>
  </si>
  <si>
    <t>cliente386</t>
  </si>
  <si>
    <t>cliente387</t>
  </si>
  <si>
    <t>cliente388</t>
  </si>
  <si>
    <t>cliente389</t>
  </si>
  <si>
    <t>cliente390</t>
  </si>
  <si>
    <t>cliente391</t>
  </si>
  <si>
    <t>cliente392</t>
  </si>
  <si>
    <t>cliente393</t>
  </si>
  <si>
    <t>cliente394</t>
  </si>
  <si>
    <t>cliente395</t>
  </si>
  <si>
    <t>cliente396</t>
  </si>
  <si>
    <t>cliente397</t>
  </si>
  <si>
    <t>cliente398</t>
  </si>
  <si>
    <t>cliente399</t>
  </si>
  <si>
    <t>cliente400</t>
  </si>
  <si>
    <t>cliente401</t>
  </si>
  <si>
    <t>cliente402</t>
  </si>
  <si>
    <t>cliente403</t>
  </si>
  <si>
    <t>cliente404</t>
  </si>
  <si>
    <t>cliente405</t>
  </si>
  <si>
    <t>cliente406</t>
  </si>
  <si>
    <t>cliente407</t>
  </si>
  <si>
    <t>cliente408</t>
  </si>
  <si>
    <t>cliente409</t>
  </si>
  <si>
    <t>cliente410</t>
  </si>
  <si>
    <t>cliente411</t>
  </si>
  <si>
    <t>cliente412</t>
  </si>
  <si>
    <t>cliente413</t>
  </si>
  <si>
    <t>cliente414</t>
  </si>
  <si>
    <t>cliente415</t>
  </si>
  <si>
    <t>cliente416</t>
  </si>
  <si>
    <t>cliente417</t>
  </si>
  <si>
    <t>cliente418</t>
  </si>
  <si>
    <t>cliente419</t>
  </si>
  <si>
    <t>cliente420</t>
  </si>
  <si>
    <t>cliente421</t>
  </si>
  <si>
    <t>cliente422</t>
  </si>
  <si>
    <t>cliente423</t>
  </si>
  <si>
    <t>cliente424</t>
  </si>
  <si>
    <t>cliente425</t>
  </si>
  <si>
    <t>cliente426</t>
  </si>
  <si>
    <t>cliente427</t>
  </si>
  <si>
    <t>cliente428</t>
  </si>
  <si>
    <t>cliente429</t>
  </si>
  <si>
    <t>cliente430</t>
  </si>
  <si>
    <t>cliente431</t>
  </si>
  <si>
    <t>cliente432</t>
  </si>
  <si>
    <t>cliente433</t>
  </si>
  <si>
    <t>cliente434</t>
  </si>
  <si>
    <t>cliente435</t>
  </si>
  <si>
    <t>cliente436</t>
  </si>
  <si>
    <t>cliente437</t>
  </si>
  <si>
    <t>cliente438</t>
  </si>
  <si>
    <t>cliente439</t>
  </si>
  <si>
    <t>cliente440</t>
  </si>
  <si>
    <t>cliente441</t>
  </si>
  <si>
    <t>cliente442</t>
  </si>
  <si>
    <t>cliente443</t>
  </si>
  <si>
    <t>cliente444</t>
  </si>
  <si>
    <t>cliente445</t>
  </si>
  <si>
    <t>cliente446</t>
  </si>
  <si>
    <t>cliente447</t>
  </si>
  <si>
    <t>cliente448</t>
  </si>
  <si>
    <t>cliente449</t>
  </si>
  <si>
    <t>cliente450</t>
  </si>
  <si>
    <t>cliente451</t>
  </si>
  <si>
    <t>cliente452</t>
  </si>
  <si>
    <t>cliente453</t>
  </si>
  <si>
    <t>cliente454</t>
  </si>
  <si>
    <t>cliente455</t>
  </si>
  <si>
    <t>cliente456</t>
  </si>
  <si>
    <t>cliente457</t>
  </si>
  <si>
    <t>cliente458</t>
  </si>
  <si>
    <t>cliente459</t>
  </si>
  <si>
    <t>cliente460</t>
  </si>
  <si>
    <t>cliente461</t>
  </si>
  <si>
    <t>cliente462</t>
  </si>
  <si>
    <t>cliente463</t>
  </si>
  <si>
    <t>cliente464</t>
  </si>
  <si>
    <t>cliente465</t>
  </si>
  <si>
    <t>cliente466</t>
  </si>
  <si>
    <t>cliente467</t>
  </si>
  <si>
    <t>cliente468</t>
  </si>
  <si>
    <t>cliente469</t>
  </si>
  <si>
    <t>cliente470</t>
  </si>
  <si>
    <t>cliente471</t>
  </si>
  <si>
    <t>cliente472</t>
  </si>
  <si>
    <t>cliente473</t>
  </si>
  <si>
    <t>cliente474</t>
  </si>
  <si>
    <t>cliente475</t>
  </si>
  <si>
    <t>cliente476</t>
  </si>
  <si>
    <t>cliente477</t>
  </si>
  <si>
    <t>cliente478</t>
  </si>
  <si>
    <t>cliente479</t>
  </si>
  <si>
    <t>cliente480</t>
  </si>
  <si>
    <t>cliente481</t>
  </si>
  <si>
    <t>cliente482</t>
  </si>
  <si>
    <t>cliente483</t>
  </si>
  <si>
    <t>cliente484</t>
  </si>
  <si>
    <t>cliente485</t>
  </si>
  <si>
    <t>cliente486</t>
  </si>
  <si>
    <t>cliente487</t>
  </si>
  <si>
    <t>cliente488</t>
  </si>
  <si>
    <t>cliente489</t>
  </si>
  <si>
    <t>cliente490</t>
  </si>
  <si>
    <t>cliente491</t>
  </si>
  <si>
    <t>cliente492</t>
  </si>
  <si>
    <t>cliente493</t>
  </si>
  <si>
    <t>cliente494</t>
  </si>
  <si>
    <t>cliente495</t>
  </si>
  <si>
    <t>cliente496</t>
  </si>
  <si>
    <t>cliente497</t>
  </si>
  <si>
    <t>cliente498</t>
  </si>
  <si>
    <t>cliente499</t>
  </si>
  <si>
    <t>cliente500</t>
  </si>
  <si>
    <t>cliente501</t>
  </si>
  <si>
    <t>cliente502</t>
  </si>
  <si>
    <t>cliente503</t>
  </si>
  <si>
    <t>cliente504</t>
  </si>
  <si>
    <t>cliente505</t>
  </si>
  <si>
    <t>cliente506</t>
  </si>
  <si>
    <t>cliente507</t>
  </si>
  <si>
    <t>cliente508</t>
  </si>
  <si>
    <t>cliente509</t>
  </si>
  <si>
    <t>cliente510</t>
  </si>
  <si>
    <t>cliente511</t>
  </si>
  <si>
    <t>cliente512</t>
  </si>
  <si>
    <t>cliente513</t>
  </si>
  <si>
    <t>cliente514</t>
  </si>
  <si>
    <t>cliente515</t>
  </si>
  <si>
    <t>cliente516</t>
  </si>
  <si>
    <t>cliente517</t>
  </si>
  <si>
    <t>cliente518</t>
  </si>
  <si>
    <t>cliente519</t>
  </si>
  <si>
    <t>cliente520</t>
  </si>
  <si>
    <t>cliente521</t>
  </si>
  <si>
    <t>cliente522</t>
  </si>
  <si>
    <t>cliente523</t>
  </si>
  <si>
    <t>cliente524</t>
  </si>
  <si>
    <t>cliente525</t>
  </si>
  <si>
    <t>cliente526</t>
  </si>
  <si>
    <t>cliente527</t>
  </si>
  <si>
    <t>cliente528</t>
  </si>
  <si>
    <t>cliente529</t>
  </si>
  <si>
    <t>cliente530</t>
  </si>
  <si>
    <t>cliente531</t>
  </si>
  <si>
    <t>cliente532</t>
  </si>
  <si>
    <t>cliente533</t>
  </si>
  <si>
    <t>cliente534</t>
  </si>
  <si>
    <t>cliente535</t>
  </si>
  <si>
    <t>cliente536</t>
  </si>
  <si>
    <t>cliente537</t>
  </si>
  <si>
    <t>cliente538</t>
  </si>
  <si>
    <t>cliente539</t>
  </si>
  <si>
    <t>cliente540</t>
  </si>
  <si>
    <t>cliente541</t>
  </si>
  <si>
    <t>cliente542</t>
  </si>
  <si>
    <t>cliente543</t>
  </si>
  <si>
    <t>cliente544</t>
  </si>
  <si>
    <t>cliente545</t>
  </si>
  <si>
    <t>cliente546</t>
  </si>
  <si>
    <t>cliente547</t>
  </si>
  <si>
    <t>cliente548</t>
  </si>
  <si>
    <t>cliente549</t>
  </si>
  <si>
    <t>cliente550</t>
  </si>
  <si>
    <t>cliente551</t>
  </si>
  <si>
    <t>cliente552</t>
  </si>
  <si>
    <t>cliente553</t>
  </si>
  <si>
    <t>cliente554</t>
  </si>
  <si>
    <t>cliente555</t>
  </si>
  <si>
    <t>cliente556</t>
  </si>
  <si>
    <t>cliente557</t>
  </si>
  <si>
    <t>cliente558</t>
  </si>
  <si>
    <t>cliente559</t>
  </si>
  <si>
    <t>cliente560</t>
  </si>
  <si>
    <t>cliente561</t>
  </si>
  <si>
    <t>cliente562</t>
  </si>
  <si>
    <t>cliente563</t>
  </si>
  <si>
    <t>cliente564</t>
  </si>
  <si>
    <t>cliente565</t>
  </si>
  <si>
    <t>cliente566</t>
  </si>
  <si>
    <t>cliente567</t>
  </si>
  <si>
    <t>cliente568</t>
  </si>
  <si>
    <t>cliente569</t>
  </si>
  <si>
    <t>cliente570</t>
  </si>
  <si>
    <t>cliente571</t>
  </si>
  <si>
    <t>cliente572</t>
  </si>
  <si>
    <t>cliente573</t>
  </si>
  <si>
    <t>cliente574</t>
  </si>
  <si>
    <t>cliente575</t>
  </si>
  <si>
    <t>cliente576</t>
  </si>
  <si>
    <t>cliente577</t>
  </si>
  <si>
    <t>cliente578</t>
  </si>
  <si>
    <t>cliente579</t>
  </si>
  <si>
    <t>cliente580</t>
  </si>
  <si>
    <t>cliente581</t>
  </si>
  <si>
    <t>cliente582</t>
  </si>
  <si>
    <t>cliente583</t>
  </si>
  <si>
    <t>cliente584</t>
  </si>
  <si>
    <t>cliente585</t>
  </si>
  <si>
    <t>cliente586</t>
  </si>
  <si>
    <t>cliente587</t>
  </si>
  <si>
    <t>cliente588</t>
  </si>
  <si>
    <t>cliente589</t>
  </si>
  <si>
    <t>cliente590</t>
  </si>
  <si>
    <t>cliente591</t>
  </si>
  <si>
    <t>cliente592</t>
  </si>
  <si>
    <t>cliente593</t>
  </si>
  <si>
    <t>cliente594</t>
  </si>
  <si>
    <t>cliente595</t>
  </si>
  <si>
    <t>cliente596</t>
  </si>
  <si>
    <t>cliente597</t>
  </si>
  <si>
    <t>cliente598</t>
  </si>
  <si>
    <t>cliente599</t>
  </si>
  <si>
    <t>cliente600</t>
  </si>
  <si>
    <t>cliente601</t>
  </si>
  <si>
    <t>cliente602</t>
  </si>
  <si>
    <t>cliente603</t>
  </si>
  <si>
    <t>cliente604</t>
  </si>
  <si>
    <t>cliente605</t>
  </si>
  <si>
    <t>cliente606</t>
  </si>
  <si>
    <t>cliente607</t>
  </si>
  <si>
    <t>cliente608</t>
  </si>
  <si>
    <t>cliente609</t>
  </si>
  <si>
    <t>cliente610</t>
  </si>
  <si>
    <t>cliente611</t>
  </si>
  <si>
    <t>cliente612</t>
  </si>
  <si>
    <t>cliente613</t>
  </si>
  <si>
    <t>cliente614</t>
  </si>
  <si>
    <t>cliente615</t>
  </si>
  <si>
    <t>cliente616</t>
  </si>
  <si>
    <t>cliente617</t>
  </si>
  <si>
    <t>cliente618</t>
  </si>
  <si>
    <t>cliente619</t>
  </si>
  <si>
    <t>cliente620</t>
  </si>
  <si>
    <t>cliente621</t>
  </si>
  <si>
    <t>cliente622</t>
  </si>
  <si>
    <t>cliente623</t>
  </si>
  <si>
    <t>cliente624</t>
  </si>
  <si>
    <t>cliente625</t>
  </si>
  <si>
    <t>cliente626</t>
  </si>
  <si>
    <t>cliente627</t>
  </si>
  <si>
    <t>cliente628</t>
  </si>
  <si>
    <t>cliente629</t>
  </si>
  <si>
    <t>cliente630</t>
  </si>
  <si>
    <t>cliente631</t>
  </si>
  <si>
    <t>cliente632</t>
  </si>
  <si>
    <t>cliente633</t>
  </si>
  <si>
    <t>cliente634</t>
  </si>
  <si>
    <t>cliente635</t>
  </si>
  <si>
    <t>cliente636</t>
  </si>
  <si>
    <t>cliente637</t>
  </si>
  <si>
    <t>cliente638</t>
  </si>
  <si>
    <t>cliente639</t>
  </si>
  <si>
    <t>cliente640</t>
  </si>
  <si>
    <t>cliente641</t>
  </si>
  <si>
    <t>cliente642</t>
  </si>
  <si>
    <t>cliente643</t>
  </si>
  <si>
    <t>cliente644</t>
  </si>
  <si>
    <t>cliente645</t>
  </si>
  <si>
    <t>cliente646</t>
  </si>
  <si>
    <t>cliente647</t>
  </si>
  <si>
    <t>cliente648</t>
  </si>
  <si>
    <t>cliente649</t>
  </si>
  <si>
    <t>cliente650</t>
  </si>
  <si>
    <t>cliente651</t>
  </si>
  <si>
    <t>cliente652</t>
  </si>
  <si>
    <t>cliente653</t>
  </si>
  <si>
    <t>cliente654</t>
  </si>
  <si>
    <t>cliente655</t>
  </si>
  <si>
    <t>cliente656</t>
  </si>
  <si>
    <t>cliente657</t>
  </si>
  <si>
    <t>cliente658</t>
  </si>
  <si>
    <t>cliente659</t>
  </si>
  <si>
    <t>cliente660</t>
  </si>
  <si>
    <t>cliente661</t>
  </si>
  <si>
    <t>cliente662</t>
  </si>
  <si>
    <t>cliente663</t>
  </si>
  <si>
    <t>cliente664</t>
  </si>
  <si>
    <t>cliente665</t>
  </si>
  <si>
    <t>cliente666</t>
  </si>
  <si>
    <t>cliente667</t>
  </si>
  <si>
    <t>cliente668</t>
  </si>
  <si>
    <t>cliente669</t>
  </si>
  <si>
    <t>cliente670</t>
  </si>
  <si>
    <t>cliente671</t>
  </si>
  <si>
    <t>cliente672</t>
  </si>
  <si>
    <t>cliente673</t>
  </si>
  <si>
    <t>cliente674</t>
  </si>
  <si>
    <t>cliente675</t>
  </si>
  <si>
    <t>cliente676</t>
  </si>
  <si>
    <t>cliente677</t>
  </si>
  <si>
    <t>cliente678</t>
  </si>
  <si>
    <t>cliente679</t>
  </si>
  <si>
    <t>cliente680</t>
  </si>
  <si>
    <t>cliente681</t>
  </si>
  <si>
    <t>cliente682</t>
  </si>
  <si>
    <t>cliente683</t>
  </si>
  <si>
    <t>cliente684</t>
  </si>
  <si>
    <t>cliente685</t>
  </si>
  <si>
    <t>cliente686</t>
  </si>
  <si>
    <t>cliente687</t>
  </si>
  <si>
    <t>cliente688</t>
  </si>
  <si>
    <t>cliente689</t>
  </si>
  <si>
    <t>cliente690</t>
  </si>
  <si>
    <t>cliente691</t>
  </si>
  <si>
    <t>cliente692</t>
  </si>
  <si>
    <t>cliente693</t>
  </si>
  <si>
    <t>cliente694</t>
  </si>
  <si>
    <t>cliente695</t>
  </si>
  <si>
    <t>cliente696</t>
  </si>
  <si>
    <t>cliente697</t>
  </si>
  <si>
    <t>cliente698</t>
  </si>
  <si>
    <t>cliente699</t>
  </si>
  <si>
    <t>cliente700</t>
  </si>
  <si>
    <t>cliente701</t>
  </si>
  <si>
    <t>cliente702</t>
  </si>
  <si>
    <t>cliente703</t>
  </si>
  <si>
    <t>cliente704</t>
  </si>
  <si>
    <t>cliente705</t>
  </si>
  <si>
    <t>cliente706</t>
  </si>
  <si>
    <t>cliente707</t>
  </si>
  <si>
    <t>cliente708</t>
  </si>
  <si>
    <t>cliente709</t>
  </si>
  <si>
    <t>cliente710</t>
  </si>
  <si>
    <t>cliente711</t>
  </si>
  <si>
    <t>cliente712</t>
  </si>
  <si>
    <t>cliente713</t>
  </si>
  <si>
    <t>cliente714</t>
  </si>
  <si>
    <t>cliente715</t>
  </si>
  <si>
    <t>cliente716</t>
  </si>
  <si>
    <t>cliente717</t>
  </si>
  <si>
    <t>cliente718</t>
  </si>
  <si>
    <t>cliente719</t>
  </si>
  <si>
    <t>cliente720</t>
  </si>
  <si>
    <t>cliente721</t>
  </si>
  <si>
    <t>cliente722</t>
  </si>
  <si>
    <t>cliente723</t>
  </si>
  <si>
    <t>cliente724</t>
  </si>
  <si>
    <t>cliente725</t>
  </si>
  <si>
    <t>cliente726</t>
  </si>
  <si>
    <t>cliente727</t>
  </si>
  <si>
    <t>cliente728</t>
  </si>
  <si>
    <t>cliente729</t>
  </si>
  <si>
    <t>cliente730</t>
  </si>
  <si>
    <t>cliente731</t>
  </si>
  <si>
    <t>cliente732</t>
  </si>
  <si>
    <t>cliente733</t>
  </si>
  <si>
    <t>cliente734</t>
  </si>
  <si>
    <t>cliente735</t>
  </si>
  <si>
    <t>cliente736</t>
  </si>
  <si>
    <t>cliente737</t>
  </si>
  <si>
    <t>cliente738</t>
  </si>
  <si>
    <t>cliente739</t>
  </si>
  <si>
    <t>cliente740</t>
  </si>
  <si>
    <t>cliente741</t>
  </si>
  <si>
    <t>cliente742</t>
  </si>
  <si>
    <t>cliente743</t>
  </si>
  <si>
    <t>cliente744</t>
  </si>
  <si>
    <t>cliente745</t>
  </si>
  <si>
    <t>cliente746</t>
  </si>
  <si>
    <t>cliente747</t>
  </si>
  <si>
    <t>cliente748</t>
  </si>
  <si>
    <t>cliente749</t>
  </si>
  <si>
    <t>cliente750</t>
  </si>
  <si>
    <t>cliente751</t>
  </si>
  <si>
    <t>cliente752</t>
  </si>
  <si>
    <t>cliente753</t>
  </si>
  <si>
    <t>cliente754</t>
  </si>
  <si>
    <t>cliente755</t>
  </si>
  <si>
    <t>cliente756</t>
  </si>
  <si>
    <t>cliente757</t>
  </si>
  <si>
    <t>cliente758</t>
  </si>
  <si>
    <t>cliente759</t>
  </si>
  <si>
    <t>cliente760</t>
  </si>
  <si>
    <t>cliente761</t>
  </si>
  <si>
    <t>cliente762</t>
  </si>
  <si>
    <t>cliente763</t>
  </si>
  <si>
    <t>cliente764</t>
  </si>
  <si>
    <t>cliente765</t>
  </si>
  <si>
    <t>cliente766</t>
  </si>
  <si>
    <t>cliente767</t>
  </si>
  <si>
    <t>cliente768</t>
  </si>
  <si>
    <t>cliente769</t>
  </si>
  <si>
    <t>cliente770</t>
  </si>
  <si>
    <t>cliente771</t>
  </si>
  <si>
    <t>cliente772</t>
  </si>
  <si>
    <t>cliente773</t>
  </si>
  <si>
    <t>cliente774</t>
  </si>
  <si>
    <t>cliente775</t>
  </si>
  <si>
    <t>cliente776</t>
  </si>
  <si>
    <t>cliente777</t>
  </si>
  <si>
    <t>cliente778</t>
  </si>
  <si>
    <t>cliente779</t>
  </si>
  <si>
    <t>cliente780</t>
  </si>
  <si>
    <t>cliente781</t>
  </si>
  <si>
    <t>cliente782</t>
  </si>
  <si>
    <t>cliente783</t>
  </si>
  <si>
    <t>cliente784</t>
  </si>
  <si>
    <t>cliente785</t>
  </si>
  <si>
    <t>cliente786</t>
  </si>
  <si>
    <t>cliente787</t>
  </si>
  <si>
    <t>cliente788</t>
  </si>
  <si>
    <t>cliente789</t>
  </si>
  <si>
    <t>cliente790</t>
  </si>
  <si>
    <t>cliente791</t>
  </si>
  <si>
    <t>cliente792</t>
  </si>
  <si>
    <t>cliente793</t>
  </si>
  <si>
    <t>cliente794</t>
  </si>
  <si>
    <t>cliente795</t>
  </si>
  <si>
    <t>cliente796</t>
  </si>
  <si>
    <t>cliente797</t>
  </si>
  <si>
    <t>cliente798</t>
  </si>
  <si>
    <t>cliente799</t>
  </si>
  <si>
    <t>cliente800</t>
  </si>
  <si>
    <t>cliente801</t>
  </si>
  <si>
    <t>cliente802</t>
  </si>
  <si>
    <t>cliente803</t>
  </si>
  <si>
    <t>cliente804</t>
  </si>
  <si>
    <t>cliente805</t>
  </si>
  <si>
    <t>cliente806</t>
  </si>
  <si>
    <t>cliente807</t>
  </si>
  <si>
    <t>cliente808</t>
  </si>
  <si>
    <t>cliente809</t>
  </si>
  <si>
    <t>cliente810</t>
  </si>
  <si>
    <t>cliente811</t>
  </si>
  <si>
    <t>cliente812</t>
  </si>
  <si>
    <t>cliente813</t>
  </si>
  <si>
    <t>cliente814</t>
  </si>
  <si>
    <t>cliente815</t>
  </si>
  <si>
    <t>cliente816</t>
  </si>
  <si>
    <t>cliente817</t>
  </si>
  <si>
    <t>cliente818</t>
  </si>
  <si>
    <t>cliente819</t>
  </si>
  <si>
    <t>cliente820</t>
  </si>
  <si>
    <t>cliente821</t>
  </si>
  <si>
    <t>cliente822</t>
  </si>
  <si>
    <t>cliente823</t>
  </si>
  <si>
    <t>cliente824</t>
  </si>
  <si>
    <t>cliente825</t>
  </si>
  <si>
    <t>cliente826</t>
  </si>
  <si>
    <t>cliente827</t>
  </si>
  <si>
    <t>cliente828</t>
  </si>
  <si>
    <t>cliente829</t>
  </si>
  <si>
    <t>cliente830</t>
  </si>
  <si>
    <t>cliente831</t>
  </si>
  <si>
    <t>cliente832</t>
  </si>
  <si>
    <t>cliente833</t>
  </si>
  <si>
    <t>cliente834</t>
  </si>
  <si>
    <t>cliente835</t>
  </si>
  <si>
    <t>cliente836</t>
  </si>
  <si>
    <t>cliente837</t>
  </si>
  <si>
    <t>cliente838</t>
  </si>
  <si>
    <t>cliente839</t>
  </si>
  <si>
    <t>cliente840</t>
  </si>
  <si>
    <t>cliente841</t>
  </si>
  <si>
    <t>cliente842</t>
  </si>
  <si>
    <t>cliente843</t>
  </si>
  <si>
    <t>cliente844</t>
  </si>
  <si>
    <t>cliente845</t>
  </si>
  <si>
    <t>cliente846</t>
  </si>
  <si>
    <t>cliente847</t>
  </si>
  <si>
    <t>cliente848</t>
  </si>
  <si>
    <t>cliente849</t>
  </si>
  <si>
    <t>cliente850</t>
  </si>
  <si>
    <t>cliente851</t>
  </si>
  <si>
    <t>cliente852</t>
  </si>
  <si>
    <t>cliente853</t>
  </si>
  <si>
    <t>cliente854</t>
  </si>
  <si>
    <t>cliente855</t>
  </si>
  <si>
    <t>cliente856</t>
  </si>
  <si>
    <t>cliente857</t>
  </si>
  <si>
    <t>cliente858</t>
  </si>
  <si>
    <t>cliente859</t>
  </si>
  <si>
    <t>cliente860</t>
  </si>
  <si>
    <t>cliente861</t>
  </si>
  <si>
    <t>cliente862</t>
  </si>
  <si>
    <t>cliente863</t>
  </si>
  <si>
    <t>cliente864</t>
  </si>
  <si>
    <t>cliente865</t>
  </si>
  <si>
    <t>cliente866</t>
  </si>
  <si>
    <t>cliente867</t>
  </si>
  <si>
    <t>cliente868</t>
  </si>
  <si>
    <t>cliente869</t>
  </si>
  <si>
    <t>cliente870</t>
  </si>
  <si>
    <t>cliente871</t>
  </si>
  <si>
    <t>cliente872</t>
  </si>
  <si>
    <t>cliente873</t>
  </si>
  <si>
    <t>cliente874</t>
  </si>
  <si>
    <t>cliente875</t>
  </si>
  <si>
    <t>cliente876</t>
  </si>
  <si>
    <t>cliente877</t>
  </si>
  <si>
    <t>cliente878</t>
  </si>
  <si>
    <t>cliente879</t>
  </si>
  <si>
    <t>cliente880</t>
  </si>
  <si>
    <t>cliente881</t>
  </si>
  <si>
    <t>cliente882</t>
  </si>
  <si>
    <t>cliente883</t>
  </si>
  <si>
    <t>cliente884</t>
  </si>
  <si>
    <t>cliente885</t>
  </si>
  <si>
    <t>cliente886</t>
  </si>
  <si>
    <t>cliente887</t>
  </si>
  <si>
    <t>cliente888</t>
  </si>
  <si>
    <t>cliente889</t>
  </si>
  <si>
    <t>cliente890</t>
  </si>
  <si>
    <t>cliente891</t>
  </si>
  <si>
    <t>cliente892</t>
  </si>
  <si>
    <t>cliente893</t>
  </si>
  <si>
    <t>cliente894</t>
  </si>
  <si>
    <t>cliente895</t>
  </si>
  <si>
    <t>cliente896</t>
  </si>
  <si>
    <t>cliente897</t>
  </si>
  <si>
    <t>cliente898</t>
  </si>
  <si>
    <t>cliente899</t>
  </si>
  <si>
    <t>cliente900</t>
  </si>
  <si>
    <t>cliente901</t>
  </si>
  <si>
    <t>cliente902</t>
  </si>
  <si>
    <t>cliente903</t>
  </si>
  <si>
    <t>cliente904</t>
  </si>
  <si>
    <t>cliente905</t>
  </si>
  <si>
    <t>cliente906</t>
  </si>
  <si>
    <t>cliente907</t>
  </si>
  <si>
    <t>cliente908</t>
  </si>
  <si>
    <t>cliente909</t>
  </si>
  <si>
    <t>cliente910</t>
  </si>
  <si>
    <t>cliente911</t>
  </si>
  <si>
    <t>cliente912</t>
  </si>
  <si>
    <t>cliente913</t>
  </si>
  <si>
    <t>cliente914</t>
  </si>
  <si>
    <t>cliente915</t>
  </si>
  <si>
    <t>cliente916</t>
  </si>
  <si>
    <t>cliente917</t>
  </si>
  <si>
    <t>cliente918</t>
  </si>
  <si>
    <t>cliente919</t>
  </si>
  <si>
    <t>cliente920</t>
  </si>
  <si>
    <t>cliente921</t>
  </si>
  <si>
    <t>cliente922</t>
  </si>
  <si>
    <t>cliente923</t>
  </si>
  <si>
    <t>cliente924</t>
  </si>
  <si>
    <t>cliente925</t>
  </si>
  <si>
    <t>cliente926</t>
  </si>
  <si>
    <t>cliente927</t>
  </si>
  <si>
    <t>cliente928</t>
  </si>
  <si>
    <t>cliente929</t>
  </si>
  <si>
    <t>cliente930</t>
  </si>
  <si>
    <t>cliente931</t>
  </si>
  <si>
    <t>cliente932</t>
  </si>
  <si>
    <t>cliente933</t>
  </si>
  <si>
    <t>cliente934</t>
  </si>
  <si>
    <t>cliente935</t>
  </si>
  <si>
    <t>cliente936</t>
  </si>
  <si>
    <t>cliente937</t>
  </si>
  <si>
    <t>cliente938</t>
  </si>
  <si>
    <t>cliente939</t>
  </si>
  <si>
    <t>cliente940</t>
  </si>
  <si>
    <t>cliente941</t>
  </si>
  <si>
    <t>cliente942</t>
  </si>
  <si>
    <t>cliente943</t>
  </si>
  <si>
    <t>cliente944</t>
  </si>
  <si>
    <t>cliente945</t>
  </si>
  <si>
    <t>cliente946</t>
  </si>
  <si>
    <t>cliente947</t>
  </si>
  <si>
    <t>cliente948</t>
  </si>
  <si>
    <t>cliente949</t>
  </si>
  <si>
    <t>cliente950</t>
  </si>
  <si>
    <t>cliente951</t>
  </si>
  <si>
    <t>cliente952</t>
  </si>
  <si>
    <t>cliente953</t>
  </si>
  <si>
    <t>cliente954</t>
  </si>
  <si>
    <t>cliente955</t>
  </si>
  <si>
    <t>cliente956</t>
  </si>
  <si>
    <t>cliente957</t>
  </si>
  <si>
    <t>cliente958</t>
  </si>
  <si>
    <t>cliente959</t>
  </si>
  <si>
    <t>cliente960</t>
  </si>
  <si>
    <t>cliente961</t>
  </si>
  <si>
    <t>cliente962</t>
  </si>
  <si>
    <t>cliente963</t>
  </si>
  <si>
    <t>cliente964</t>
  </si>
  <si>
    <t>cliente965</t>
  </si>
  <si>
    <t>cliente966</t>
  </si>
  <si>
    <t>cliente967</t>
  </si>
  <si>
    <t>cliente968</t>
  </si>
  <si>
    <t>cliente969</t>
  </si>
  <si>
    <t>cliente970</t>
  </si>
  <si>
    <t>cliente971</t>
  </si>
  <si>
    <t>cliente972</t>
  </si>
  <si>
    <t>cliente973</t>
  </si>
  <si>
    <t>cliente974</t>
  </si>
  <si>
    <t>cliente975</t>
  </si>
  <si>
    <t>cliente976</t>
  </si>
  <si>
    <t>cliente977</t>
  </si>
  <si>
    <t>cliente978</t>
  </si>
  <si>
    <t>cliente979</t>
  </si>
  <si>
    <t>cliente980</t>
  </si>
  <si>
    <t>cliente981</t>
  </si>
  <si>
    <t>cliente982</t>
  </si>
  <si>
    <t>cliente983</t>
  </si>
  <si>
    <t>cliente984</t>
  </si>
  <si>
    <t>cliente985</t>
  </si>
  <si>
    <t>cliente986</t>
  </si>
  <si>
    <t>cliente987</t>
  </si>
  <si>
    <t>cliente988</t>
  </si>
  <si>
    <t>cliente989</t>
  </si>
  <si>
    <t>cliente990</t>
  </si>
  <si>
    <t>cliente991</t>
  </si>
  <si>
    <t>cliente992</t>
  </si>
  <si>
    <t>cliente993</t>
  </si>
  <si>
    <t>cliente994</t>
  </si>
  <si>
    <t>cliente995</t>
  </si>
  <si>
    <t>cliente996</t>
  </si>
  <si>
    <t>cliente997</t>
  </si>
  <si>
    <t>cliente998</t>
  </si>
  <si>
    <t>cliente999</t>
  </si>
  <si>
    <t>cliente1000</t>
  </si>
  <si>
    <t>cliente1001</t>
  </si>
  <si>
    <t>cliente1002</t>
  </si>
  <si>
    <t>cliente1003</t>
  </si>
  <si>
    <t>cliente1004</t>
  </si>
  <si>
    <t>cliente1005</t>
  </si>
  <si>
    <t>cliente1006</t>
  </si>
  <si>
    <t>cliente1007</t>
  </si>
  <si>
    <t>cliente1008</t>
  </si>
  <si>
    <t>cliente1009</t>
  </si>
  <si>
    <t>cliente1010</t>
  </si>
  <si>
    <t>cliente1011</t>
  </si>
  <si>
    <t>cliente1012</t>
  </si>
  <si>
    <t>cliente1013</t>
  </si>
  <si>
    <t>cliente1014</t>
  </si>
  <si>
    <t>cliente1015</t>
  </si>
  <si>
    <t>cliente1016</t>
  </si>
  <si>
    <t>cliente1017</t>
  </si>
  <si>
    <t>cliente1018</t>
  </si>
  <si>
    <t>cliente1019</t>
  </si>
  <si>
    <t>cliente1020</t>
  </si>
  <si>
    <t>cliente1021</t>
  </si>
  <si>
    <t>cliente1022</t>
  </si>
  <si>
    <t>cliente1023</t>
  </si>
  <si>
    <t>cliente1024</t>
  </si>
  <si>
    <t>cliente1025</t>
  </si>
  <si>
    <t>cliente1026</t>
  </si>
  <si>
    <t>cliente1027</t>
  </si>
  <si>
    <t>cliente1028</t>
  </si>
  <si>
    <t>cliente1029</t>
  </si>
  <si>
    <t>cliente1030</t>
  </si>
  <si>
    <t>cliente1031</t>
  </si>
  <si>
    <t>cliente1032</t>
  </si>
  <si>
    <t>cliente1033</t>
  </si>
  <si>
    <t>cliente1034</t>
  </si>
  <si>
    <t>cliente1035</t>
  </si>
  <si>
    <t>cliente1036</t>
  </si>
  <si>
    <t>cliente1037</t>
  </si>
  <si>
    <t>cliente1038</t>
  </si>
  <si>
    <t>cliente1039</t>
  </si>
  <si>
    <t>cliente1040</t>
  </si>
  <si>
    <t>cliente1041</t>
  </si>
  <si>
    <t>cliente1042</t>
  </si>
  <si>
    <t>cliente1043</t>
  </si>
  <si>
    <t>cliente1044</t>
  </si>
  <si>
    <t>cliente1045</t>
  </si>
  <si>
    <t>cliente1046</t>
  </si>
  <si>
    <t>cliente1047</t>
  </si>
  <si>
    <t>cliente1048</t>
  </si>
  <si>
    <t>cliente1049</t>
  </si>
  <si>
    <t>cliente1050</t>
  </si>
  <si>
    <t>cliente1051</t>
  </si>
  <si>
    <t>cliente1052</t>
  </si>
  <si>
    <t>cliente1053</t>
  </si>
  <si>
    <t>cliente1054</t>
  </si>
  <si>
    <t>cliente1055</t>
  </si>
  <si>
    <t>cliente1056</t>
  </si>
  <si>
    <t>cliente1057</t>
  </si>
  <si>
    <t>cliente1058</t>
  </si>
  <si>
    <t>cliente1059</t>
  </si>
  <si>
    <t>cliente1060</t>
  </si>
  <si>
    <t>cliente1061</t>
  </si>
  <si>
    <t>cliente1062</t>
  </si>
  <si>
    <t>cliente1063</t>
  </si>
  <si>
    <t>cliente1064</t>
  </si>
  <si>
    <t>cliente1065</t>
  </si>
  <si>
    <t>cliente1066</t>
  </si>
  <si>
    <t>cliente1067</t>
  </si>
  <si>
    <t>cliente1068</t>
  </si>
  <si>
    <t>cliente1069</t>
  </si>
  <si>
    <t>cliente1070</t>
  </si>
  <si>
    <t>cliente1071</t>
  </si>
  <si>
    <t>cliente1072</t>
  </si>
  <si>
    <t>cliente1073</t>
  </si>
  <si>
    <t>cliente1074</t>
  </si>
  <si>
    <t>cliente1075</t>
  </si>
  <si>
    <t>cliente1076</t>
  </si>
  <si>
    <t>cliente1077</t>
  </si>
  <si>
    <t>cliente1078</t>
  </si>
  <si>
    <t>cliente1079</t>
  </si>
  <si>
    <t>cliente1080</t>
  </si>
  <si>
    <t>cliente1081</t>
  </si>
  <si>
    <t>cliente1082</t>
  </si>
  <si>
    <t>cliente1083</t>
  </si>
  <si>
    <t>cliente1084</t>
  </si>
  <si>
    <t>cliente1085</t>
  </si>
  <si>
    <t>cliente1086</t>
  </si>
  <si>
    <t>cliente1087</t>
  </si>
  <si>
    <t>cliente1088</t>
  </si>
  <si>
    <t>cliente1089</t>
  </si>
  <si>
    <t>cliente1090</t>
  </si>
  <si>
    <t>cliente1091</t>
  </si>
  <si>
    <t>cliente1092</t>
  </si>
  <si>
    <t>cliente1093</t>
  </si>
  <si>
    <t>cliente1094</t>
  </si>
  <si>
    <t>cliente1095</t>
  </si>
  <si>
    <t>cliente1096</t>
  </si>
  <si>
    <t>cliente1097</t>
  </si>
  <si>
    <t>cliente1098</t>
  </si>
  <si>
    <t>cliente1099</t>
  </si>
  <si>
    <t>cliente1100</t>
  </si>
  <si>
    <t>cliente1101</t>
  </si>
  <si>
    <t>cliente1102</t>
  </si>
  <si>
    <t>cliente1103</t>
  </si>
  <si>
    <t>cliente1104</t>
  </si>
  <si>
    <t>cliente1105</t>
  </si>
  <si>
    <t>cliente1106</t>
  </si>
  <si>
    <t>cliente1107</t>
  </si>
  <si>
    <t>cliente1108</t>
  </si>
  <si>
    <t>cliente1109</t>
  </si>
  <si>
    <t>cliente1110</t>
  </si>
  <si>
    <t>cliente1111</t>
  </si>
  <si>
    <t>cliente1112</t>
  </si>
  <si>
    <t>cliente1113</t>
  </si>
  <si>
    <t>cliente1114</t>
  </si>
  <si>
    <t>cliente1115</t>
  </si>
  <si>
    <t>cliente1116</t>
  </si>
  <si>
    <t>cliente1117</t>
  </si>
  <si>
    <t>cliente1118</t>
  </si>
  <si>
    <t>cliente1119</t>
  </si>
  <si>
    <t>cliente1120</t>
  </si>
  <si>
    <t>cliente1121</t>
  </si>
  <si>
    <t>cliente1122</t>
  </si>
  <si>
    <t>cliente1123</t>
  </si>
  <si>
    <t>cliente1124</t>
  </si>
  <si>
    <t>cliente1125</t>
  </si>
  <si>
    <t>cliente1126</t>
  </si>
  <si>
    <t>cliente1127</t>
  </si>
  <si>
    <t>cliente1128</t>
  </si>
  <si>
    <t>cliente1129</t>
  </si>
  <si>
    <t>cliente1130</t>
  </si>
  <si>
    <t>cliente1131</t>
  </si>
  <si>
    <t>cliente1132</t>
  </si>
  <si>
    <t>cliente1133</t>
  </si>
  <si>
    <t>cliente1134</t>
  </si>
  <si>
    <t>cliente1135</t>
  </si>
  <si>
    <t>cliente1136</t>
  </si>
  <si>
    <t>cliente1137</t>
  </si>
  <si>
    <t>cliente1138</t>
  </si>
  <si>
    <t>cliente1139</t>
  </si>
  <si>
    <t>cliente1140</t>
  </si>
  <si>
    <t>cliente1141</t>
  </si>
  <si>
    <t>cliente1142</t>
  </si>
  <si>
    <t>cliente1143</t>
  </si>
  <si>
    <t>cliente1144</t>
  </si>
  <si>
    <t>cliente1145</t>
  </si>
  <si>
    <t>cliente1146</t>
  </si>
  <si>
    <t>cliente1147</t>
  </si>
  <si>
    <t>cliente1148</t>
  </si>
  <si>
    <t>cliente1149</t>
  </si>
  <si>
    <t>cliente1150</t>
  </si>
  <si>
    <t>cliente1151</t>
  </si>
  <si>
    <t>cliente1152</t>
  </si>
  <si>
    <t>cliente1153</t>
  </si>
  <si>
    <t>cliente1154</t>
  </si>
  <si>
    <t>cliente1155</t>
  </si>
  <si>
    <t>cliente1156</t>
  </si>
  <si>
    <t>cliente1157</t>
  </si>
  <si>
    <t>cliente1158</t>
  </si>
  <si>
    <t>cliente1159</t>
  </si>
  <si>
    <t>cliente1160</t>
  </si>
  <si>
    <t>cliente1161</t>
  </si>
  <si>
    <t>cliente1162</t>
  </si>
  <si>
    <t>cliente1163</t>
  </si>
  <si>
    <t>cliente1164</t>
  </si>
  <si>
    <t>cliente1165</t>
  </si>
  <si>
    <t>cliente1166</t>
  </si>
  <si>
    <t>cliente1167</t>
  </si>
  <si>
    <t>cliente1168</t>
  </si>
  <si>
    <t>cliente1169</t>
  </si>
  <si>
    <t>cliente1170</t>
  </si>
  <si>
    <t>t</t>
  </si>
  <si>
    <t>Temporales</t>
  </si>
  <si>
    <t>Cuenta de Nombre</t>
  </si>
  <si>
    <t>mar-06</t>
  </si>
  <si>
    <t>Total general</t>
  </si>
  <si>
    <t>mar-07</t>
  </si>
  <si>
    <t>jun-06</t>
  </si>
  <si>
    <t>jun-07</t>
  </si>
  <si>
    <t>sep-06</t>
  </si>
  <si>
    <t>dic-06</t>
  </si>
  <si>
    <t>sep-07</t>
  </si>
  <si>
    <t>dic-07</t>
  </si>
  <si>
    <t>mar-08</t>
  </si>
  <si>
    <t>jun-08</t>
  </si>
  <si>
    <t>sep-08</t>
  </si>
  <si>
    <t>dic-08</t>
  </si>
  <si>
    <t>mar-09</t>
  </si>
  <si>
    <t>jun-09</t>
  </si>
  <si>
    <t>sep-09</t>
  </si>
  <si>
    <t>dic-09</t>
  </si>
  <si>
    <t>mar-10</t>
  </si>
  <si>
    <t>jun-10</t>
  </si>
  <si>
    <t>sep-10</t>
  </si>
  <si>
    <t>dic-10</t>
  </si>
  <si>
    <t>Promedio</t>
  </si>
  <si>
    <t>BIS</t>
  </si>
  <si>
    <t xml:space="preserve">Interpolar </t>
  </si>
  <si>
    <t>Nodo Inicial</t>
  </si>
  <si>
    <t>Nodo Final</t>
  </si>
  <si>
    <t xml:space="preserve">  '(Nodo Final - Nodo Inicial) / (Num Nodos + 1)</t>
  </si>
  <si>
    <t xml:space="preserve"> ' Anterior + Salto </t>
  </si>
  <si>
    <t>Salto =</t>
  </si>
  <si>
    <t>PISO BIS + Interpolación</t>
  </si>
  <si>
    <t>1 Copiar la Matriz Promedio</t>
  </si>
  <si>
    <t>2 Eliminar los CEROS (Columna y Renglon CERO)</t>
  </si>
  <si>
    <t>3 Sustituir el Vector columna de PD, modificada por BIS e Interpolación</t>
  </si>
  <si>
    <t>Diferencias</t>
  </si>
  <si>
    <t>Copiar como Valores</t>
  </si>
  <si>
    <t>Expected Loss</t>
  </si>
  <si>
    <t>Perdida Esperada</t>
  </si>
  <si>
    <t>EaD * PD * LGD</t>
  </si>
  <si>
    <t xml:space="preserve">Saldo * Proba Incumplimiento * Severidad </t>
  </si>
  <si>
    <t>EaD</t>
  </si>
  <si>
    <t>PD</t>
  </si>
  <si>
    <t>Proba Incumpliento</t>
  </si>
  <si>
    <t>LGD</t>
  </si>
  <si>
    <t>Severidad</t>
  </si>
  <si>
    <t>Hipotecas = Real  =&gt; 55%</t>
  </si>
  <si>
    <t xml:space="preserve">Reserva  = EL = Perdida Esperada </t>
  </si>
  <si>
    <t xml:space="preserve">Calculo de la Funcion de Distribucion Acumulada </t>
  </si>
  <si>
    <t xml:space="preserve">FDA = F(x) </t>
  </si>
  <si>
    <t>Calificación</t>
  </si>
  <si>
    <t>Cliente</t>
  </si>
  <si>
    <t>Genera Semilla</t>
  </si>
  <si>
    <t>Asignar la Distribucion correpondiente a la calificacion de mi cliente</t>
  </si>
  <si>
    <t>ID _ Calificacion</t>
  </si>
  <si>
    <t>Calificación Sim</t>
  </si>
  <si>
    <t>PRECIO DEL PRODUCTO</t>
  </si>
  <si>
    <t>Perdida Esperada  Simulada</t>
  </si>
  <si>
    <t>Escenario</t>
  </si>
  <si>
    <t>Perdida Esperada Simulada</t>
  </si>
  <si>
    <t>Max</t>
  </si>
  <si>
    <t>Min</t>
  </si>
  <si>
    <t>Rango</t>
  </si>
  <si>
    <t>Salto</t>
  </si>
  <si>
    <t>Frecuencias</t>
  </si>
  <si>
    <t>EL</t>
  </si>
  <si>
    <t>UL = EC</t>
  </si>
  <si>
    <t>Perdida No Esperada</t>
  </si>
  <si>
    <t>CVaR@99</t>
  </si>
  <si>
    <t>Credit VaR @ 99</t>
  </si>
  <si>
    <t>Valor Cartera</t>
  </si>
  <si>
    <t>UL</t>
  </si>
  <si>
    <t>CVAR</t>
  </si>
  <si>
    <t>Monto Dispuesto</t>
  </si>
  <si>
    <t>Monto Crédito Aut.</t>
  </si>
  <si>
    <t>Comisión</t>
  </si>
  <si>
    <t>Intereses Ganados</t>
  </si>
  <si>
    <t xml:space="preserve"> +</t>
  </si>
  <si>
    <t>Fondeo</t>
  </si>
  <si>
    <t xml:space="preserve"> - </t>
  </si>
  <si>
    <t>Margen Financiero</t>
  </si>
  <si>
    <t>Prod Fin Capital</t>
  </si>
  <si>
    <t>Capital=</t>
  </si>
  <si>
    <t xml:space="preserve"> = Cetes (MDIN)</t>
  </si>
  <si>
    <t xml:space="preserve"> -</t>
  </si>
  <si>
    <t>Gastos Admón</t>
  </si>
  <si>
    <t>Reserva (EL)</t>
  </si>
  <si>
    <t>Impuestos</t>
  </si>
  <si>
    <t xml:space="preserve">Utilidad Neta Ajustada x Riesgo </t>
  </si>
  <si>
    <t xml:space="preserve">Utilidad Ajustada x Riesgo </t>
  </si>
  <si>
    <t>Garantía</t>
  </si>
  <si>
    <t>ROE</t>
  </si>
  <si>
    <t>RAR</t>
  </si>
  <si>
    <t>RAROC = RAR / EC</t>
  </si>
  <si>
    <t>Garantias</t>
  </si>
  <si>
    <t>Dinero y Valores</t>
  </si>
  <si>
    <t>Inmuebles Industriales</t>
  </si>
  <si>
    <t>Terrenos Urbanos</t>
  </si>
  <si>
    <t>Terrenos Comerciales</t>
  </si>
  <si>
    <t>Inmuebles Oficinas y comerciales</t>
  </si>
  <si>
    <t>Terrenos productivos</t>
  </si>
  <si>
    <t>Terrenos no productivos</t>
  </si>
  <si>
    <t xml:space="preserve">Mob y Equipo </t>
  </si>
  <si>
    <t>Inventarios</t>
  </si>
  <si>
    <t>Móviles</t>
  </si>
  <si>
    <t>Personales</t>
  </si>
  <si>
    <t>Sin Garantías</t>
  </si>
  <si>
    <t>Tasa Recup</t>
  </si>
  <si>
    <t>Cobranza y Recuperación</t>
  </si>
  <si>
    <t>Inmuebles Casa Habitación</t>
  </si>
  <si>
    <t>Terrenos Rústicos</t>
  </si>
  <si>
    <t>Reserva (EL=EaD*PD*LGD)</t>
  </si>
  <si>
    <t>TDC</t>
  </si>
  <si>
    <t>PLAN AUTO</t>
  </si>
  <si>
    <t>Empresarial</t>
  </si>
  <si>
    <t>Datos</t>
  </si>
  <si>
    <t>Total Cuenta de Nombre</t>
  </si>
  <si>
    <t>Total Cuenta de Nombre2</t>
  </si>
  <si>
    <t>Cuenta de Nombre2</t>
  </si>
  <si>
    <t>AAA</t>
  </si>
  <si>
    <t>AA</t>
  </si>
  <si>
    <t>A</t>
  </si>
  <si>
    <t>BBB</t>
  </si>
  <si>
    <t>CCC</t>
  </si>
  <si>
    <t>D</t>
  </si>
  <si>
    <t>Tabla</t>
  </si>
  <si>
    <t>3.1.</t>
  </si>
  <si>
    <t>Matriz</t>
  </si>
  <si>
    <t>de</t>
  </si>
  <si>
    <t>probabilidades</t>
  </si>
  <si>
    <t>transici_x0013_on</t>
  </si>
  <si>
    <t>a</t>
  </si>
  <si>
    <t>un</t>
  </si>
  <si>
    <t>a~no</t>
  </si>
  <si>
    <t>(</t>
  </si>
  <si>
    <t>%)</t>
  </si>
  <si>
    <t>Cali_x000C_caci_x0013_on</t>
  </si>
  <si>
    <t>al</t>
  </si>
  <si>
    <t>_x000C_nalizar</t>
  </si>
  <si>
    <t>el</t>
  </si>
  <si>
    <t>BB</t>
  </si>
  <si>
    <t>B</t>
  </si>
  <si>
    <t>Incumplimiento</t>
  </si>
  <si>
    <t>4+</t>
  </si>
  <si>
    <t>P</t>
  </si>
  <si>
    <t>4-6</t>
  </si>
  <si>
    <t>Calif</t>
  </si>
  <si>
    <t>PI</t>
  </si>
  <si>
    <t>SEV</t>
  </si>
  <si>
    <t>PE</t>
  </si>
  <si>
    <t>promedio</t>
  </si>
  <si>
    <t>var</t>
  </si>
  <si>
    <t>VaRCred</t>
  </si>
  <si>
    <t>CER</t>
  </si>
  <si>
    <t>PNE</t>
  </si>
  <si>
    <t>P Trans $\%$</t>
  </si>
  <si>
    <t>EaD *P_{i.}* PDD * LGD</t>
  </si>
  <si>
    <t>RAIZ(P_{i.}*1_{n\times1}*</t>
  </si>
  <si>
    <t>VarC(0.99)</t>
  </si>
  <si>
    <t>CeR</t>
  </si>
  <si>
    <t>Valores Simulados</t>
  </si>
  <si>
    <t>%</t>
  </si>
  <si>
    <t>Valores Paramétricos</t>
  </si>
  <si>
    <t xml:space="preserve">Clientes </t>
  </si>
  <si>
    <t>Probabilidad Promedio ponderadada por monto</t>
  </si>
  <si>
    <t>CREDIT RISK PLUS +</t>
  </si>
  <si>
    <t>Monto Promedio</t>
  </si>
  <si>
    <t># Clientes Inc</t>
  </si>
  <si>
    <t>Incumplimientos</t>
  </si>
  <si>
    <t>Exposición</t>
  </si>
  <si>
    <t>CVaR@99% =</t>
  </si>
  <si>
    <t>Perdida NO Esperada = UL</t>
  </si>
  <si>
    <t>Perdida Esperada = EL</t>
  </si>
  <si>
    <t>%  Cartera</t>
  </si>
  <si>
    <t>Probabilidad =f(x)</t>
  </si>
  <si>
    <t>FDA = F(x)</t>
  </si>
  <si>
    <t>Acumulada</t>
  </si>
  <si>
    <r>
      <t xml:space="preserve">Parametro Lamda = </t>
    </r>
    <r>
      <rPr>
        <sz val="16"/>
        <color indexed="8"/>
        <rFont val="Symbol"/>
        <family val="1"/>
        <charset val="2"/>
      </rPr>
      <t>l</t>
    </r>
  </si>
  <si>
    <r>
      <t xml:space="preserve"> = </t>
    </r>
    <r>
      <rPr>
        <sz val="11"/>
        <color indexed="8"/>
        <rFont val="Symbol"/>
        <family val="1"/>
        <charset val="2"/>
      </rPr>
      <t>l</t>
    </r>
  </si>
  <si>
    <t>Pérdidas $</t>
  </si>
  <si>
    <t>Frecuencia</t>
  </si>
  <si>
    <t>Prob Empírica</t>
  </si>
  <si>
    <t>P. Emp Acum</t>
  </si>
  <si>
    <t>Distribución</t>
  </si>
  <si>
    <t>VaRC(0.99)</t>
  </si>
  <si>
    <t>Beta Frec 1</t>
  </si>
  <si>
    <t>Beta Frec 2</t>
  </si>
  <si>
    <t>Pear 1</t>
  </si>
  <si>
    <t>Pear 2</t>
  </si>
  <si>
    <t>Original</t>
  </si>
  <si>
    <t>Beta 1</t>
  </si>
  <si>
    <t>Beta 2</t>
  </si>
  <si>
    <t>Parámetros</t>
  </si>
  <si>
    <t>\alpha</t>
  </si>
  <si>
    <t>\beta</t>
  </si>
  <si>
    <t>Suma cuadrados Empírica vs Beta</t>
  </si>
  <si>
    <t>Pearson</t>
  </si>
  <si>
    <t>p-value (42 grados libertad)</t>
  </si>
  <si>
    <t>Se calculó usando estimadroes de \alpha y \beta</t>
  </si>
  <si>
    <t>Se calculó usando solver y minimizando errores al cuadrado a partir del percentil 99%</t>
  </si>
  <si>
    <t>Grand Total</t>
  </si>
  <si>
    <t>Count of ID</t>
  </si>
  <si>
    <t>Expected Shortfall</t>
  </si>
  <si>
    <t>TABLA</t>
  </si>
  <si>
    <t>C</t>
  </si>
  <si>
    <t>NUMERO</t>
  </si>
  <si>
    <t>VALOR</t>
  </si>
  <si>
    <t>Pérdidas</t>
  </si>
  <si>
    <t>Clases</t>
  </si>
  <si>
    <t>min</t>
  </si>
  <si>
    <t>max</t>
  </si>
  <si>
    <t>rango</t>
  </si>
  <si>
    <t># clases</t>
  </si>
  <si>
    <t>VaR@99%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</si>
</sst>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0.0%"/>
    <numFmt numFmtId="166" formatCode="_-&quot;$&quot;* #,##0_-;\-&quot;$&quot;* #,##0_-;_-&quot;$&quot;* &quot;-&quot;??_-;_-@_-"/>
    <numFmt numFmtId="167" formatCode="_-* #,##0_-;\-* #,##0_-;_-* &quot;-&quot;??_-;_-@_-"/>
    <numFmt numFmtId="168" formatCode="_-* #,##0.0_-;\-* #,##0.0_-;_-* &quot;-&quot;??_-;_-@_-"/>
    <numFmt numFmtId="169" formatCode="_-* #,##0.000_-;\-* #,##0.000_-;_-* &quot;-&quot;??_-;_-@_-"/>
    <numFmt numFmtId="170" formatCode="0.000"/>
    <numFmt numFmtId="171" formatCode="_-&quot;$&quot;* #,##0.000000_-;\-&quot;$&quot;* #,##0.000000_-;_-&quot;$&quot;* &quot;-&quot;??_-;_-@_-"/>
    <numFmt numFmtId="172" formatCode="0.000000%"/>
    <numFmt numFmtId="173" formatCode="_-* #,##0.000_-;\-* #,##0.000_-;_-* &quot;-&quot;???_-;_-@_-"/>
    <numFmt numFmtId="174" formatCode="_-* #,##0.00000_-;\-* #,##0.00000_-;_-* &quot;-&quot;??_-;_-@_-"/>
    <numFmt numFmtId="175" formatCode="_-* #,##0.000000_-;\-* #,##0.000000_-;_-* &quot;-&quot;??_-;_-@_-"/>
    <numFmt numFmtId="176" formatCode="_-* #,##0.000000_-;\-* #,##0.000000_-;_-* &quot;-&quot;??????_-;_-@_-"/>
    <numFmt numFmtId="177" formatCode="_-* #,##0.0_-;\-* #,##0.0_-;_-* &quot;-&quot;??????_-;_-@_-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1"/>
      <color indexed="62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6"/>
      <color indexed="8"/>
      <name val="Symbol"/>
      <family val="1"/>
      <charset val="2"/>
    </font>
    <font>
      <b/>
      <sz val="16"/>
      <color indexed="8"/>
      <name val="Calibri"/>
      <family val="2"/>
    </font>
    <font>
      <sz val="11"/>
      <color indexed="8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4" fillId="0" borderId="0" quotePrefix="1">
      <alignment wrapText="1"/>
      <protection locked="0"/>
    </xf>
    <xf numFmtId="9" fontId="2" fillId="0" borderId="0" applyFont="0" applyFill="0" applyBorder="0" applyAlignment="0" applyProtection="0"/>
  </cellStyleXfs>
  <cellXfs count="199">
    <xf numFmtId="0" fontId="0" fillId="0" borderId="0" xfId="0"/>
    <xf numFmtId="0" fontId="0" fillId="0" borderId="0" xfId="0" applyNumberFormat="1" applyFill="1" applyAlignment="1" applyProtection="1"/>
    <xf numFmtId="0" fontId="3" fillId="0" borderId="1" xfId="0" applyNumberFormat="1" applyFont="1" applyBorder="1" applyAlignment="1" applyProtection="1">
      <alignment horizontal="center"/>
    </xf>
    <xf numFmtId="17" fontId="3" fillId="2" borderId="1" xfId="5" applyNumberFormat="1" applyFont="1" applyFill="1" applyBorder="1" applyAlignment="1">
      <alignment horizontal="center"/>
      <protection locked="0"/>
    </xf>
    <xf numFmtId="0" fontId="0" fillId="0" borderId="0" xfId="0" applyNumberFormat="1" applyFill="1" applyBorder="1" applyAlignment="1" applyProtection="1"/>
    <xf numFmtId="0" fontId="5" fillId="0" borderId="0" xfId="0" applyNumberFormat="1" applyFont="1" applyFill="1" applyAlignment="1" applyProtection="1"/>
    <xf numFmtId="0" fontId="5" fillId="0" borderId="0" xfId="5" applyNumberFormat="1" applyFont="1" applyFill="1" applyAlignment="1" applyProtection="1"/>
    <xf numFmtId="0" fontId="5" fillId="0" borderId="0" xfId="5" applyNumberFormat="1" applyFont="1" applyAlignment="1" applyProtection="1"/>
    <xf numFmtId="0" fontId="5" fillId="2" borderId="0" xfId="5" applyNumberFormat="1" applyFont="1" applyFill="1" applyAlignment="1" applyProtection="1"/>
    <xf numFmtId="0" fontId="5" fillId="0" borderId="0" xfId="5" applyNumberFormat="1" applyFont="1" applyFill="1" applyBorder="1" applyAlignment="1" applyProtection="1"/>
    <xf numFmtId="3" fontId="5" fillId="0" borderId="0" xfId="5" applyNumberFormat="1" applyFont="1" applyFill="1" applyBorder="1" applyAlignment="1" applyProtection="1"/>
    <xf numFmtId="0" fontId="0" fillId="0" borderId="0" xfId="0" applyNumberFormat="1" applyAlignment="1" applyProtection="1"/>
    <xf numFmtId="0" fontId="0" fillId="2" borderId="0" xfId="0" applyNumberFormat="1" applyFill="1" applyAlignment="1" applyProtection="1"/>
    <xf numFmtId="0" fontId="5" fillId="0" borderId="0" xfId="0" applyNumberFormat="1" applyFont="1" applyFill="1" applyBorder="1" applyAlignment="1" applyProtection="1"/>
    <xf numFmtId="3" fontId="5" fillId="0" borderId="0" xfId="0" applyNumberFormat="1" applyFont="1" applyFill="1" applyBorder="1" applyAlignment="1" applyProtection="1"/>
    <xf numFmtId="0" fontId="0" fillId="2" borderId="0" xfId="0" applyFill="1"/>
    <xf numFmtId="10" fontId="2" fillId="0" borderId="0" xfId="6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0" fontId="0" fillId="0" borderId="0" xfId="0" applyNumberFormat="1"/>
    <xf numFmtId="10" fontId="0" fillId="0" borderId="9" xfId="0" applyNumberFormat="1" applyBorder="1"/>
    <xf numFmtId="10" fontId="0" fillId="0" borderId="6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0" fontId="0" fillId="2" borderId="2" xfId="0" applyNumberFormat="1" applyFill="1" applyBorder="1"/>
    <xf numFmtId="10" fontId="0" fillId="3" borderId="8" xfId="0" applyNumberFormat="1" applyFill="1" applyBorder="1"/>
    <xf numFmtId="10" fontId="0" fillId="3" borderId="0" xfId="0" applyNumberFormat="1" applyFill="1"/>
    <xf numFmtId="10" fontId="0" fillId="3" borderId="10" xfId="0" applyNumberFormat="1" applyFill="1" applyBorder="1"/>
    <xf numFmtId="10" fontId="0" fillId="4" borderId="0" xfId="0" applyNumberFormat="1" applyFill="1"/>
    <xf numFmtId="10" fontId="0" fillId="0" borderId="2" xfId="0" applyNumberFormat="1" applyBorder="1"/>
    <xf numFmtId="10" fontId="0" fillId="2" borderId="2" xfId="0" quotePrefix="1" applyNumberFormat="1" applyFill="1" applyBorder="1"/>
    <xf numFmtId="0" fontId="0" fillId="4" borderId="8" xfId="0" applyFill="1" applyBorder="1"/>
    <xf numFmtId="10" fontId="0" fillId="4" borderId="2" xfId="0" applyNumberFormat="1" applyFill="1" applyBorder="1"/>
    <xf numFmtId="10" fontId="6" fillId="5" borderId="2" xfId="0" applyNumberFormat="1" applyFont="1" applyFill="1" applyBorder="1"/>
    <xf numFmtId="164" fontId="19" fillId="0" borderId="0" xfId="6" applyNumberFormat="1" applyFont="1"/>
    <xf numFmtId="0" fontId="6" fillId="2" borderId="0" xfId="0" applyFont="1" applyFill="1" applyAlignment="1">
      <alignment horizontal="center"/>
    </xf>
    <xf numFmtId="10" fontId="6" fillId="2" borderId="2" xfId="0" applyNumberFormat="1" applyFont="1" applyFill="1" applyBorder="1"/>
    <xf numFmtId="0" fontId="0" fillId="2" borderId="7" xfId="0" applyFill="1" applyBorder="1"/>
    <xf numFmtId="0" fontId="6" fillId="0" borderId="0" xfId="0" applyFont="1"/>
    <xf numFmtId="164" fontId="19" fillId="2" borderId="0" xfId="6" applyNumberFormat="1" applyFont="1" applyFill="1"/>
    <xf numFmtId="164" fontId="0" fillId="0" borderId="0" xfId="0" applyNumberFormat="1"/>
    <xf numFmtId="0" fontId="0" fillId="0" borderId="0" xfId="0" applyAlignment="1">
      <alignment horizontal="right"/>
    </xf>
    <xf numFmtId="164" fontId="19" fillId="6" borderId="0" xfId="6" applyNumberFormat="1" applyFont="1" applyFill="1"/>
    <xf numFmtId="10" fontId="19" fillId="0" borderId="0" xfId="6" applyNumberFormat="1" applyFont="1"/>
    <xf numFmtId="10" fontId="0" fillId="4" borderId="12" xfId="0" applyNumberFormat="1" applyFill="1" applyBorder="1"/>
    <xf numFmtId="10" fontId="0" fillId="0" borderId="13" xfId="0" applyNumberFormat="1" applyBorder="1"/>
    <xf numFmtId="10" fontId="0" fillId="0" borderId="14" xfId="0" applyNumberFormat="1" applyBorder="1"/>
    <xf numFmtId="10" fontId="0" fillId="4" borderId="15" xfId="0" applyNumberFormat="1" applyFill="1" applyBorder="1"/>
    <xf numFmtId="10" fontId="0" fillId="0" borderId="16" xfId="0" applyNumberFormat="1" applyBorder="1"/>
    <xf numFmtId="10" fontId="6" fillId="5" borderId="15" xfId="0" applyNumberFormat="1" applyFont="1" applyFill="1" applyBorder="1"/>
    <xf numFmtId="10" fontId="6" fillId="2" borderId="17" xfId="0" applyNumberFormat="1" applyFont="1" applyFill="1" applyBorder="1"/>
    <xf numFmtId="10" fontId="0" fillId="0" borderId="18" xfId="0" applyNumberFormat="1" applyBorder="1"/>
    <xf numFmtId="10" fontId="0" fillId="2" borderId="19" xfId="0" applyNumberFormat="1" applyFill="1" applyBorder="1"/>
    <xf numFmtId="0" fontId="0" fillId="4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44" fontId="19" fillId="0" borderId="0" xfId="2" applyFon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7" xfId="0" applyFill="1" applyBorder="1"/>
    <xf numFmtId="44" fontId="19" fillId="0" borderId="20" xfId="2" applyFont="1" applyBorder="1"/>
    <xf numFmtId="10" fontId="0" fillId="0" borderId="21" xfId="0" applyNumberFormat="1" applyBorder="1"/>
    <xf numFmtId="44" fontId="19" fillId="0" borderId="22" xfId="2" applyFont="1" applyBorder="1"/>
    <xf numFmtId="44" fontId="19" fillId="0" borderId="23" xfId="2" applyFont="1" applyBorder="1"/>
    <xf numFmtId="10" fontId="0" fillId="0" borderId="0" xfId="0" applyNumberFormat="1" applyBorder="1"/>
    <xf numFmtId="44" fontId="19" fillId="0" borderId="24" xfId="2" applyFont="1" applyBorder="1"/>
    <xf numFmtId="10" fontId="0" fillId="0" borderId="1" xfId="0" applyNumberFormat="1" applyBorder="1"/>
    <xf numFmtId="44" fontId="19" fillId="0" borderId="0" xfId="2" applyFont="1" applyBorder="1"/>
    <xf numFmtId="44" fontId="19" fillId="0" borderId="21" xfId="2" applyFont="1" applyBorder="1"/>
    <xf numFmtId="44" fontId="19" fillId="0" borderId="1" xfId="2" applyFont="1" applyBorder="1"/>
    <xf numFmtId="43" fontId="19" fillId="0" borderId="0" xfId="1" applyFont="1"/>
    <xf numFmtId="43" fontId="0" fillId="0" borderId="0" xfId="0" applyNumberFormat="1"/>
    <xf numFmtId="0" fontId="7" fillId="0" borderId="0" xfId="3" applyAlignment="1" applyProtection="1">
      <alignment horizontal="right"/>
    </xf>
    <xf numFmtId="165" fontId="19" fillId="0" borderId="0" xfId="6" applyNumberFormat="1" applyFont="1"/>
    <xf numFmtId="166" fontId="19" fillId="0" borderId="0" xfId="2" applyNumberFormat="1" applyFont="1"/>
    <xf numFmtId="10" fontId="0" fillId="2" borderId="0" xfId="0" applyNumberFormat="1" applyFill="1"/>
    <xf numFmtId="0" fontId="8" fillId="0" borderId="0" xfId="0" applyFont="1"/>
    <xf numFmtId="44" fontId="8" fillId="0" borderId="0" xfId="2" applyFont="1"/>
    <xf numFmtId="9" fontId="8" fillId="0" borderId="0" xfId="6" applyFont="1"/>
    <xf numFmtId="44" fontId="8" fillId="0" borderId="0" xfId="0" applyNumberFormat="1" applyFont="1"/>
    <xf numFmtId="44" fontId="10" fillId="0" borderId="0" xfId="0" applyNumberFormat="1" applyFont="1"/>
    <xf numFmtId="9" fontId="0" fillId="0" borderId="0" xfId="0" applyNumberFormat="1"/>
    <xf numFmtId="9" fontId="8" fillId="0" borderId="0" xfId="0" applyNumberFormat="1" applyFont="1"/>
    <xf numFmtId="0" fontId="0" fillId="0" borderId="25" xfId="0" applyBorder="1"/>
    <xf numFmtId="44" fontId="10" fillId="0" borderId="25" xfId="0" applyNumberFormat="1" applyFont="1" applyBorder="1"/>
    <xf numFmtId="167" fontId="19" fillId="0" borderId="0" xfId="1" applyNumberFormat="1" applyFont="1"/>
    <xf numFmtId="44" fontId="10" fillId="0" borderId="0" xfId="2" applyFont="1"/>
    <xf numFmtId="9" fontId="9" fillId="0" borderId="0" xfId="0" applyNumberFormat="1" applyFont="1"/>
    <xf numFmtId="0" fontId="0" fillId="0" borderId="26" xfId="0" applyBorder="1"/>
    <xf numFmtId="44" fontId="10" fillId="0" borderId="26" xfId="0" applyNumberFormat="1" applyFont="1" applyBorder="1"/>
    <xf numFmtId="0" fontId="0" fillId="0" borderId="0" xfId="0" applyFill="1" applyBorder="1"/>
    <xf numFmtId="0" fontId="6" fillId="0" borderId="26" xfId="0" applyFont="1" applyBorder="1" applyAlignment="1">
      <alignment horizontal="right"/>
    </xf>
    <xf numFmtId="44" fontId="9" fillId="0" borderId="26" xfId="0" applyNumberFormat="1" applyFont="1" applyBorder="1"/>
    <xf numFmtId="10" fontId="8" fillId="0" borderId="0" xfId="6" applyNumberFormat="1" applyFont="1"/>
    <xf numFmtId="10" fontId="10" fillId="0" borderId="0" xfId="6" applyNumberFormat="1" applyFont="1"/>
    <xf numFmtId="9" fontId="19" fillId="0" borderId="0" xfId="6" applyFont="1"/>
    <xf numFmtId="165" fontId="19" fillId="0" borderId="0" xfId="6" applyNumberFormat="1" applyFont="1"/>
    <xf numFmtId="0" fontId="0" fillId="0" borderId="2" xfId="0" applyBorder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0" fontId="0" fillId="0" borderId="27" xfId="0" applyBorder="1"/>
    <xf numFmtId="0" fontId="0" fillId="0" borderId="5" xfId="0" applyBorder="1"/>
    <xf numFmtId="0" fontId="0" fillId="0" borderId="8" xfId="0" applyBorder="1"/>
    <xf numFmtId="10" fontId="0" fillId="0" borderId="2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7" xfId="0" applyBorder="1"/>
    <xf numFmtId="10" fontId="0" fillId="0" borderId="7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6" xfId="0" applyBorder="1"/>
    <xf numFmtId="0" fontId="0" fillId="0" borderId="10" xfId="0" applyNumberFormat="1" applyBorder="1"/>
    <xf numFmtId="0" fontId="0" fillId="0" borderId="11" xfId="0" applyNumberFormat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9" xfId="0" applyNumberFormat="1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28" xfId="0" applyBorder="1"/>
    <xf numFmtId="0" fontId="0" fillId="0" borderId="6" xfId="0" applyNumberFormat="1" applyBorder="1"/>
    <xf numFmtId="167" fontId="19" fillId="0" borderId="0" xfId="1" applyNumberFormat="1" applyFont="1"/>
    <xf numFmtId="164" fontId="19" fillId="0" borderId="0" xfId="6" applyNumberFormat="1" applyFont="1"/>
    <xf numFmtId="16" fontId="0" fillId="0" borderId="0" xfId="0" quotePrefix="1" applyNumberFormat="1"/>
    <xf numFmtId="169" fontId="19" fillId="0" borderId="0" xfId="1" applyNumberFormat="1" applyFont="1"/>
    <xf numFmtId="169" fontId="0" fillId="0" borderId="0" xfId="0" applyNumberFormat="1"/>
    <xf numFmtId="170" fontId="0" fillId="0" borderId="0" xfId="0" applyNumberFormat="1"/>
    <xf numFmtId="17" fontId="0" fillId="0" borderId="0" xfId="0" applyNumberFormat="1"/>
    <xf numFmtId="166" fontId="0" fillId="0" borderId="0" xfId="0" applyNumberFormat="1"/>
    <xf numFmtId="167" fontId="0" fillId="0" borderId="0" xfId="0" applyNumberFormat="1"/>
    <xf numFmtId="43" fontId="1" fillId="0" borderId="0" xfId="1" applyFont="1"/>
    <xf numFmtId="44" fontId="1" fillId="0" borderId="0" xfId="2" applyFont="1"/>
    <xf numFmtId="167" fontId="1" fillId="0" borderId="0" xfId="1" applyNumberFormat="1" applyFont="1"/>
    <xf numFmtId="164" fontId="1" fillId="0" borderId="0" xfId="6" applyNumberFormat="1" applyFont="1"/>
    <xf numFmtId="0" fontId="0" fillId="0" borderId="0" xfId="0" applyAlignment="1">
      <alignment horizontal="center" wrapText="1"/>
    </xf>
    <xf numFmtId="172" fontId="1" fillId="0" borderId="0" xfId="6" applyNumberFormat="1" applyFont="1"/>
    <xf numFmtId="10" fontId="1" fillId="0" borderId="0" xfId="6" applyNumberFormat="1" applyFont="1"/>
    <xf numFmtId="44" fontId="13" fillId="0" borderId="0" xfId="2" applyFont="1"/>
    <xf numFmtId="0" fontId="1" fillId="0" borderId="0" xfId="1" applyNumberFormat="1" applyFont="1"/>
    <xf numFmtId="171" fontId="1" fillId="0" borderId="0" xfId="2" applyNumberFormat="1" applyFont="1"/>
    <xf numFmtId="0" fontId="7" fillId="0" borderId="0" xfId="3" applyAlignment="1" applyProtection="1"/>
    <xf numFmtId="0" fontId="15" fillId="0" borderId="0" xfId="4"/>
    <xf numFmtId="0" fontId="17" fillId="0" borderId="0" xfId="4" applyFont="1" applyAlignment="1">
      <alignment horizontal="center" vertical="center" wrapText="1"/>
    </xf>
    <xf numFmtId="0" fontId="18" fillId="0" borderId="0" xfId="4" applyFont="1"/>
    <xf numFmtId="167" fontId="15" fillId="0" borderId="0" xfId="4" applyNumberFormat="1"/>
    <xf numFmtId="175" fontId="15" fillId="0" borderId="0" xfId="1" applyNumberFormat="1" applyFont="1" applyAlignment="1">
      <alignment shrinkToFit="1"/>
    </xf>
    <xf numFmtId="43" fontId="18" fillId="0" borderId="0" xfId="1" applyFont="1"/>
    <xf numFmtId="176" fontId="15" fillId="0" borderId="0" xfId="4" applyNumberFormat="1"/>
    <xf numFmtId="173" fontId="15" fillId="0" borderId="0" xfId="4" applyNumberFormat="1"/>
    <xf numFmtId="43" fontId="15" fillId="0" borderId="0" xfId="4" applyNumberFormat="1"/>
    <xf numFmtId="167" fontId="15" fillId="0" borderId="0" xfId="1" applyNumberFormat="1" applyFont="1"/>
    <xf numFmtId="167" fontId="18" fillId="0" borderId="0" xfId="1" applyNumberFormat="1" applyFont="1"/>
    <xf numFmtId="43" fontId="18" fillId="0" borderId="0" xfId="4" applyNumberFormat="1" applyFont="1"/>
    <xf numFmtId="165" fontId="18" fillId="0" borderId="0" xfId="6" applyNumberFormat="1" applyFont="1"/>
    <xf numFmtId="165" fontId="15" fillId="0" borderId="0" xfId="6" applyNumberFormat="1" applyFont="1"/>
    <xf numFmtId="168" fontId="15" fillId="0" borderId="0" xfId="1" applyNumberFormat="1" applyFont="1"/>
    <xf numFmtId="169" fontId="15" fillId="0" borderId="0" xfId="1" applyNumberFormat="1" applyFont="1"/>
    <xf numFmtId="175" fontId="15" fillId="0" borderId="0" xfId="4" applyNumberFormat="1"/>
    <xf numFmtId="177" fontId="15" fillId="0" borderId="0" xfId="4" applyNumberForma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9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29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0" fillId="0" borderId="32" xfId="0" applyNumberFormat="1" applyBorder="1"/>
    <xf numFmtId="0" fontId="0" fillId="0" borderId="36" xfId="0" applyNumberFormat="1" applyBorder="1"/>
    <xf numFmtId="0" fontId="0" fillId="0" borderId="33" xfId="0" applyNumberFormat="1" applyBorder="1"/>
    <xf numFmtId="0" fontId="0" fillId="0" borderId="37" xfId="0" applyNumberFormat="1" applyBorder="1"/>
    <xf numFmtId="0" fontId="0" fillId="0" borderId="38" xfId="0" applyNumberFormat="1" applyBorder="1"/>
    <xf numFmtId="9" fontId="19" fillId="0" borderId="0" xfId="6" applyFont="1"/>
    <xf numFmtId="167" fontId="19" fillId="0" borderId="0" xfId="1" applyNumberFormat="1" applyFont="1"/>
    <xf numFmtId="44" fontId="0" fillId="7" borderId="0" xfId="0" applyNumberFormat="1" applyFill="1"/>
    <xf numFmtId="167" fontId="19" fillId="7" borderId="0" xfId="1" applyNumberFormat="1" applyFont="1" applyFill="1"/>
    <xf numFmtId="0" fontId="5" fillId="0" borderId="0" xfId="4" applyFont="1"/>
    <xf numFmtId="174" fontId="18" fillId="0" borderId="0" xfId="4" applyNumberFormat="1" applyFont="1"/>
    <xf numFmtId="9" fontId="19" fillId="0" borderId="0" xfId="6" applyFont="1"/>
    <xf numFmtId="165" fontId="19" fillId="0" borderId="0" xfId="6" applyNumberFormat="1" applyFont="1"/>
    <xf numFmtId="165" fontId="0" fillId="0" borderId="0" xfId="0" applyNumberFormat="1"/>
    <xf numFmtId="168" fontId="19" fillId="0" borderId="0" xfId="1" applyNumberFormat="1" applyFont="1"/>
    <xf numFmtId="167" fontId="19" fillId="0" borderId="0" xfId="1" applyNumberFormat="1" applyFont="1"/>
    <xf numFmtId="164" fontId="1" fillId="8" borderId="0" xfId="6" applyNumberFormat="1" applyFont="1" applyFill="1"/>
    <xf numFmtId="9" fontId="19" fillId="9" borderId="0" xfId="6" applyFont="1" applyFill="1"/>
    <xf numFmtId="166" fontId="19" fillId="10" borderId="22" xfId="2" applyNumberFormat="1" applyFont="1" applyFill="1" applyBorder="1"/>
    <xf numFmtId="44" fontId="19" fillId="10" borderId="22" xfId="2" applyFont="1" applyFill="1" applyBorder="1"/>
    <xf numFmtId="167" fontId="19" fillId="10" borderId="0" xfId="1" applyNumberFormat="1" applyFont="1" applyFill="1"/>
  </cellXfs>
  <cellStyles count="7">
    <cellStyle name="Comma" xfId="1" builtinId="3"/>
    <cellStyle name="Currency" xfId="2" builtinId="4"/>
    <cellStyle name="Hyperlink" xfId="3" builtinId="8"/>
    <cellStyle name="Normal" xfId="0" builtinId="0"/>
    <cellStyle name="Normal_paramétrico beta" xfId="4" xr:uid="{00000000-0005-0000-0000-000004000000}"/>
    <cellStyle name="Normal_PIComercial_promedio_simple_analyse_Vacios" xfId="5" xr:uid="{00000000-0005-0000-0000-000005000000}"/>
    <cellStyle name="Percent" xfId="6" builtinId="5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Escenarios!$F$5</c:f>
              <c:strCache>
                <c:ptCount val="1"/>
                <c:pt idx="0">
                  <c:v>Frecuencias</c:v>
                </c:pt>
              </c:strCache>
            </c:strRef>
          </c:tx>
          <c:invertIfNegative val="0"/>
          <c:cat>
            <c:numRef>
              <c:f>Escenarios!$E$6:$E$45</c:f>
              <c:numCache>
                <c:formatCode>_(* #,##0.00_);_(* \(#,##0.00\);_(* "-"??_);_(@_)</c:formatCode>
                <c:ptCount val="40"/>
                <c:pt idx="0" formatCode="_(&quot;$&quot;* #,##0.00_);_(&quot;$&quot;* \(#,##0.00\);_(&quot;$&quot;* &quot;-&quot;??_);_(@_)">
                  <c:v>28238638.094389554</c:v>
                </c:pt>
                <c:pt idx="1">
                  <c:v>28505936.624693893</c:v>
                </c:pt>
                <c:pt idx="2">
                  <c:v>28773235.154998232</c:v>
                </c:pt>
                <c:pt idx="3">
                  <c:v>29040533.68530257</c:v>
                </c:pt>
                <c:pt idx="4">
                  <c:v>29307832.215606909</c:v>
                </c:pt>
                <c:pt idx="5">
                  <c:v>29575130.745911248</c:v>
                </c:pt>
                <c:pt idx="6">
                  <c:v>29842429.276215587</c:v>
                </c:pt>
                <c:pt idx="7">
                  <c:v>30109727.806519926</c:v>
                </c:pt>
                <c:pt idx="8">
                  <c:v>30377026.336824264</c:v>
                </c:pt>
                <c:pt idx="9">
                  <c:v>30644324.867128603</c:v>
                </c:pt>
                <c:pt idx="10">
                  <c:v>30911623.397432942</c:v>
                </c:pt>
                <c:pt idx="11">
                  <c:v>31178921.927737281</c:v>
                </c:pt>
                <c:pt idx="12">
                  <c:v>31446220.45804162</c:v>
                </c:pt>
                <c:pt idx="13">
                  <c:v>31713518.988345958</c:v>
                </c:pt>
                <c:pt idx="14">
                  <c:v>31980817.518650297</c:v>
                </c:pt>
                <c:pt idx="15">
                  <c:v>32248116.048954636</c:v>
                </c:pt>
                <c:pt idx="16">
                  <c:v>32515414.579258975</c:v>
                </c:pt>
                <c:pt idx="17">
                  <c:v>32782713.109563313</c:v>
                </c:pt>
                <c:pt idx="18">
                  <c:v>33050011.639867652</c:v>
                </c:pt>
                <c:pt idx="19">
                  <c:v>33317310.170171991</c:v>
                </c:pt>
                <c:pt idx="20">
                  <c:v>33584608.700476333</c:v>
                </c:pt>
                <c:pt idx="21">
                  <c:v>33851907.230780676</c:v>
                </c:pt>
                <c:pt idx="22">
                  <c:v>34119205.761085019</c:v>
                </c:pt>
                <c:pt idx="23">
                  <c:v>34386504.291389361</c:v>
                </c:pt>
                <c:pt idx="24">
                  <c:v>34653802.821693704</c:v>
                </c:pt>
                <c:pt idx="25">
                  <c:v>34921101.351998046</c:v>
                </c:pt>
                <c:pt idx="26">
                  <c:v>35188399.882302389</c:v>
                </c:pt>
                <c:pt idx="27">
                  <c:v>35455698.412606731</c:v>
                </c:pt>
                <c:pt idx="28">
                  <c:v>35722996.942911074</c:v>
                </c:pt>
                <c:pt idx="29">
                  <c:v>35990295.473215416</c:v>
                </c:pt>
                <c:pt idx="30">
                  <c:v>36257594.003519759</c:v>
                </c:pt>
                <c:pt idx="31">
                  <c:v>36524892.533824101</c:v>
                </c:pt>
                <c:pt idx="32">
                  <c:v>36792191.064128444</c:v>
                </c:pt>
                <c:pt idx="33">
                  <c:v>37059489.594432786</c:v>
                </c:pt>
                <c:pt idx="34">
                  <c:v>37326788.124737129</c:v>
                </c:pt>
                <c:pt idx="35">
                  <c:v>37594086.655041471</c:v>
                </c:pt>
                <c:pt idx="36">
                  <c:v>37861385.185345814</c:v>
                </c:pt>
                <c:pt idx="37">
                  <c:v>38128683.715650156</c:v>
                </c:pt>
                <c:pt idx="38">
                  <c:v>38395982.245954499</c:v>
                </c:pt>
                <c:pt idx="39" formatCode="_(&quot;$&quot;* #,##0.00_);_(&quot;$&quot;* \(#,##0.00\);_(&quot;$&quot;* &quot;-&quot;??_);_(@_)">
                  <c:v>38663280.776258767</c:v>
                </c:pt>
              </c:numCache>
            </c:numRef>
          </c:cat>
          <c:val>
            <c:numRef>
              <c:f>Escenarios!$F$6:$F$45</c:f>
              <c:numCache>
                <c:formatCode>General</c:formatCode>
                <c:ptCount val="40"/>
                <c:pt idx="0">
                  <c:v>1</c:v>
                </c:pt>
                <c:pt idx="1">
                  <c:v>374</c:v>
                </c:pt>
                <c:pt idx="2">
                  <c:v>1802</c:v>
                </c:pt>
                <c:pt idx="3">
                  <c:v>2232</c:v>
                </c:pt>
                <c:pt idx="4">
                  <c:v>1711</c:v>
                </c:pt>
                <c:pt idx="5">
                  <c:v>1123</c:v>
                </c:pt>
                <c:pt idx="6">
                  <c:v>816</c:v>
                </c:pt>
                <c:pt idx="7">
                  <c:v>633</c:v>
                </c:pt>
                <c:pt idx="8">
                  <c:v>425</c:v>
                </c:pt>
                <c:pt idx="9">
                  <c:v>243</c:v>
                </c:pt>
                <c:pt idx="10">
                  <c:v>147</c:v>
                </c:pt>
                <c:pt idx="11">
                  <c:v>80</c:v>
                </c:pt>
                <c:pt idx="12">
                  <c:v>46</c:v>
                </c:pt>
                <c:pt idx="13">
                  <c:v>20</c:v>
                </c:pt>
                <c:pt idx="14">
                  <c:v>15</c:v>
                </c:pt>
                <c:pt idx="15">
                  <c:v>8</c:v>
                </c:pt>
                <c:pt idx="16">
                  <c:v>22</c:v>
                </c:pt>
                <c:pt idx="17">
                  <c:v>31</c:v>
                </c:pt>
                <c:pt idx="18">
                  <c:v>42</c:v>
                </c:pt>
                <c:pt idx="19">
                  <c:v>62</c:v>
                </c:pt>
                <c:pt idx="20">
                  <c:v>49</c:v>
                </c:pt>
                <c:pt idx="21">
                  <c:v>39</c:v>
                </c:pt>
                <c:pt idx="22">
                  <c:v>28</c:v>
                </c:pt>
                <c:pt idx="23">
                  <c:v>21</c:v>
                </c:pt>
                <c:pt idx="24">
                  <c:v>6</c:v>
                </c:pt>
                <c:pt idx="25">
                  <c:v>10</c:v>
                </c:pt>
                <c:pt idx="26">
                  <c:v>6</c:v>
                </c:pt>
                <c:pt idx="27">
                  <c:v>4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 formatCode="_(* #,##0.00_);_(* \(#,##0.00\);_(* &quot;-&quot;??_);_(@_)">
                  <c:v>1</c:v>
                </c:pt>
                <c:pt idx="37" formatCode="_(* #,##0.00_);_(* \(#,##0.00\);_(* &quot;-&quot;??_);_(@_)">
                  <c:v>1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2-491B-8D07-B1A06EB77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492184"/>
        <c:axId val="957492576"/>
      </c:barChart>
      <c:catAx>
        <c:axId val="957492184"/>
        <c:scaling>
          <c:orientation val="minMax"/>
        </c:scaling>
        <c:delete val="0"/>
        <c:axPos val="b"/>
        <c:numFmt formatCode="#,##0,_);[Red]\(#,##0,\)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957492576"/>
        <c:crosses val="autoZero"/>
        <c:auto val="1"/>
        <c:lblAlgn val="ctr"/>
        <c:lblOffset val="100"/>
        <c:noMultiLvlLbl val="0"/>
      </c:catAx>
      <c:valAx>
        <c:axId val="9574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957492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2638663474905025"/>
          <c:y val="3.0303030303030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02383710996983E-2"/>
          <c:y val="0.10606083024898169"/>
          <c:w val="0.85468531037631301"/>
          <c:h val="0.77489341283949886"/>
        </c:manualLayout>
      </c:layout>
      <c:scatterChart>
        <c:scatterStyle val="smoothMarker"/>
        <c:varyColors val="0"/>
        <c:ser>
          <c:idx val="0"/>
          <c:order val="0"/>
          <c:tx>
            <c:v>Poisson(127)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'CrediRisk+'!$B$35:$B$578</c:f>
              <c:strCache>
                <c:ptCount val="544"/>
                <c:pt idx="0">
                  <c:v> Incumplimientos 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216</c:v>
                </c:pt>
                <c:pt idx="218">
                  <c:v>217</c:v>
                </c:pt>
                <c:pt idx="219">
                  <c:v>218</c:v>
                </c:pt>
                <c:pt idx="220">
                  <c:v>219</c:v>
                </c:pt>
                <c:pt idx="221">
                  <c:v>220</c:v>
                </c:pt>
                <c:pt idx="222">
                  <c:v>221</c:v>
                </c:pt>
                <c:pt idx="223">
                  <c:v>222</c:v>
                </c:pt>
                <c:pt idx="224">
                  <c:v>223</c:v>
                </c:pt>
                <c:pt idx="225">
                  <c:v>224</c:v>
                </c:pt>
                <c:pt idx="226">
                  <c:v>225</c:v>
                </c:pt>
                <c:pt idx="227">
                  <c:v>226</c:v>
                </c:pt>
                <c:pt idx="228">
                  <c:v>227</c:v>
                </c:pt>
                <c:pt idx="229">
                  <c:v>228</c:v>
                </c:pt>
                <c:pt idx="230">
                  <c:v>229</c:v>
                </c:pt>
                <c:pt idx="231">
                  <c:v>230</c:v>
                </c:pt>
                <c:pt idx="232">
                  <c:v>231</c:v>
                </c:pt>
                <c:pt idx="233">
                  <c:v>232</c:v>
                </c:pt>
                <c:pt idx="234">
                  <c:v>233</c:v>
                </c:pt>
                <c:pt idx="235">
                  <c:v>234</c:v>
                </c:pt>
                <c:pt idx="236">
                  <c:v>235</c:v>
                </c:pt>
                <c:pt idx="237">
                  <c:v>236</c:v>
                </c:pt>
                <c:pt idx="238">
                  <c:v>237</c:v>
                </c:pt>
                <c:pt idx="239">
                  <c:v>238</c:v>
                </c:pt>
                <c:pt idx="240">
                  <c:v>239</c:v>
                </c:pt>
                <c:pt idx="241">
                  <c:v>240</c:v>
                </c:pt>
                <c:pt idx="242">
                  <c:v>241</c:v>
                </c:pt>
                <c:pt idx="243">
                  <c:v>242</c:v>
                </c:pt>
                <c:pt idx="244">
                  <c:v>243</c:v>
                </c:pt>
                <c:pt idx="245">
                  <c:v>244</c:v>
                </c:pt>
                <c:pt idx="246">
                  <c:v>245</c:v>
                </c:pt>
                <c:pt idx="247">
                  <c:v>246</c:v>
                </c:pt>
                <c:pt idx="248">
                  <c:v>247</c:v>
                </c:pt>
                <c:pt idx="249">
                  <c:v>248</c:v>
                </c:pt>
                <c:pt idx="250">
                  <c:v>249</c:v>
                </c:pt>
                <c:pt idx="251">
                  <c:v>250</c:v>
                </c:pt>
                <c:pt idx="252">
                  <c:v>251</c:v>
                </c:pt>
                <c:pt idx="253">
                  <c:v>252</c:v>
                </c:pt>
                <c:pt idx="254">
                  <c:v>253</c:v>
                </c:pt>
                <c:pt idx="255">
                  <c:v>254</c:v>
                </c:pt>
                <c:pt idx="256">
                  <c:v>255</c:v>
                </c:pt>
                <c:pt idx="257">
                  <c:v>256</c:v>
                </c:pt>
                <c:pt idx="258">
                  <c:v>257</c:v>
                </c:pt>
                <c:pt idx="259">
                  <c:v>258</c:v>
                </c:pt>
                <c:pt idx="260">
                  <c:v>259</c:v>
                </c:pt>
                <c:pt idx="261">
                  <c:v>260</c:v>
                </c:pt>
                <c:pt idx="262">
                  <c:v>261</c:v>
                </c:pt>
                <c:pt idx="263">
                  <c:v>262</c:v>
                </c:pt>
                <c:pt idx="264">
                  <c:v>263</c:v>
                </c:pt>
                <c:pt idx="265">
                  <c:v>264</c:v>
                </c:pt>
                <c:pt idx="266">
                  <c:v>265</c:v>
                </c:pt>
                <c:pt idx="267">
                  <c:v>266</c:v>
                </c:pt>
                <c:pt idx="268">
                  <c:v>267</c:v>
                </c:pt>
                <c:pt idx="269">
                  <c:v>268</c:v>
                </c:pt>
                <c:pt idx="270">
                  <c:v>269</c:v>
                </c:pt>
                <c:pt idx="271">
                  <c:v>270</c:v>
                </c:pt>
                <c:pt idx="272">
                  <c:v>271</c:v>
                </c:pt>
                <c:pt idx="273">
                  <c:v>272</c:v>
                </c:pt>
                <c:pt idx="274">
                  <c:v>273</c:v>
                </c:pt>
                <c:pt idx="275">
                  <c:v>274</c:v>
                </c:pt>
                <c:pt idx="276">
                  <c:v>275</c:v>
                </c:pt>
                <c:pt idx="277">
                  <c:v>276</c:v>
                </c:pt>
                <c:pt idx="278">
                  <c:v>277</c:v>
                </c:pt>
                <c:pt idx="279">
                  <c:v>278</c:v>
                </c:pt>
                <c:pt idx="280">
                  <c:v>279</c:v>
                </c:pt>
                <c:pt idx="281">
                  <c:v>280</c:v>
                </c:pt>
                <c:pt idx="282">
                  <c:v>281</c:v>
                </c:pt>
                <c:pt idx="283">
                  <c:v>282</c:v>
                </c:pt>
                <c:pt idx="284">
                  <c:v>283</c:v>
                </c:pt>
                <c:pt idx="285">
                  <c:v>284</c:v>
                </c:pt>
                <c:pt idx="286">
                  <c:v>285</c:v>
                </c:pt>
                <c:pt idx="287">
                  <c:v>286</c:v>
                </c:pt>
                <c:pt idx="288">
                  <c:v>287</c:v>
                </c:pt>
                <c:pt idx="289">
                  <c:v>288</c:v>
                </c:pt>
                <c:pt idx="290">
                  <c:v>289</c:v>
                </c:pt>
                <c:pt idx="291">
                  <c:v>290</c:v>
                </c:pt>
                <c:pt idx="292">
                  <c:v>291</c:v>
                </c:pt>
                <c:pt idx="293">
                  <c:v>292</c:v>
                </c:pt>
                <c:pt idx="294">
                  <c:v>293</c:v>
                </c:pt>
                <c:pt idx="295">
                  <c:v>294</c:v>
                </c:pt>
                <c:pt idx="296">
                  <c:v>295</c:v>
                </c:pt>
                <c:pt idx="297">
                  <c:v>296</c:v>
                </c:pt>
                <c:pt idx="298">
                  <c:v>297</c:v>
                </c:pt>
                <c:pt idx="299">
                  <c:v>298</c:v>
                </c:pt>
                <c:pt idx="300">
                  <c:v>299</c:v>
                </c:pt>
                <c:pt idx="301">
                  <c:v>300</c:v>
                </c:pt>
                <c:pt idx="302">
                  <c:v>301</c:v>
                </c:pt>
                <c:pt idx="303">
                  <c:v>302</c:v>
                </c:pt>
                <c:pt idx="304">
                  <c:v>303</c:v>
                </c:pt>
                <c:pt idx="305">
                  <c:v>304</c:v>
                </c:pt>
                <c:pt idx="306">
                  <c:v>305</c:v>
                </c:pt>
                <c:pt idx="307">
                  <c:v>306</c:v>
                </c:pt>
                <c:pt idx="308">
                  <c:v>307</c:v>
                </c:pt>
                <c:pt idx="309">
                  <c:v>308</c:v>
                </c:pt>
                <c:pt idx="310">
                  <c:v>309</c:v>
                </c:pt>
                <c:pt idx="311">
                  <c:v>310</c:v>
                </c:pt>
                <c:pt idx="312">
                  <c:v>311</c:v>
                </c:pt>
                <c:pt idx="313">
                  <c:v>312</c:v>
                </c:pt>
                <c:pt idx="314">
                  <c:v>313</c:v>
                </c:pt>
                <c:pt idx="315">
                  <c:v>314</c:v>
                </c:pt>
                <c:pt idx="316">
                  <c:v>315</c:v>
                </c:pt>
                <c:pt idx="317">
                  <c:v>316</c:v>
                </c:pt>
                <c:pt idx="318">
                  <c:v>317</c:v>
                </c:pt>
                <c:pt idx="319">
                  <c:v>318</c:v>
                </c:pt>
                <c:pt idx="320">
                  <c:v>319</c:v>
                </c:pt>
                <c:pt idx="321">
                  <c:v>320</c:v>
                </c:pt>
                <c:pt idx="322">
                  <c:v>321</c:v>
                </c:pt>
                <c:pt idx="323">
                  <c:v>322</c:v>
                </c:pt>
                <c:pt idx="324">
                  <c:v>323</c:v>
                </c:pt>
                <c:pt idx="325">
                  <c:v>324</c:v>
                </c:pt>
                <c:pt idx="326">
                  <c:v>325</c:v>
                </c:pt>
                <c:pt idx="327">
                  <c:v>326</c:v>
                </c:pt>
                <c:pt idx="328">
                  <c:v>327</c:v>
                </c:pt>
                <c:pt idx="329">
                  <c:v>328</c:v>
                </c:pt>
                <c:pt idx="330">
                  <c:v>329</c:v>
                </c:pt>
                <c:pt idx="331">
                  <c:v>330</c:v>
                </c:pt>
                <c:pt idx="332">
                  <c:v>331</c:v>
                </c:pt>
                <c:pt idx="333">
                  <c:v>332</c:v>
                </c:pt>
                <c:pt idx="334">
                  <c:v>333</c:v>
                </c:pt>
                <c:pt idx="335">
                  <c:v>334</c:v>
                </c:pt>
                <c:pt idx="336">
                  <c:v>335</c:v>
                </c:pt>
                <c:pt idx="337">
                  <c:v>336</c:v>
                </c:pt>
                <c:pt idx="338">
                  <c:v>337</c:v>
                </c:pt>
                <c:pt idx="339">
                  <c:v>338</c:v>
                </c:pt>
                <c:pt idx="340">
                  <c:v>339</c:v>
                </c:pt>
                <c:pt idx="341">
                  <c:v>340</c:v>
                </c:pt>
                <c:pt idx="342">
                  <c:v>341</c:v>
                </c:pt>
                <c:pt idx="343">
                  <c:v>342</c:v>
                </c:pt>
                <c:pt idx="344">
                  <c:v>343</c:v>
                </c:pt>
                <c:pt idx="345">
                  <c:v>344</c:v>
                </c:pt>
                <c:pt idx="346">
                  <c:v>345</c:v>
                </c:pt>
                <c:pt idx="347">
                  <c:v>346</c:v>
                </c:pt>
                <c:pt idx="348">
                  <c:v>347</c:v>
                </c:pt>
                <c:pt idx="349">
                  <c:v>348</c:v>
                </c:pt>
                <c:pt idx="350">
                  <c:v>349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353</c:v>
                </c:pt>
                <c:pt idx="355">
                  <c:v>354</c:v>
                </c:pt>
                <c:pt idx="356">
                  <c:v>355</c:v>
                </c:pt>
                <c:pt idx="357">
                  <c:v>356</c:v>
                </c:pt>
                <c:pt idx="358">
                  <c:v>357</c:v>
                </c:pt>
                <c:pt idx="359">
                  <c:v>358</c:v>
                </c:pt>
                <c:pt idx="360">
                  <c:v>359</c:v>
                </c:pt>
                <c:pt idx="361">
                  <c:v>360</c:v>
                </c:pt>
                <c:pt idx="362">
                  <c:v>361</c:v>
                </c:pt>
                <c:pt idx="363">
                  <c:v>362</c:v>
                </c:pt>
                <c:pt idx="364">
                  <c:v>363</c:v>
                </c:pt>
                <c:pt idx="365">
                  <c:v>364</c:v>
                </c:pt>
                <c:pt idx="366">
                  <c:v>365</c:v>
                </c:pt>
                <c:pt idx="367">
                  <c:v>366</c:v>
                </c:pt>
                <c:pt idx="368">
                  <c:v>367</c:v>
                </c:pt>
                <c:pt idx="369">
                  <c:v>368</c:v>
                </c:pt>
                <c:pt idx="370">
                  <c:v>369</c:v>
                </c:pt>
                <c:pt idx="371">
                  <c:v>370</c:v>
                </c:pt>
                <c:pt idx="372">
                  <c:v>371</c:v>
                </c:pt>
                <c:pt idx="373">
                  <c:v>372</c:v>
                </c:pt>
                <c:pt idx="374">
                  <c:v>373</c:v>
                </c:pt>
                <c:pt idx="375">
                  <c:v>374</c:v>
                </c:pt>
                <c:pt idx="376">
                  <c:v>375</c:v>
                </c:pt>
                <c:pt idx="377">
                  <c:v>376</c:v>
                </c:pt>
                <c:pt idx="378">
                  <c:v>377</c:v>
                </c:pt>
                <c:pt idx="379">
                  <c:v>378</c:v>
                </c:pt>
                <c:pt idx="380">
                  <c:v>379</c:v>
                </c:pt>
                <c:pt idx="381">
                  <c:v>380</c:v>
                </c:pt>
                <c:pt idx="382">
                  <c:v>381</c:v>
                </c:pt>
                <c:pt idx="383">
                  <c:v>382</c:v>
                </c:pt>
                <c:pt idx="384">
                  <c:v>383</c:v>
                </c:pt>
                <c:pt idx="385">
                  <c:v>384</c:v>
                </c:pt>
                <c:pt idx="386">
                  <c:v>385</c:v>
                </c:pt>
                <c:pt idx="387">
                  <c:v>386</c:v>
                </c:pt>
                <c:pt idx="388">
                  <c:v>387</c:v>
                </c:pt>
                <c:pt idx="389">
                  <c:v>388</c:v>
                </c:pt>
                <c:pt idx="390">
                  <c:v>389</c:v>
                </c:pt>
                <c:pt idx="391">
                  <c:v>390</c:v>
                </c:pt>
                <c:pt idx="392">
                  <c:v>391</c:v>
                </c:pt>
                <c:pt idx="393">
                  <c:v>392</c:v>
                </c:pt>
                <c:pt idx="394">
                  <c:v>393</c:v>
                </c:pt>
                <c:pt idx="395">
                  <c:v>394</c:v>
                </c:pt>
                <c:pt idx="396">
                  <c:v>395</c:v>
                </c:pt>
                <c:pt idx="397">
                  <c:v>396</c:v>
                </c:pt>
                <c:pt idx="398">
                  <c:v>397</c:v>
                </c:pt>
                <c:pt idx="399">
                  <c:v>398</c:v>
                </c:pt>
                <c:pt idx="400">
                  <c:v>399</c:v>
                </c:pt>
                <c:pt idx="401">
                  <c:v>400</c:v>
                </c:pt>
                <c:pt idx="402">
                  <c:v>401</c:v>
                </c:pt>
                <c:pt idx="403">
                  <c:v>402</c:v>
                </c:pt>
                <c:pt idx="404">
                  <c:v>403</c:v>
                </c:pt>
                <c:pt idx="405">
                  <c:v>404</c:v>
                </c:pt>
                <c:pt idx="406">
                  <c:v>405</c:v>
                </c:pt>
                <c:pt idx="407">
                  <c:v>406</c:v>
                </c:pt>
                <c:pt idx="408">
                  <c:v>407</c:v>
                </c:pt>
                <c:pt idx="409">
                  <c:v>408</c:v>
                </c:pt>
                <c:pt idx="410">
                  <c:v>409</c:v>
                </c:pt>
                <c:pt idx="411">
                  <c:v>410</c:v>
                </c:pt>
                <c:pt idx="412">
                  <c:v>411</c:v>
                </c:pt>
                <c:pt idx="413">
                  <c:v>412</c:v>
                </c:pt>
                <c:pt idx="414">
                  <c:v>413</c:v>
                </c:pt>
                <c:pt idx="415">
                  <c:v>414</c:v>
                </c:pt>
                <c:pt idx="416">
                  <c:v>415</c:v>
                </c:pt>
                <c:pt idx="417">
                  <c:v>416</c:v>
                </c:pt>
                <c:pt idx="418">
                  <c:v>417</c:v>
                </c:pt>
                <c:pt idx="419">
                  <c:v>418</c:v>
                </c:pt>
                <c:pt idx="420">
                  <c:v>419</c:v>
                </c:pt>
                <c:pt idx="421">
                  <c:v>420</c:v>
                </c:pt>
                <c:pt idx="422">
                  <c:v>421</c:v>
                </c:pt>
                <c:pt idx="423">
                  <c:v>422</c:v>
                </c:pt>
                <c:pt idx="424">
                  <c:v>423</c:v>
                </c:pt>
                <c:pt idx="425">
                  <c:v>424</c:v>
                </c:pt>
                <c:pt idx="426">
                  <c:v>425</c:v>
                </c:pt>
                <c:pt idx="427">
                  <c:v>426</c:v>
                </c:pt>
                <c:pt idx="428">
                  <c:v>427</c:v>
                </c:pt>
                <c:pt idx="429">
                  <c:v>428</c:v>
                </c:pt>
                <c:pt idx="430">
                  <c:v>429</c:v>
                </c:pt>
                <c:pt idx="431">
                  <c:v>430</c:v>
                </c:pt>
                <c:pt idx="432">
                  <c:v>431</c:v>
                </c:pt>
                <c:pt idx="433">
                  <c:v>432</c:v>
                </c:pt>
                <c:pt idx="434">
                  <c:v>433</c:v>
                </c:pt>
                <c:pt idx="435">
                  <c:v>434</c:v>
                </c:pt>
                <c:pt idx="436">
                  <c:v>435</c:v>
                </c:pt>
                <c:pt idx="437">
                  <c:v>436</c:v>
                </c:pt>
                <c:pt idx="438">
                  <c:v>437</c:v>
                </c:pt>
                <c:pt idx="439">
                  <c:v>438</c:v>
                </c:pt>
                <c:pt idx="440">
                  <c:v>439</c:v>
                </c:pt>
                <c:pt idx="441">
                  <c:v>440</c:v>
                </c:pt>
                <c:pt idx="442">
                  <c:v>441</c:v>
                </c:pt>
                <c:pt idx="443">
                  <c:v>442</c:v>
                </c:pt>
                <c:pt idx="444">
                  <c:v>443</c:v>
                </c:pt>
                <c:pt idx="445">
                  <c:v>444</c:v>
                </c:pt>
                <c:pt idx="446">
                  <c:v>445</c:v>
                </c:pt>
                <c:pt idx="447">
                  <c:v>446</c:v>
                </c:pt>
                <c:pt idx="448">
                  <c:v>447</c:v>
                </c:pt>
                <c:pt idx="449">
                  <c:v>448</c:v>
                </c:pt>
                <c:pt idx="450">
                  <c:v>449</c:v>
                </c:pt>
                <c:pt idx="451">
                  <c:v>450</c:v>
                </c:pt>
                <c:pt idx="452">
                  <c:v>451</c:v>
                </c:pt>
                <c:pt idx="453">
                  <c:v>452</c:v>
                </c:pt>
                <c:pt idx="454">
                  <c:v>453</c:v>
                </c:pt>
                <c:pt idx="455">
                  <c:v>454</c:v>
                </c:pt>
                <c:pt idx="456">
                  <c:v>455</c:v>
                </c:pt>
                <c:pt idx="457">
                  <c:v>456</c:v>
                </c:pt>
                <c:pt idx="458">
                  <c:v>457</c:v>
                </c:pt>
                <c:pt idx="459">
                  <c:v>458</c:v>
                </c:pt>
                <c:pt idx="460">
                  <c:v>459</c:v>
                </c:pt>
                <c:pt idx="461">
                  <c:v>460</c:v>
                </c:pt>
                <c:pt idx="462">
                  <c:v>461</c:v>
                </c:pt>
                <c:pt idx="463">
                  <c:v>462</c:v>
                </c:pt>
                <c:pt idx="464">
                  <c:v>463</c:v>
                </c:pt>
                <c:pt idx="465">
                  <c:v>464</c:v>
                </c:pt>
                <c:pt idx="466">
                  <c:v>465</c:v>
                </c:pt>
                <c:pt idx="467">
                  <c:v>466</c:v>
                </c:pt>
                <c:pt idx="468">
                  <c:v>467</c:v>
                </c:pt>
                <c:pt idx="469">
                  <c:v>468</c:v>
                </c:pt>
                <c:pt idx="470">
                  <c:v>469</c:v>
                </c:pt>
                <c:pt idx="471">
                  <c:v>470</c:v>
                </c:pt>
                <c:pt idx="472">
                  <c:v>471</c:v>
                </c:pt>
                <c:pt idx="473">
                  <c:v>472</c:v>
                </c:pt>
                <c:pt idx="474">
                  <c:v>473</c:v>
                </c:pt>
                <c:pt idx="475">
                  <c:v>474</c:v>
                </c:pt>
                <c:pt idx="476">
                  <c:v>475</c:v>
                </c:pt>
                <c:pt idx="477">
                  <c:v>476</c:v>
                </c:pt>
                <c:pt idx="478">
                  <c:v>477</c:v>
                </c:pt>
                <c:pt idx="479">
                  <c:v>478</c:v>
                </c:pt>
                <c:pt idx="480">
                  <c:v>479</c:v>
                </c:pt>
                <c:pt idx="481">
                  <c:v>480</c:v>
                </c:pt>
                <c:pt idx="482">
                  <c:v>481</c:v>
                </c:pt>
                <c:pt idx="483">
                  <c:v>482</c:v>
                </c:pt>
                <c:pt idx="484">
                  <c:v>483</c:v>
                </c:pt>
                <c:pt idx="485">
                  <c:v>484</c:v>
                </c:pt>
                <c:pt idx="486">
                  <c:v>485</c:v>
                </c:pt>
                <c:pt idx="487">
                  <c:v>486</c:v>
                </c:pt>
                <c:pt idx="488">
                  <c:v>487</c:v>
                </c:pt>
                <c:pt idx="489">
                  <c:v>488</c:v>
                </c:pt>
                <c:pt idx="490">
                  <c:v>489</c:v>
                </c:pt>
                <c:pt idx="491">
                  <c:v>490</c:v>
                </c:pt>
                <c:pt idx="492">
                  <c:v>491</c:v>
                </c:pt>
                <c:pt idx="493">
                  <c:v>492</c:v>
                </c:pt>
                <c:pt idx="494">
                  <c:v>493</c:v>
                </c:pt>
                <c:pt idx="495">
                  <c:v>494</c:v>
                </c:pt>
                <c:pt idx="496">
                  <c:v>495</c:v>
                </c:pt>
                <c:pt idx="497">
                  <c:v>496</c:v>
                </c:pt>
                <c:pt idx="498">
                  <c:v>497</c:v>
                </c:pt>
                <c:pt idx="499">
                  <c:v>498</c:v>
                </c:pt>
                <c:pt idx="500">
                  <c:v>499</c:v>
                </c:pt>
                <c:pt idx="501">
                  <c:v>500</c:v>
                </c:pt>
                <c:pt idx="502">
                  <c:v>501</c:v>
                </c:pt>
                <c:pt idx="503">
                  <c:v>502</c:v>
                </c:pt>
                <c:pt idx="504">
                  <c:v>503</c:v>
                </c:pt>
                <c:pt idx="505">
                  <c:v>504</c:v>
                </c:pt>
                <c:pt idx="506">
                  <c:v>505</c:v>
                </c:pt>
                <c:pt idx="507">
                  <c:v>506</c:v>
                </c:pt>
                <c:pt idx="508">
                  <c:v>507</c:v>
                </c:pt>
                <c:pt idx="509">
                  <c:v>508</c:v>
                </c:pt>
                <c:pt idx="510">
                  <c:v>509</c:v>
                </c:pt>
                <c:pt idx="511">
                  <c:v>510</c:v>
                </c:pt>
                <c:pt idx="512">
                  <c:v>511</c:v>
                </c:pt>
                <c:pt idx="513">
                  <c:v>512</c:v>
                </c:pt>
                <c:pt idx="514">
                  <c:v>513</c:v>
                </c:pt>
                <c:pt idx="515">
                  <c:v>514</c:v>
                </c:pt>
                <c:pt idx="516">
                  <c:v>515</c:v>
                </c:pt>
                <c:pt idx="517">
                  <c:v>516</c:v>
                </c:pt>
                <c:pt idx="518">
                  <c:v>517</c:v>
                </c:pt>
                <c:pt idx="519">
                  <c:v>518</c:v>
                </c:pt>
                <c:pt idx="520">
                  <c:v>519</c:v>
                </c:pt>
                <c:pt idx="521">
                  <c:v>520</c:v>
                </c:pt>
                <c:pt idx="522">
                  <c:v>521</c:v>
                </c:pt>
                <c:pt idx="523">
                  <c:v>522</c:v>
                </c:pt>
                <c:pt idx="524">
                  <c:v>523</c:v>
                </c:pt>
                <c:pt idx="525">
                  <c:v>524</c:v>
                </c:pt>
                <c:pt idx="526">
                  <c:v>525</c:v>
                </c:pt>
                <c:pt idx="527">
                  <c:v>526</c:v>
                </c:pt>
                <c:pt idx="528">
                  <c:v>527</c:v>
                </c:pt>
                <c:pt idx="529">
                  <c:v>528</c:v>
                </c:pt>
                <c:pt idx="530">
                  <c:v>529</c:v>
                </c:pt>
                <c:pt idx="531">
                  <c:v>530</c:v>
                </c:pt>
                <c:pt idx="532">
                  <c:v>531</c:v>
                </c:pt>
                <c:pt idx="533">
                  <c:v>532</c:v>
                </c:pt>
                <c:pt idx="534">
                  <c:v>533</c:v>
                </c:pt>
                <c:pt idx="535">
                  <c:v>534</c:v>
                </c:pt>
                <c:pt idx="536">
                  <c:v>535</c:v>
                </c:pt>
                <c:pt idx="537">
                  <c:v>536</c:v>
                </c:pt>
                <c:pt idx="538">
                  <c:v>537</c:v>
                </c:pt>
                <c:pt idx="539">
                  <c:v>538</c:v>
                </c:pt>
                <c:pt idx="540">
                  <c:v>539</c:v>
                </c:pt>
                <c:pt idx="541">
                  <c:v>540</c:v>
                </c:pt>
                <c:pt idx="542">
                  <c:v>541</c:v>
                </c:pt>
                <c:pt idx="543">
                  <c:v>542</c:v>
                </c:pt>
              </c:strCache>
            </c:strRef>
          </c:xVal>
          <c:yVal>
            <c:numRef>
              <c:f>'CrediRisk+'!$C$36:$C$578</c:f>
              <c:numCache>
                <c:formatCode>0.000%</c:formatCode>
                <c:ptCount val="543"/>
                <c:pt idx="0">
                  <c:v>6.7141842882115936E-79</c:v>
                </c:pt>
                <c:pt idx="1">
                  <c:v>1.2085531718780868E-76</c:v>
                </c:pt>
                <c:pt idx="2">
                  <c:v>1.0876978546902904E-74</c:v>
                </c:pt>
                <c:pt idx="3">
                  <c:v>6.5261871281416624E-73</c:v>
                </c:pt>
                <c:pt idx="4">
                  <c:v>2.9367842076637096E-71</c:v>
                </c:pt>
                <c:pt idx="5">
                  <c:v>1.0572423147589563E-69</c:v>
                </c:pt>
                <c:pt idx="6">
                  <c:v>3.1717269442768483E-68</c:v>
                </c:pt>
                <c:pt idx="7">
                  <c:v>8.1558692852833063E-67</c:v>
                </c:pt>
                <c:pt idx="8">
                  <c:v>1.8350705891887337E-65</c:v>
                </c:pt>
                <c:pt idx="9">
                  <c:v>3.67014117837742E-64</c:v>
                </c:pt>
                <c:pt idx="10">
                  <c:v>6.606254121079509E-63</c:v>
                </c:pt>
                <c:pt idx="11">
                  <c:v>1.0810234016312023E-61</c:v>
                </c:pt>
                <c:pt idx="12">
                  <c:v>1.6215351024468096E-60</c:v>
                </c:pt>
                <c:pt idx="13">
                  <c:v>2.2452024495416833E-59</c:v>
                </c:pt>
                <c:pt idx="14">
                  <c:v>2.8866888636964919E-58</c:v>
                </c:pt>
                <c:pt idx="15">
                  <c:v>3.4640266364357526E-57</c:v>
                </c:pt>
                <c:pt idx="16">
                  <c:v>3.8970299659902404E-56</c:v>
                </c:pt>
                <c:pt idx="17">
                  <c:v>4.126267022813182E-55</c:v>
                </c:pt>
                <c:pt idx="18">
                  <c:v>4.1262670228131897E-54</c:v>
                </c:pt>
                <c:pt idx="19">
                  <c:v>3.9090950742440701E-53</c:v>
                </c:pt>
                <c:pt idx="20">
                  <c:v>3.518185566819718E-52</c:v>
                </c:pt>
                <c:pt idx="21">
                  <c:v>3.0155876287025798E-51</c:v>
                </c:pt>
                <c:pt idx="22">
                  <c:v>2.4672989689384745E-50</c:v>
                </c:pt>
                <c:pt idx="23">
                  <c:v>1.930929627864893E-49</c:v>
                </c:pt>
                <c:pt idx="24">
                  <c:v>1.4481972208986649E-48</c:v>
                </c:pt>
                <c:pt idx="25">
                  <c:v>1.0427019990470508E-47</c:v>
                </c:pt>
                <c:pt idx="26">
                  <c:v>7.2187061472487243E-47</c:v>
                </c:pt>
                <c:pt idx="27">
                  <c:v>4.8124707648325228E-46</c:v>
                </c:pt>
                <c:pt idx="28">
                  <c:v>3.0937312059637613E-45</c:v>
                </c:pt>
                <c:pt idx="29">
                  <c:v>1.9202469554257871E-44</c:v>
                </c:pt>
                <c:pt idx="30">
                  <c:v>1.1521481732554728E-43</c:v>
                </c:pt>
                <c:pt idx="31">
                  <c:v>6.6898926189027407E-43</c:v>
                </c:pt>
                <c:pt idx="32">
                  <c:v>3.7630645981328023E-42</c:v>
                </c:pt>
                <c:pt idx="33">
                  <c:v>2.0525806898906213E-41</c:v>
                </c:pt>
                <c:pt idx="34">
                  <c:v>1.0866603652361996E-40</c:v>
                </c:pt>
                <c:pt idx="35">
                  <c:v>5.5885390212146646E-40</c:v>
                </c:pt>
                <c:pt idx="36">
                  <c:v>2.7942695106073422E-39</c:v>
                </c:pt>
                <c:pt idx="37">
                  <c:v>1.3593743565117018E-38</c:v>
                </c:pt>
                <c:pt idx="38">
                  <c:v>6.4391416887396137E-38</c:v>
                </c:pt>
                <c:pt idx="39">
                  <c:v>2.9719115486490143E-37</c:v>
                </c:pt>
                <c:pt idx="40">
                  <c:v>1.3373601968920883E-36</c:v>
                </c:pt>
                <c:pt idx="41">
                  <c:v>5.8713374497700224E-36</c:v>
                </c:pt>
                <c:pt idx="42">
                  <c:v>2.5162874784729041E-35</c:v>
                </c:pt>
                <c:pt idx="43">
                  <c:v>1.0533296421514345E-34</c:v>
                </c:pt>
                <c:pt idx="44">
                  <c:v>4.3090758088013507E-34</c:v>
                </c:pt>
                <c:pt idx="45">
                  <c:v>1.7236303235205341E-33</c:v>
                </c:pt>
                <c:pt idx="46">
                  <c:v>6.7446403963847348E-33</c:v>
                </c:pt>
                <c:pt idx="47">
                  <c:v>2.5830537688281839E-32</c:v>
                </c:pt>
                <c:pt idx="48">
                  <c:v>9.686451633105664E-32</c:v>
                </c:pt>
                <c:pt idx="49">
                  <c:v>3.5582883550184732E-31</c:v>
                </c:pt>
                <c:pt idx="50">
                  <c:v>1.2809838078066362E-30</c:v>
                </c:pt>
                <c:pt idx="51">
                  <c:v>4.5211193216704709E-30</c:v>
                </c:pt>
                <c:pt idx="52">
                  <c:v>1.5650028421167184E-29</c:v>
                </c:pt>
                <c:pt idx="53">
                  <c:v>5.3151039920944342E-29</c:v>
                </c:pt>
                <c:pt idx="54">
                  <c:v>1.7717013306981693E-28</c:v>
                </c:pt>
                <c:pt idx="55">
                  <c:v>5.7982952641030911E-28</c:v>
                </c:pt>
                <c:pt idx="56">
                  <c:v>1.8637377634617131E-27</c:v>
                </c:pt>
                <c:pt idx="57">
                  <c:v>5.8854876740896525E-27</c:v>
                </c:pt>
                <c:pt idx="58">
                  <c:v>1.8265306574760554E-26</c:v>
                </c:pt>
                <c:pt idx="59">
                  <c:v>5.5724664126388387E-26</c:v>
                </c:pt>
                <c:pt idx="60">
                  <c:v>1.6717399237916578E-25</c:v>
                </c:pt>
                <c:pt idx="61">
                  <c:v>4.9330030538114409E-25</c:v>
                </c:pt>
                <c:pt idx="62">
                  <c:v>1.4321621769130068E-24</c:v>
                </c:pt>
                <c:pt idx="63">
                  <c:v>4.091891934037208E-24</c:v>
                </c:pt>
                <c:pt idx="64">
                  <c:v>1.1508446064479418E-23</c:v>
                </c:pt>
                <c:pt idx="65">
                  <c:v>3.1869542947789337E-23</c:v>
                </c:pt>
                <c:pt idx="66">
                  <c:v>8.6916935312152729E-23</c:v>
                </c:pt>
                <c:pt idx="67">
                  <c:v>2.3350818442070803E-22</c:v>
                </c:pt>
                <c:pt idx="68">
                  <c:v>6.1810989993716661E-22</c:v>
                </c:pt>
                <c:pt idx="69">
                  <c:v>1.6124606085317445E-21</c:v>
                </c:pt>
                <c:pt idx="70">
                  <c:v>4.1463272790816566E-21</c:v>
                </c:pt>
                <c:pt idx="71">
                  <c:v>1.0511815637108339E-20</c:v>
                </c:pt>
                <c:pt idx="72">
                  <c:v>2.6279539092770802E-20</c:v>
                </c:pt>
                <c:pt idx="73">
                  <c:v>6.4798863516421421E-20</c:v>
                </c:pt>
                <c:pt idx="74">
                  <c:v>1.5761885720210664E-19</c:v>
                </c:pt>
                <c:pt idx="75">
                  <c:v>3.7828525728505282E-19</c:v>
                </c:pt>
                <c:pt idx="76">
                  <c:v>8.9593876725407332E-19</c:v>
                </c:pt>
                <c:pt idx="77">
                  <c:v>2.0944023130614867E-18</c:v>
                </c:pt>
                <c:pt idx="78">
                  <c:v>4.8332361070649539E-18</c:v>
                </c:pt>
                <c:pt idx="79">
                  <c:v>1.1012436699641667E-17</c:v>
                </c:pt>
                <c:pt idx="80">
                  <c:v>2.4777982574194052E-17</c:v>
                </c:pt>
                <c:pt idx="81">
                  <c:v>5.506218349820831E-17</c:v>
                </c:pt>
                <c:pt idx="82">
                  <c:v>1.2086820767899405E-16</c:v>
                </c:pt>
                <c:pt idx="83">
                  <c:v>2.6212382388215507E-16</c:v>
                </c:pt>
                <c:pt idx="84">
                  <c:v>5.616939083189062E-16</c:v>
                </c:pt>
                <c:pt idx="85">
                  <c:v>1.189469452910626E-15</c:v>
                </c:pt>
                <c:pt idx="86">
                  <c:v>2.4895872270222363E-15</c:v>
                </c:pt>
                <c:pt idx="87">
                  <c:v>5.1508701248735677E-15</c:v>
                </c:pt>
                <c:pt idx="88">
                  <c:v>1.0535870709968686E-14</c:v>
                </c:pt>
                <c:pt idx="89">
                  <c:v>2.1308502559487096E-14</c:v>
                </c:pt>
                <c:pt idx="90">
                  <c:v>4.2617005118974388E-14</c:v>
                </c:pt>
                <c:pt idx="91">
                  <c:v>8.4297372762806872E-14</c:v>
                </c:pt>
                <c:pt idx="92">
                  <c:v>1.649296423620151E-13</c:v>
                </c:pt>
                <c:pt idx="93">
                  <c:v>3.1921866263615362E-13</c:v>
                </c:pt>
                <c:pt idx="94">
                  <c:v>6.1126977951603572E-13</c:v>
                </c:pt>
                <c:pt idx="95">
                  <c:v>1.1581953717146024E-12</c:v>
                </c:pt>
                <c:pt idx="96">
                  <c:v>2.1716163219648864E-12</c:v>
                </c:pt>
                <c:pt idx="97">
                  <c:v>4.0298034840585745E-12</c:v>
                </c:pt>
                <c:pt idx="98">
                  <c:v>7.4016798686790327E-12</c:v>
                </c:pt>
                <c:pt idx="99">
                  <c:v>1.3457599761234418E-11</c:v>
                </c:pt>
                <c:pt idx="100">
                  <c:v>2.4223679570221921E-11</c:v>
                </c:pt>
                <c:pt idx="101">
                  <c:v>4.3170914085544365E-11</c:v>
                </c:pt>
                <c:pt idx="102">
                  <c:v>7.6183966033313126E-11</c:v>
                </c:pt>
                <c:pt idx="103">
                  <c:v>1.3313702801938294E-10</c:v>
                </c:pt>
                <c:pt idx="104">
                  <c:v>2.3042947157201001E-10</c:v>
                </c:pt>
                <c:pt idx="105">
                  <c:v>3.9502195126629647E-10</c:v>
                </c:pt>
                <c:pt idx="106">
                  <c:v>6.707919927163539E-10</c:v>
                </c:pt>
                <c:pt idx="107">
                  <c:v>1.1284351279340547E-9</c:v>
                </c:pt>
                <c:pt idx="108">
                  <c:v>1.8807252132234409E-9</c:v>
                </c:pt>
                <c:pt idx="109">
                  <c:v>3.105784755781848E-9</c:v>
                </c:pt>
                <c:pt idx="110">
                  <c:v>5.082193236733832E-9</c:v>
                </c:pt>
                <c:pt idx="111">
                  <c:v>8.2413944379467757E-9</c:v>
                </c:pt>
                <c:pt idx="112">
                  <c:v>1.3245098203843121E-8</c:v>
                </c:pt>
                <c:pt idx="113">
                  <c:v>2.1098386519396205E-8</c:v>
                </c:pt>
                <c:pt idx="114">
                  <c:v>3.3313241872730891E-8</c:v>
                </c:pt>
                <c:pt idx="115">
                  <c:v>5.2142465539926975E-8</c:v>
                </c:pt>
                <c:pt idx="116">
                  <c:v>8.0910722389540275E-8</c:v>
                </c:pt>
                <c:pt idx="117">
                  <c:v>1.2447803444544732E-7</c:v>
                </c:pt>
                <c:pt idx="118">
                  <c:v>1.8988174745915696E-7</c:v>
                </c:pt>
                <c:pt idx="119">
                  <c:v>2.8721608859368401E-7</c:v>
                </c:pt>
                <c:pt idx="120">
                  <c:v>4.3082413289052449E-7</c:v>
                </c:pt>
                <c:pt idx="121">
                  <c:v>6.4089540429995515E-7</c:v>
                </c:pt>
                <c:pt idx="122">
                  <c:v>9.4558338339337594E-7</c:v>
                </c:pt>
                <c:pt idx="123">
                  <c:v>1.3837805610634846E-6</c:v>
                </c:pt>
                <c:pt idx="124">
                  <c:v>2.0087137176727737E-6</c:v>
                </c:pt>
                <c:pt idx="125">
                  <c:v>2.8925477534487938E-6</c:v>
                </c:pt>
                <c:pt idx="126">
                  <c:v>4.1322110763554404E-6</c:v>
                </c:pt>
                <c:pt idx="127">
                  <c:v>5.8566771160943846E-6</c:v>
                </c:pt>
                <c:pt idx="128">
                  <c:v>8.2359521945076561E-6</c:v>
                </c:pt>
                <c:pt idx="129">
                  <c:v>1.1492026317917703E-5</c:v>
                </c:pt>
                <c:pt idx="130">
                  <c:v>1.591203644019369E-5</c:v>
                </c:pt>
                <c:pt idx="131">
                  <c:v>2.1863866864388289E-5</c:v>
                </c:pt>
                <c:pt idx="132">
                  <c:v>2.9814363905984068E-5</c:v>
                </c:pt>
                <c:pt idx="133">
                  <c:v>4.0350266940429652E-5</c:v>
                </c:pt>
                <c:pt idx="134">
                  <c:v>5.4201851114009957E-5</c:v>
                </c:pt>
                <c:pt idx="135">
                  <c:v>7.2269134818679707E-5</c:v>
                </c:pt>
                <c:pt idx="136">
                  <c:v>9.5650325495311254E-5</c:v>
                </c:pt>
                <c:pt idx="137">
                  <c:v>1.2567196050478882E-4</c:v>
                </c:pt>
                <c:pt idx="138">
                  <c:v>1.6391994848450757E-4</c:v>
                </c:pt>
                <c:pt idx="139">
                  <c:v>2.1227043688641181E-4</c:v>
                </c:pt>
                <c:pt idx="140">
                  <c:v>2.7291913313967148E-4</c:v>
                </c:pt>
                <c:pt idx="141">
                  <c:v>3.4840740400809256E-4</c:v>
                </c:pt>
                <c:pt idx="142">
                  <c:v>4.4164318817927389E-4</c:v>
                </c:pt>
                <c:pt idx="143">
                  <c:v>5.5591450260328084E-4</c:v>
                </c:pt>
                <c:pt idx="144">
                  <c:v>6.948931282541004E-4</c:v>
                </c:pt>
                <c:pt idx="145">
                  <c:v>8.6262595231543322E-4</c:v>
                </c:pt>
                <c:pt idx="146">
                  <c:v>1.0635114480601229E-3</c:v>
                </c:pt>
                <c:pt idx="147">
                  <c:v>1.3022589159919868E-3</c:v>
                </c:pt>
                <c:pt idx="148">
                  <c:v>1.5838284113416133E-3</c:v>
                </c:pt>
                <c:pt idx="149">
                  <c:v>1.91334975866771E-3</c:v>
                </c:pt>
                <c:pt idx="150">
                  <c:v>2.2960197104012524E-3</c:v>
                </c:pt>
                <c:pt idx="151">
                  <c:v>2.7369771382266613E-3</c:v>
                </c:pt>
                <c:pt idx="152">
                  <c:v>3.2411571373736755E-3</c:v>
                </c:pt>
                <c:pt idx="153">
                  <c:v>3.8131260439690311E-3</c:v>
                </c:pt>
                <c:pt idx="154">
                  <c:v>4.4569005708729025E-3</c:v>
                </c:pt>
                <c:pt idx="155">
                  <c:v>5.1757555016588635E-3</c:v>
                </c:pt>
                <c:pt idx="156">
                  <c:v>5.9720255788371429E-3</c:v>
                </c:pt>
                <c:pt idx="157">
                  <c:v>6.846908306947036E-3</c:v>
                </c:pt>
                <c:pt idx="158">
                  <c:v>7.8002752863953759E-3</c:v>
                </c:pt>
                <c:pt idx="159">
                  <c:v>8.8305003242211844E-3</c:v>
                </c:pt>
                <c:pt idx="160">
                  <c:v>9.9343128647488149E-3</c:v>
                </c:pt>
                <c:pt idx="161">
                  <c:v>1.1106685190402392E-2</c:v>
                </c:pt>
                <c:pt idx="162">
                  <c:v>1.234076132266935E-2</c:v>
                </c:pt>
                <c:pt idx="163">
                  <c:v>1.3627834589450764E-2</c:v>
                </c:pt>
                <c:pt idx="164">
                  <c:v>1.495737942744599E-2</c:v>
                </c:pt>
                <c:pt idx="165">
                  <c:v>1.6317141193577456E-2</c:v>
                </c:pt>
                <c:pt idx="166">
                  <c:v>1.7693285631589988E-2</c:v>
                </c:pt>
                <c:pt idx="167">
                  <c:v>1.9070607267582054E-2</c:v>
                </c:pt>
                <c:pt idx="168">
                  <c:v>2.0432793500980734E-2</c:v>
                </c:pt>
                <c:pt idx="169">
                  <c:v>2.1762738640097857E-2</c:v>
                </c:pt>
                <c:pt idx="170">
                  <c:v>2.304289973657421E-2</c:v>
                </c:pt>
                <c:pt idx="171">
                  <c:v>2.4255683933236009E-2</c:v>
                </c:pt>
                <c:pt idx="172">
                  <c:v>2.5383855278967905E-2</c:v>
                </c:pt>
                <c:pt idx="173">
                  <c:v>2.6410947689099535E-2</c:v>
                </c:pt>
                <c:pt idx="174">
                  <c:v>2.7321670023206394E-2</c:v>
                </c:pt>
                <c:pt idx="175">
                  <c:v>2.8102289166726597E-2</c:v>
                </c:pt>
                <c:pt idx="176">
                  <c:v>2.8740977556879484E-2</c:v>
                </c:pt>
                <c:pt idx="177">
                  <c:v>2.9228112769707944E-2</c:v>
                </c:pt>
                <c:pt idx="178">
                  <c:v>2.9556518531165345E-2</c:v>
                </c:pt>
                <c:pt idx="179">
                  <c:v>2.9721638746423248E-2</c:v>
                </c:pt>
                <c:pt idx="180">
                  <c:v>2.9721638746423251E-2</c:v>
                </c:pt>
                <c:pt idx="181">
                  <c:v>2.9557430797547982E-2</c:v>
                </c:pt>
                <c:pt idx="182">
                  <c:v>2.9232623865706794E-2</c:v>
                </c:pt>
                <c:pt idx="183">
                  <c:v>2.8753400523646028E-2</c:v>
                </c:pt>
                <c:pt idx="184">
                  <c:v>2.8128326599218947E-2</c:v>
                </c:pt>
                <c:pt idx="185">
                  <c:v>2.736810155599682E-2</c:v>
                </c:pt>
                <c:pt idx="186">
                  <c:v>2.6485259570319501E-2</c:v>
                </c:pt>
                <c:pt idx="187">
                  <c:v>2.549383274148399E-2</c:v>
                </c:pt>
                <c:pt idx="188">
                  <c:v>2.4408988795037865E-2</c:v>
                </c:pt>
                <c:pt idx="189">
                  <c:v>2.3246655995274167E-2</c:v>
                </c:pt>
                <c:pt idx="190">
                  <c:v>2.2023147784996557E-2</c:v>
                </c:pt>
                <c:pt idx="191">
                  <c:v>2.0754798959682626E-2</c:v>
                </c:pt>
                <c:pt idx="192">
                  <c:v>1.9457624024702497E-2</c:v>
                </c:pt>
                <c:pt idx="193">
                  <c:v>1.8147006862416798E-2</c:v>
                </c:pt>
                <c:pt idx="194">
                  <c:v>1.6837429047603235E-2</c:v>
                </c:pt>
                <c:pt idx="195">
                  <c:v>1.5542242197787584E-2</c:v>
                </c:pt>
                <c:pt idx="196">
                  <c:v>1.4273487732662104E-2</c:v>
                </c:pt>
                <c:pt idx="197">
                  <c:v>1.3041765441011039E-2</c:v>
                </c:pt>
                <c:pt idx="198">
                  <c:v>1.1856150400919158E-2</c:v>
                </c:pt>
                <c:pt idx="199">
                  <c:v>1.072415614153492E-2</c:v>
                </c:pt>
                <c:pt idx="200">
                  <c:v>9.6517405273813771E-3</c:v>
                </c:pt>
                <c:pt idx="201">
                  <c:v>8.6433497260131973E-3</c:v>
                </c:pt>
                <c:pt idx="202">
                  <c:v>7.7019948053582941E-3</c:v>
                </c:pt>
                <c:pt idx="203">
                  <c:v>6.8293549998250797E-3</c:v>
                </c:pt>
                <c:pt idx="204">
                  <c:v>6.0259014704338873E-3</c:v>
                </c:pt>
                <c:pt idx="205">
                  <c:v>5.2910354374541687E-3</c:v>
                </c:pt>
                <c:pt idx="206">
                  <c:v>4.6232348482609289E-3</c:v>
                </c:pt>
                <c:pt idx="207">
                  <c:v>4.0202042158790589E-3</c:v>
                </c:pt>
                <c:pt idx="208">
                  <c:v>3.4790228791261139E-3</c:v>
                </c:pt>
                <c:pt idx="209">
                  <c:v>2.9962876470942617E-3</c:v>
                </c:pt>
                <c:pt idx="210">
                  <c:v>2.568246554652208E-3</c:v>
                </c:pt>
                <c:pt idx="211">
                  <c:v>2.1909212314568725E-3</c:v>
                </c:pt>
                <c:pt idx="212">
                  <c:v>1.8602161399162119E-3</c:v>
                </c:pt>
                <c:pt idx="213">
                  <c:v>1.5720136393658085E-3</c:v>
                </c:pt>
                <c:pt idx="214">
                  <c:v>1.3222544630179718E-3</c:v>
                </c:pt>
                <c:pt idx="215">
                  <c:v>1.1070037364801629E-3</c:v>
                </c:pt>
                <c:pt idx="216">
                  <c:v>9.2250311373346652E-4</c:v>
                </c:pt>
                <c:pt idx="217">
                  <c:v>7.6520995609228269E-4</c:v>
                </c:pt>
                <c:pt idx="218">
                  <c:v>6.3182473438812227E-4</c:v>
                </c:pt>
                <c:pt idx="219">
                  <c:v>5.1930800086694823E-4</c:v>
                </c:pt>
                <c:pt idx="220">
                  <c:v>4.2488836434568551E-4</c:v>
                </c:pt>
                <c:pt idx="221">
                  <c:v>3.4606292118653185E-4</c:v>
                </c:pt>
                <c:pt idx="222">
                  <c:v>2.8059155771880892E-4</c:v>
                </c:pt>
                <c:pt idx="223">
                  <c:v>2.2648645914522724E-4</c:v>
                </c:pt>
                <c:pt idx="224">
                  <c:v>1.8199804752741516E-4</c:v>
                </c:pt>
                <c:pt idx="225">
                  <c:v>1.4559843802193178E-4</c:v>
                </c:pt>
                <c:pt idx="226">
                  <c:v>1.1596335771658255E-4</c:v>
                </c:pt>
                <c:pt idx="227">
                  <c:v>9.1953323299492719E-5</c:v>
                </c:pt>
                <c:pt idx="228">
                  <c:v>7.2594728920652451E-5</c:v>
                </c:pt>
                <c:pt idx="229">
                  <c:v>5.7061358976931996E-5</c:v>
                </c:pt>
                <c:pt idx="230">
                  <c:v>4.4656715721077044E-5</c:v>
                </c:pt>
                <c:pt idx="231">
                  <c:v>3.4797440821618431E-5</c:v>
                </c:pt>
                <c:pt idx="232">
                  <c:v>2.6998014430566017E-5</c:v>
                </c:pt>
                <c:pt idx="233">
                  <c:v>2.0856835182411634E-5</c:v>
                </c:pt>
                <c:pt idx="234">
                  <c:v>1.6043719371085756E-5</c:v>
                </c:pt>
                <c:pt idx="235">
                  <c:v>1.2288806326789063E-5</c:v>
                </c:pt>
                <c:pt idx="236">
                  <c:v>9.3728183848390861E-6</c:v>
                </c:pt>
                <c:pt idx="237">
                  <c:v>7.1185962416499844E-6</c:v>
                </c:pt>
                <c:pt idx="238">
                  <c:v>5.3838122836008435E-6</c:v>
                </c:pt>
                <c:pt idx="239">
                  <c:v>4.054754021121936E-6</c:v>
                </c:pt>
                <c:pt idx="240">
                  <c:v>3.0410655158414852E-6</c:v>
                </c:pt>
                <c:pt idx="241">
                  <c:v>2.2713352400475589E-6</c:v>
                </c:pt>
                <c:pt idx="242">
                  <c:v>1.689422905820508E-6</c:v>
                </c:pt>
                <c:pt idx="243">
                  <c:v>1.251424374681857E-6</c:v>
                </c:pt>
                <c:pt idx="244">
                  <c:v>9.2318191574892001E-7</c:v>
                </c:pt>
                <c:pt idx="245">
                  <c:v>6.7825610136654422E-7</c:v>
                </c:pt>
                <c:pt idx="246">
                  <c:v>4.9628495221942967E-7</c:v>
                </c:pt>
                <c:pt idx="247">
                  <c:v>3.6166514736638056E-7</c:v>
                </c:pt>
                <c:pt idx="248">
                  <c:v>2.6249889728205292E-7</c:v>
                </c:pt>
                <c:pt idx="249">
                  <c:v>1.8975823899907397E-7</c:v>
                </c:pt>
                <c:pt idx="250">
                  <c:v>1.3662593207933209E-7</c:v>
                </c:pt>
                <c:pt idx="251">
                  <c:v>9.7978756072828616E-8</c:v>
                </c:pt>
                <c:pt idx="252">
                  <c:v>6.9984825766306566E-8</c:v>
                </c:pt>
                <c:pt idx="253">
                  <c:v>4.9791575644012511E-8</c:v>
                </c:pt>
                <c:pt idx="254">
                  <c:v>3.5285368566622881E-8</c:v>
                </c:pt>
                <c:pt idx="255">
                  <c:v>2.4907318988204479E-8</c:v>
                </c:pt>
                <c:pt idx="256">
                  <c:v>1.7512958663581307E-8</c:v>
                </c:pt>
                <c:pt idx="257">
                  <c:v>1.2265885445309823E-8</c:v>
                </c:pt>
                <c:pt idx="258">
                  <c:v>8.557594496727744E-9</c:v>
                </c:pt>
                <c:pt idx="259">
                  <c:v>5.9473629706989062E-9</c:v>
                </c:pt>
                <c:pt idx="260">
                  <c:v>4.1174051335607331E-9</c:v>
                </c:pt>
                <c:pt idx="261">
                  <c:v>2.8395897472832366E-9</c:v>
                </c:pt>
                <c:pt idx="262">
                  <c:v>1.9508631851564439E-9</c:v>
                </c:pt>
                <c:pt idx="263">
                  <c:v>1.3351915335671556E-9</c:v>
                </c:pt>
                <c:pt idx="264">
                  <c:v>9.103578637957778E-10</c:v>
                </c:pt>
                <c:pt idx="265">
                  <c:v>6.183562848424219E-10</c:v>
                </c:pt>
                <c:pt idx="266">
                  <c:v>4.1843658372795172E-10</c:v>
                </c:pt>
                <c:pt idx="267">
                  <c:v>2.8209207891771711E-10</c:v>
                </c:pt>
                <c:pt idx="268">
                  <c:v>1.8946482912384039E-10</c:v>
                </c:pt>
                <c:pt idx="269">
                  <c:v>1.2677943956242222E-10</c:v>
                </c:pt>
                <c:pt idx="270">
                  <c:v>8.4519626374948073E-11</c:v>
                </c:pt>
                <c:pt idx="271">
                  <c:v>5.6138497223213251E-11</c:v>
                </c:pt>
                <c:pt idx="272">
                  <c:v>3.7150476103597372E-11</c:v>
                </c:pt>
                <c:pt idx="273">
                  <c:v>2.4494819408965059E-11</c:v>
                </c:pt>
                <c:pt idx="274">
                  <c:v>1.6091487202969971E-11</c:v>
                </c:pt>
                <c:pt idx="275">
                  <c:v>1.0532609805580227E-11</c:v>
                </c:pt>
                <c:pt idx="276">
                  <c:v>6.8690933514651765E-12</c:v>
                </c:pt>
                <c:pt idx="277">
                  <c:v>4.4636707699051952E-12</c:v>
                </c:pt>
                <c:pt idx="278">
                  <c:v>2.8901465416652233E-12</c:v>
                </c:pt>
                <c:pt idx="279">
                  <c:v>1.864610672042085E-12</c:v>
                </c:pt>
                <c:pt idx="280">
                  <c:v>1.1986782891699174E-12</c:v>
                </c:pt>
                <c:pt idx="281">
                  <c:v>7.6783662651454979E-13</c:v>
                </c:pt>
                <c:pt idx="282">
                  <c:v>4.9010848500928764E-13</c:v>
                </c:pt>
                <c:pt idx="283">
                  <c:v>3.1172977845113443E-13</c:v>
                </c:pt>
                <c:pt idx="284">
                  <c:v>1.9757521169438297E-13</c:v>
                </c:pt>
                <c:pt idx="285">
                  <c:v>1.2478434422802861E-13</c:v>
                </c:pt>
                <c:pt idx="286">
                  <c:v>7.8535601262398073E-14</c:v>
                </c:pt>
                <c:pt idx="287">
                  <c:v>4.9255777795229732E-14</c:v>
                </c:pt>
                <c:pt idx="288">
                  <c:v>3.0784861122019173E-14</c:v>
                </c:pt>
                <c:pt idx="289">
                  <c:v>1.9173961944510424E-14</c:v>
                </c:pt>
                <c:pt idx="290">
                  <c:v>1.1901079827627245E-14</c:v>
                </c:pt>
                <c:pt idx="291">
                  <c:v>7.3614926768826512E-15</c:v>
                </c:pt>
                <c:pt idx="292">
                  <c:v>4.537906444653755E-15</c:v>
                </c:pt>
                <c:pt idx="293">
                  <c:v>2.787792355077425E-15</c:v>
                </c:pt>
                <c:pt idx="294">
                  <c:v>1.706811645965756E-15</c:v>
                </c:pt>
                <c:pt idx="295">
                  <c:v>1.0414443941486144E-15</c:v>
                </c:pt>
                <c:pt idx="296">
                  <c:v>6.3331078022551156E-16</c:v>
                </c:pt>
                <c:pt idx="297">
                  <c:v>3.8382471528818655E-16</c:v>
                </c:pt>
                <c:pt idx="298">
                  <c:v>2.3184043205326339E-16</c:v>
                </c:pt>
                <c:pt idx="299">
                  <c:v>1.3956949086818327E-16</c:v>
                </c:pt>
                <c:pt idx="300">
                  <c:v>8.3741694520910458E-17</c:v>
                </c:pt>
                <c:pt idx="301">
                  <c:v>5.0078089746723385E-17</c:v>
                </c:pt>
                <c:pt idx="302">
                  <c:v>2.9847868060961642E-17</c:v>
                </c:pt>
                <c:pt idx="303">
                  <c:v>1.773140676888779E-17</c:v>
                </c:pt>
                <c:pt idx="304">
                  <c:v>1.0498859271052081E-17</c:v>
                </c:pt>
                <c:pt idx="305">
                  <c:v>6.1960480943914687E-18</c:v>
                </c:pt>
                <c:pt idx="306">
                  <c:v>3.6447341731714746E-18</c:v>
                </c:pt>
                <c:pt idx="307">
                  <c:v>2.1369776911103116E-18</c:v>
                </c:pt>
                <c:pt idx="308">
                  <c:v>1.2488830662333031E-18</c:v>
                </c:pt>
                <c:pt idx="309">
                  <c:v>7.2750469877667969E-19</c:v>
                </c:pt>
                <c:pt idx="310">
                  <c:v>4.224220831606306E-19</c:v>
                </c:pt>
                <c:pt idx="311">
                  <c:v>2.4448866549489758E-19</c:v>
                </c:pt>
                <c:pt idx="312">
                  <c:v>1.4105115317013936E-19</c:v>
                </c:pt>
                <c:pt idx="313">
                  <c:v>8.1115679139377422E-20</c:v>
                </c:pt>
                <c:pt idx="314">
                  <c:v>4.6499433901553799E-20</c:v>
                </c:pt>
                <c:pt idx="315">
                  <c:v>2.6571105086602247E-20</c:v>
                </c:pt>
                <c:pt idx="316">
                  <c:v>1.5135439606292064E-20</c:v>
                </c:pt>
                <c:pt idx="317">
                  <c:v>8.5942559278633039E-21</c:v>
                </c:pt>
                <c:pt idx="318">
                  <c:v>4.8646731667151246E-21</c:v>
                </c:pt>
                <c:pt idx="319">
                  <c:v>2.7449566457953283E-21</c:v>
                </c:pt>
                <c:pt idx="320">
                  <c:v>1.5440381132599009E-21</c:v>
                </c:pt>
                <c:pt idx="321">
                  <c:v>8.6581576444474972E-22</c:v>
                </c:pt>
                <c:pt idx="322">
                  <c:v>4.8399639006228202E-22</c:v>
                </c:pt>
                <c:pt idx="323">
                  <c:v>2.6971935049910686E-22</c:v>
                </c:pt>
                <c:pt idx="324">
                  <c:v>1.4984408361061581E-22</c:v>
                </c:pt>
                <c:pt idx="325">
                  <c:v>8.2990569384341534E-23</c:v>
                </c:pt>
                <c:pt idx="326">
                  <c:v>4.5823013770495313E-23</c:v>
                </c:pt>
                <c:pt idx="327">
                  <c:v>2.5223677304859869E-23</c:v>
                </c:pt>
                <c:pt idx="328">
                  <c:v>1.3842261935593817E-23</c:v>
                </c:pt>
                <c:pt idx="329">
                  <c:v>7.5732740073159453E-24</c:v>
                </c:pt>
                <c:pt idx="330">
                  <c:v>4.1308767312632878E-24</c:v>
                </c:pt>
                <c:pt idx="331">
                  <c:v>2.2463982224392575E-24</c:v>
                </c:pt>
                <c:pt idx="332">
                  <c:v>1.2179267471055704E-24</c:v>
                </c:pt>
                <c:pt idx="333">
                  <c:v>6.5833878221922887E-25</c:v>
                </c:pt>
                <c:pt idx="334">
                  <c:v>3.547933556870052E-25</c:v>
                </c:pt>
                <c:pt idx="335">
                  <c:v>1.9063523589153291E-25</c:v>
                </c:pt>
                <c:pt idx="336">
                  <c:v>1.0212601922760611E-25</c:v>
                </c:pt>
                <c:pt idx="337">
                  <c:v>5.4548022139373654E-26</c:v>
                </c:pt>
                <c:pt idx="338">
                  <c:v>2.90492425594307E-26</c:v>
                </c:pt>
                <c:pt idx="339">
                  <c:v>1.5424376580228593E-26</c:v>
                </c:pt>
                <c:pt idx="340">
                  <c:v>8.1658464248266409E-27</c:v>
                </c:pt>
                <c:pt idx="341">
                  <c:v>4.3104174676504509E-27</c:v>
                </c:pt>
                <c:pt idx="342">
                  <c:v>2.268640772447654E-27</c:v>
                </c:pt>
                <c:pt idx="343">
                  <c:v>1.1905403470570689E-27</c:v>
                </c:pt>
                <c:pt idx="344">
                  <c:v>6.229571583437952E-28</c:v>
                </c:pt>
                <c:pt idx="345">
                  <c:v>3.2502112609241917E-28</c:v>
                </c:pt>
                <c:pt idx="346">
                  <c:v>1.6908613496137054E-28</c:v>
                </c:pt>
                <c:pt idx="347">
                  <c:v>8.7710387011662467E-29</c:v>
                </c:pt>
                <c:pt idx="348">
                  <c:v>4.5367441557756924E-29</c:v>
                </c:pt>
                <c:pt idx="349">
                  <c:v>2.3398680459588282E-29</c:v>
                </c:pt>
                <c:pt idx="350">
                  <c:v>1.2033607093502384E-29</c:v>
                </c:pt>
                <c:pt idx="351">
                  <c:v>6.1710805607706337E-30</c:v>
                </c:pt>
                <c:pt idx="352">
                  <c:v>3.1556661958486196E-30</c:v>
                </c:pt>
                <c:pt idx="353">
                  <c:v>1.6091215729539559E-30</c:v>
                </c:pt>
                <c:pt idx="354">
                  <c:v>8.1819740997661442E-31</c:v>
                </c:pt>
                <c:pt idx="355">
                  <c:v>4.1486065857967763E-31</c:v>
                </c:pt>
                <c:pt idx="356">
                  <c:v>2.0976100714702318E-31</c:v>
                </c:pt>
                <c:pt idx="357">
                  <c:v>1.0576185234303592E-31</c:v>
                </c:pt>
                <c:pt idx="358">
                  <c:v>5.3176350340075054E-32</c:v>
                </c:pt>
                <c:pt idx="359">
                  <c:v>2.6662236939313482E-32</c:v>
                </c:pt>
                <c:pt idx="360">
                  <c:v>1.3331118469656914E-32</c:v>
                </c:pt>
                <c:pt idx="361">
                  <c:v>6.6470950818233828E-33</c:v>
                </c:pt>
                <c:pt idx="362">
                  <c:v>3.3051853998017188E-33</c:v>
                </c:pt>
                <c:pt idx="363">
                  <c:v>1.6389349089925841E-33</c:v>
                </c:pt>
                <c:pt idx="364">
                  <c:v>8.1046231763369992E-34</c:v>
                </c:pt>
                <c:pt idx="365">
                  <c:v>3.9968004705224431E-34</c:v>
                </c:pt>
                <c:pt idx="366">
                  <c:v>1.9656395756668072E-34</c:v>
                </c:pt>
                <c:pt idx="367">
                  <c:v>9.6407390632156935E-35</c:v>
                </c:pt>
                <c:pt idx="368">
                  <c:v>4.7155788896163843E-35</c:v>
                </c:pt>
                <c:pt idx="369">
                  <c:v>2.3002823851786585E-35</c:v>
                </c:pt>
                <c:pt idx="370">
                  <c:v>1.1190562954923491E-35</c:v>
                </c:pt>
                <c:pt idx="371">
                  <c:v>5.4293836438981716E-36</c:v>
                </c:pt>
                <c:pt idx="372">
                  <c:v>2.6271211180150514E-36</c:v>
                </c:pt>
                <c:pt idx="373">
                  <c:v>1.2677796279965441E-36</c:v>
                </c:pt>
                <c:pt idx="374">
                  <c:v>6.101613182871061E-37</c:v>
                </c:pt>
                <c:pt idx="375">
                  <c:v>2.9287743277782111E-37</c:v>
                </c:pt>
                <c:pt idx="376">
                  <c:v>1.4020728164895501E-37</c:v>
                </c:pt>
                <c:pt idx="377">
                  <c:v>6.6942468691810211E-38</c:v>
                </c:pt>
                <c:pt idx="378">
                  <c:v>3.1877366043719488E-38</c:v>
                </c:pt>
                <c:pt idx="379">
                  <c:v>1.5139646142135603E-38</c:v>
                </c:pt>
                <c:pt idx="380">
                  <c:v>7.1714113304851503E-39</c:v>
                </c:pt>
                <c:pt idx="381">
                  <c:v>3.388068345111203E-39</c:v>
                </c:pt>
                <c:pt idx="382">
                  <c:v>1.5964719950786005E-39</c:v>
                </c:pt>
                <c:pt idx="383">
                  <c:v>7.5030015434501865E-40</c:v>
                </c:pt>
                <c:pt idx="384">
                  <c:v>3.5170319734922952E-40</c:v>
                </c:pt>
                <c:pt idx="385">
                  <c:v>1.6443266369573906E-40</c:v>
                </c:pt>
                <c:pt idx="386">
                  <c:v>7.6678444210449783E-41</c:v>
                </c:pt>
                <c:pt idx="387">
                  <c:v>3.5664392656023946E-41</c:v>
                </c:pt>
                <c:pt idx="388">
                  <c:v>1.6545336799186645E-41</c:v>
                </c:pt>
                <c:pt idx="389">
                  <c:v>7.6559399070782904E-42</c:v>
                </c:pt>
                <c:pt idx="390">
                  <c:v>3.5335107263439628E-42</c:v>
                </c:pt>
                <c:pt idx="391">
                  <c:v>1.6266801297746789E-42</c:v>
                </c:pt>
                <c:pt idx="392">
                  <c:v>7.469449575496182E-43</c:v>
                </c:pt>
                <c:pt idx="393">
                  <c:v>3.4211219429754217E-43</c:v>
                </c:pt>
                <c:pt idx="394">
                  <c:v>1.5629491110038718E-43</c:v>
                </c:pt>
                <c:pt idx="395">
                  <c:v>7.1222997463465647E-44</c:v>
                </c:pt>
                <c:pt idx="396">
                  <c:v>3.2374089756122287E-44</c:v>
                </c:pt>
                <c:pt idx="397">
                  <c:v>1.4678428604790524E-44</c:v>
                </c:pt>
                <c:pt idx="398">
                  <c:v>6.6384852986490554E-45</c:v>
                </c:pt>
                <c:pt idx="399">
                  <c:v>2.9948053978869073E-45</c:v>
                </c:pt>
                <c:pt idx="400">
                  <c:v>1.3476624290490916E-45</c:v>
                </c:pt>
                <c:pt idx="401">
                  <c:v>6.0493575368787625E-46</c:v>
                </c:pt>
                <c:pt idx="402">
                  <c:v>2.7086675538262897E-46</c:v>
                </c:pt>
                <c:pt idx="403">
                  <c:v>1.2098266989795054E-46</c:v>
                </c:pt>
                <c:pt idx="404">
                  <c:v>5.3903169756511993E-47</c:v>
                </c:pt>
                <c:pt idx="405">
                  <c:v>2.395696433622764E-47</c:v>
                </c:pt>
                <c:pt idx="406">
                  <c:v>1.0621314237736385E-47</c:v>
                </c:pt>
                <c:pt idx="407">
                  <c:v>4.6973871321683176E-48</c:v>
                </c:pt>
                <c:pt idx="408">
                  <c:v>2.0723766759566416E-48</c:v>
                </c:pt>
                <c:pt idx="409">
                  <c:v>9.1204841484645979E-49</c:v>
                </c:pt>
                <c:pt idx="410">
                  <c:v>4.0041149920088494E-49</c:v>
                </c:pt>
                <c:pt idx="411">
                  <c:v>1.7536270037995123E-49</c:v>
                </c:pt>
                <c:pt idx="412">
                  <c:v>7.6614772010659777E-50</c:v>
                </c:pt>
                <c:pt idx="413">
                  <c:v>3.339142605791459E-50</c:v>
                </c:pt>
                <c:pt idx="414">
                  <c:v>1.4518011329528171E-50</c:v>
                </c:pt>
                <c:pt idx="415">
                  <c:v>6.2969687694341231E-51</c:v>
                </c:pt>
                <c:pt idx="416">
                  <c:v>2.7246499483126684E-51</c:v>
                </c:pt>
                <c:pt idx="417">
                  <c:v>1.1761078913579315E-51</c:v>
                </c:pt>
                <c:pt idx="418">
                  <c:v>5.0645794364696038E-52</c:v>
                </c:pt>
                <c:pt idx="419">
                  <c:v>2.1757143163831167E-52</c:v>
                </c:pt>
                <c:pt idx="420">
                  <c:v>9.3244899273563504E-53</c:v>
                </c:pt>
                <c:pt idx="421">
                  <c:v>3.9867177836677624E-53</c:v>
                </c:pt>
                <c:pt idx="422">
                  <c:v>1.700495737109402E-53</c:v>
                </c:pt>
                <c:pt idx="423">
                  <c:v>7.2361520728065737E-54</c:v>
                </c:pt>
                <c:pt idx="424">
                  <c:v>3.0719513516631512E-54</c:v>
                </c:pt>
                <c:pt idx="425">
                  <c:v>1.3010617489396933E-54</c:v>
                </c:pt>
                <c:pt idx="426">
                  <c:v>5.4974440096040353E-55</c:v>
                </c:pt>
                <c:pt idx="427">
                  <c:v>2.3174237042828799E-55</c:v>
                </c:pt>
                <c:pt idx="428">
                  <c:v>9.7461744572641641E-56</c:v>
                </c:pt>
                <c:pt idx="429">
                  <c:v>4.0893039680829464E-56</c:v>
                </c:pt>
                <c:pt idx="430">
                  <c:v>1.7118016610579352E-56</c:v>
                </c:pt>
                <c:pt idx="431">
                  <c:v>7.1490556610306194E-57</c:v>
                </c:pt>
                <c:pt idx="432">
                  <c:v>2.9787731920963204E-57</c:v>
                </c:pt>
                <c:pt idx="433">
                  <c:v>1.2382890867835894E-57</c:v>
                </c:pt>
                <c:pt idx="434">
                  <c:v>5.1357611894252702E-58</c:v>
                </c:pt>
                <c:pt idx="435">
                  <c:v>2.1251425611414643E-58</c:v>
                </c:pt>
                <c:pt idx="436">
                  <c:v>8.7735243349882145E-59</c:v>
                </c:pt>
                <c:pt idx="437">
                  <c:v>3.6138086505670046E-59</c:v>
                </c:pt>
                <c:pt idx="438">
                  <c:v>1.4851268426988276E-59</c:v>
                </c:pt>
                <c:pt idx="439">
                  <c:v>6.0893583527508585E-60</c:v>
                </c:pt>
                <c:pt idx="440">
                  <c:v>2.491101144307214E-60</c:v>
                </c:pt>
                <c:pt idx="441">
                  <c:v>1.0167759772682514E-60</c:v>
                </c:pt>
                <c:pt idx="442">
                  <c:v>4.1407166495087014E-61</c:v>
                </c:pt>
                <c:pt idx="443">
                  <c:v>1.6824582323059885E-61</c:v>
                </c:pt>
                <c:pt idx="444">
                  <c:v>6.8207766174571489E-62</c:v>
                </c:pt>
                <c:pt idx="445">
                  <c:v>2.7589658227917395E-62</c:v>
                </c:pt>
                <c:pt idx="446">
                  <c:v>1.1134839643553606E-62</c:v>
                </c:pt>
                <c:pt idx="447">
                  <c:v>4.483828044384017E-63</c:v>
                </c:pt>
                <c:pt idx="448">
                  <c:v>1.8015380535471731E-63</c:v>
                </c:pt>
                <c:pt idx="449">
                  <c:v>7.2222015509688453E-64</c:v>
                </c:pt>
                <c:pt idx="450">
                  <c:v>2.8888806203874896E-64</c:v>
                </c:pt>
                <c:pt idx="451">
                  <c:v>1.1529900480481962E-64</c:v>
                </c:pt>
                <c:pt idx="452">
                  <c:v>4.5915532886876539E-65</c:v>
                </c:pt>
                <c:pt idx="453">
                  <c:v>1.824458260405601E-65</c:v>
                </c:pt>
                <c:pt idx="454">
                  <c:v>7.2335349531500696E-66</c:v>
                </c:pt>
                <c:pt idx="455">
                  <c:v>2.8616182232242338E-66</c:v>
                </c:pt>
                <c:pt idx="456">
                  <c:v>1.1295861407464092E-66</c:v>
                </c:pt>
                <c:pt idx="457">
                  <c:v>4.4491357841216937E-67</c:v>
                </c:pt>
                <c:pt idx="458">
                  <c:v>1.7485686487815046E-67</c:v>
                </c:pt>
                <c:pt idx="459">
                  <c:v>6.8571319560052478E-68</c:v>
                </c:pt>
                <c:pt idx="460">
                  <c:v>2.6832255480021791E-68</c:v>
                </c:pt>
                <c:pt idx="461">
                  <c:v>1.0476802573544186E-68</c:v>
                </c:pt>
                <c:pt idx="462">
                  <c:v>4.081871132549399E-69</c:v>
                </c:pt>
                <c:pt idx="463">
                  <c:v>1.5869045439717285E-69</c:v>
                </c:pt>
                <c:pt idx="464">
                  <c:v>6.1560952136834381E-70</c:v>
                </c:pt>
                <c:pt idx="465">
                  <c:v>2.3830045988451083E-70</c:v>
                </c:pt>
                <c:pt idx="466">
                  <c:v>9.2047387938225597E-71</c:v>
                </c:pt>
                <c:pt idx="467">
                  <c:v>3.547865059717631E-71</c:v>
                </c:pt>
                <c:pt idx="468">
                  <c:v>1.3645634845067712E-71</c:v>
                </c:pt>
                <c:pt idx="469">
                  <c:v>5.2371306441624876E-72</c:v>
                </c:pt>
                <c:pt idx="470">
                  <c:v>2.0057096084026664E-72</c:v>
                </c:pt>
                <c:pt idx="471">
                  <c:v>7.6651322614113853E-73</c:v>
                </c:pt>
                <c:pt idx="472">
                  <c:v>2.9231436590128033E-73</c:v>
                </c:pt>
                <c:pt idx="473">
                  <c:v>1.1124013924361643E-73</c:v>
                </c:pt>
                <c:pt idx="474">
                  <c:v>4.2243090852005156E-74</c:v>
                </c:pt>
                <c:pt idx="475">
                  <c:v>1.6007908112339305E-74</c:v>
                </c:pt>
                <c:pt idx="476">
                  <c:v>6.0534106307166361E-75</c:v>
                </c:pt>
                <c:pt idx="477">
                  <c:v>2.2843058983836496E-75</c:v>
                </c:pt>
                <c:pt idx="478">
                  <c:v>8.6019887386830396E-76</c:v>
                </c:pt>
                <c:pt idx="479">
                  <c:v>3.2324801105698386E-76</c:v>
                </c:pt>
                <c:pt idx="480">
                  <c:v>1.2121800414637529E-76</c:v>
                </c:pt>
                <c:pt idx="481">
                  <c:v>4.5362246873901817E-77</c:v>
                </c:pt>
                <c:pt idx="482">
                  <c:v>1.6940258168677325E-77</c:v>
                </c:pt>
                <c:pt idx="483">
                  <c:v>6.3131396901900853E-78</c:v>
                </c:pt>
                <c:pt idx="484">
                  <c:v>2.3478618682523736E-78</c:v>
                </c:pt>
                <c:pt idx="485">
                  <c:v>8.7137141502149353E-79</c:v>
                </c:pt>
                <c:pt idx="486">
                  <c:v>3.2273015371167175E-79</c:v>
                </c:pt>
                <c:pt idx="487">
                  <c:v>1.1928424572505147E-79</c:v>
                </c:pt>
                <c:pt idx="488">
                  <c:v>4.3998287357600219E-80</c:v>
                </c:pt>
                <c:pt idx="489">
                  <c:v>1.6195688597890402E-80</c:v>
                </c:pt>
                <c:pt idx="490">
                  <c:v>5.949436627796538E-81</c:v>
                </c:pt>
                <c:pt idx="491">
                  <c:v>2.1810561975628646E-81</c:v>
                </c:pt>
                <c:pt idx="492">
                  <c:v>7.9794738935229876E-82</c:v>
                </c:pt>
                <c:pt idx="493">
                  <c:v>2.9133981761340992E-82</c:v>
                </c:pt>
                <c:pt idx="494">
                  <c:v>1.0615620884698755E-82</c:v>
                </c:pt>
                <c:pt idx="495">
                  <c:v>3.8602257762542447E-83</c:v>
                </c:pt>
                <c:pt idx="496">
                  <c:v>1.4008883865439595E-83</c:v>
                </c:pt>
                <c:pt idx="497">
                  <c:v>5.0736400317486901E-84</c:v>
                </c:pt>
                <c:pt idx="498">
                  <c:v>1.8338457946078082E-84</c:v>
                </c:pt>
                <c:pt idx="499">
                  <c:v>6.6150750106089963E-85</c:v>
                </c:pt>
                <c:pt idx="500">
                  <c:v>2.3814270038196273E-85</c:v>
                </c:pt>
                <c:pt idx="501">
                  <c:v>8.5560251634232324E-86</c:v>
                </c:pt>
                <c:pt idx="502">
                  <c:v>3.0678974689565887E-86</c:v>
                </c:pt>
                <c:pt idx="503">
                  <c:v>1.0978559531056455E-86</c:v>
                </c:pt>
                <c:pt idx="504">
                  <c:v>3.9209141182346568E-87</c:v>
                </c:pt>
                <c:pt idx="505">
                  <c:v>1.397553547093694E-87</c:v>
                </c:pt>
                <c:pt idx="506">
                  <c:v>4.9715343572501488E-88</c:v>
                </c:pt>
                <c:pt idx="507">
                  <c:v>1.765041783638971E-88</c:v>
                </c:pt>
                <c:pt idx="508">
                  <c:v>6.2540850601382338E-89</c:v>
                </c:pt>
                <c:pt idx="509">
                  <c:v>2.2116607285359771E-89</c:v>
                </c:pt>
                <c:pt idx="510">
                  <c:v>7.8058613948326413E-90</c:v>
                </c:pt>
                <c:pt idx="511">
                  <c:v>2.7496184952441918E-90</c:v>
                </c:pt>
                <c:pt idx="512">
                  <c:v>9.6666275223437436E-91</c:v>
                </c:pt>
                <c:pt idx="513">
                  <c:v>3.3917991306470949E-91</c:v>
                </c:pt>
                <c:pt idx="514">
                  <c:v>1.1877895788257385E-91</c:v>
                </c:pt>
                <c:pt idx="515">
                  <c:v>4.1514975570609145E-92</c:v>
                </c:pt>
                <c:pt idx="516">
                  <c:v>1.4481968222306157E-92</c:v>
                </c:pt>
                <c:pt idx="517">
                  <c:v>5.0420779110546102E-93</c:v>
                </c:pt>
                <c:pt idx="518">
                  <c:v>1.7520734053855413E-93</c:v>
                </c:pt>
                <c:pt idx="519">
                  <c:v>6.0765551631872774E-94</c:v>
                </c:pt>
                <c:pt idx="520">
                  <c:v>2.103422941103435E-94</c:v>
                </c:pt>
                <c:pt idx="521">
                  <c:v>7.2671042111058534E-95</c:v>
                </c:pt>
                <c:pt idx="522">
                  <c:v>2.5058980038296931E-95</c:v>
                </c:pt>
                <c:pt idx="523">
                  <c:v>8.6245055581131428E-96</c:v>
                </c:pt>
                <c:pt idx="524">
                  <c:v>2.9626164130921364E-96</c:v>
                </c:pt>
                <c:pt idx="525">
                  <c:v>1.0157541987744416E-96</c:v>
                </c:pt>
                <c:pt idx="526">
                  <c:v>3.475964938772083E-97</c:v>
                </c:pt>
                <c:pt idx="527">
                  <c:v>1.1872366014782388E-97</c:v>
                </c:pt>
                <c:pt idx="528">
                  <c:v>4.0473975050394183E-98</c:v>
                </c:pt>
                <c:pt idx="529">
                  <c:v>1.3771862966104459E-98</c:v>
                </c:pt>
                <c:pt idx="530">
                  <c:v>4.6772364790544531E-99</c:v>
                </c:pt>
                <c:pt idx="531">
                  <c:v>1.5855038912051263E-99</c:v>
                </c:pt>
                <c:pt idx="532">
                  <c:v>5.3644868499417222E-100</c:v>
                </c:pt>
                <c:pt idx="533">
                  <c:v>1.8116465909747126E-100</c:v>
                </c:pt>
                <c:pt idx="534">
                  <c:v>6.1066739021622404E-101</c:v>
                </c:pt>
                <c:pt idx="535">
                  <c:v>2.054581873624565E-101</c:v>
                </c:pt>
                <c:pt idx="536">
                  <c:v>6.8997152472462431E-102</c:v>
                </c:pt>
                <c:pt idx="537">
                  <c:v>2.312753714160988E-102</c:v>
                </c:pt>
                <c:pt idx="538">
                  <c:v>7.7378377053712941E-103</c:v>
                </c:pt>
                <c:pt idx="539">
                  <c:v>2.5840645398271967E-103</c:v>
                </c:pt>
                <c:pt idx="540">
                  <c:v>8.6135484660897019E-104</c:v>
                </c:pt>
                <c:pt idx="541">
                  <c:v>2.8658756449099008E-104</c:v>
                </c:pt>
                <c:pt idx="542">
                  <c:v>9.5176681934277984E-105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EA-4BCC-961F-8B069FF6B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3360"/>
        <c:axId val="957493752"/>
      </c:scatterChart>
      <c:valAx>
        <c:axId val="957493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3752"/>
        <c:crosses val="autoZero"/>
        <c:crossBetween val="midCat"/>
      </c:valAx>
      <c:valAx>
        <c:axId val="95749375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3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753441692605908"/>
          <c:y val="0.93333374390033086"/>
          <c:w val="0.20802426466067003"/>
          <c:h val="5.045047264326112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066989038134938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7944064864385"/>
          <c:y val="0.156794425087108"/>
          <c:w val="0.811005732054767"/>
          <c:h val="0.658536585365853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beta!$C$2</c:f>
              <c:strCache>
                <c:ptCount val="1"/>
                <c:pt idx="0">
                  <c:v>Prob Empírica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beta!$C$3:$C$45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1.0624841892233746E-2</c:v>
                </c:pt>
                <c:pt idx="4">
                  <c:v>5.0278269668606122E-2</c:v>
                </c:pt>
                <c:pt idx="5">
                  <c:v>0.10770301037186947</c:v>
                </c:pt>
                <c:pt idx="6">
                  <c:v>0.15899316974449784</c:v>
                </c:pt>
                <c:pt idx="7">
                  <c:v>0.17081963066025804</c:v>
                </c:pt>
                <c:pt idx="8">
                  <c:v>0.14836832785226411</c:v>
                </c:pt>
                <c:pt idx="9">
                  <c:v>0.11156083986845435</c:v>
                </c:pt>
                <c:pt idx="10">
                  <c:v>7.8927396913736403E-2</c:v>
                </c:pt>
                <c:pt idx="11">
                  <c:v>5.6918795851252216E-2</c:v>
                </c:pt>
                <c:pt idx="12">
                  <c:v>3.7376675942322288E-2</c:v>
                </c:pt>
                <c:pt idx="13">
                  <c:v>2.2261573488489755E-2</c:v>
                </c:pt>
                <c:pt idx="14">
                  <c:v>1.4609157601821401E-2</c:v>
                </c:pt>
                <c:pt idx="15">
                  <c:v>9.8659246142170504E-3</c:v>
                </c:pt>
                <c:pt idx="16">
                  <c:v>5.4389071591196556E-3</c:v>
                </c:pt>
                <c:pt idx="17">
                  <c:v>4.6799898811029595E-3</c:v>
                </c:pt>
                <c:pt idx="18">
                  <c:v>3.5416139640779155E-3</c:v>
                </c:pt>
                <c:pt idx="19">
                  <c:v>2.3399949405514798E-3</c:v>
                </c:pt>
                <c:pt idx="20">
                  <c:v>1.1383759170250443E-3</c:v>
                </c:pt>
                <c:pt idx="21">
                  <c:v>5.0594485201113073E-4</c:v>
                </c:pt>
                <c:pt idx="22">
                  <c:v>6.9567417151530486E-4</c:v>
                </c:pt>
                <c:pt idx="23">
                  <c:v>3.7945863900834808E-4</c:v>
                </c:pt>
                <c:pt idx="24">
                  <c:v>3.1621553250695672E-4</c:v>
                </c:pt>
                <c:pt idx="25">
                  <c:v>3.1621553250695672E-4</c:v>
                </c:pt>
                <c:pt idx="26">
                  <c:v>1.8972931950417404E-4</c:v>
                </c:pt>
                <c:pt idx="27">
                  <c:v>1.2648621300278268E-4</c:v>
                </c:pt>
                <c:pt idx="28">
                  <c:v>1.8972931950417404E-4</c:v>
                </c:pt>
                <c:pt idx="29">
                  <c:v>6.3243106501391342E-5</c:v>
                </c:pt>
                <c:pt idx="30">
                  <c:v>3.1621553250695672E-4</c:v>
                </c:pt>
                <c:pt idx="31">
                  <c:v>1.8972931950417404E-4</c:v>
                </c:pt>
                <c:pt idx="32">
                  <c:v>6.3243106501391342E-5</c:v>
                </c:pt>
                <c:pt idx="33">
                  <c:v>2.5297242600556537E-4</c:v>
                </c:pt>
                <c:pt idx="34">
                  <c:v>6.3243106501391342E-5</c:v>
                </c:pt>
                <c:pt idx="35">
                  <c:v>0</c:v>
                </c:pt>
                <c:pt idx="36">
                  <c:v>0</c:v>
                </c:pt>
                <c:pt idx="37">
                  <c:v>6.3243106501391342E-5</c:v>
                </c:pt>
                <c:pt idx="38">
                  <c:v>1.2648621300278268E-4</c:v>
                </c:pt>
                <c:pt idx="39">
                  <c:v>6.3243106501391342E-5</c:v>
                </c:pt>
                <c:pt idx="40">
                  <c:v>6.3243106501391342E-5</c:v>
                </c:pt>
                <c:pt idx="41">
                  <c:v>6.3243106501391342E-5</c:v>
                </c:pt>
                <c:pt idx="42">
                  <c:v>6.3243106501391342E-5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BD-4561-9057-7CA31BF44CB0}"/>
            </c:ext>
          </c:extLst>
        </c:ser>
        <c:ser>
          <c:idx val="1"/>
          <c:order val="1"/>
          <c:tx>
            <c:strRef>
              <c:f>beta!$E$2</c:f>
              <c:strCache>
                <c:ptCount val="1"/>
                <c:pt idx="0">
                  <c:v>Beta dens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beta!$E$3:$E$45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3.8345052999808438E-3</c:v>
                </c:pt>
                <c:pt idx="3">
                  <c:v>1.9619483887285013E-2</c:v>
                </c:pt>
                <c:pt idx="4">
                  <c:v>4.9336172342984277E-2</c:v>
                </c:pt>
                <c:pt idx="5">
                  <c:v>8.474093427024379E-2</c:v>
                </c:pt>
                <c:pt idx="6">
                  <c:v>0.11455783645643267</c:v>
                </c:pt>
                <c:pt idx="7">
                  <c:v>0.13105198182165506</c:v>
                </c:pt>
                <c:pt idx="8">
                  <c:v>0.13224919055088058</c:v>
                </c:pt>
                <c:pt idx="9">
                  <c:v>0.12079312308880519</c:v>
                </c:pt>
                <c:pt idx="10">
                  <c:v>0.10154971834602111</c:v>
                </c:pt>
                <c:pt idx="11">
                  <c:v>7.9473905200535655E-2</c:v>
                </c:pt>
                <c:pt idx="12">
                  <c:v>5.8353588333899031E-2</c:v>
                </c:pt>
                <c:pt idx="13">
                  <c:v>4.0415321930462711E-2</c:v>
                </c:pt>
                <c:pt idx="14">
                  <c:v>2.6499903821549653E-2</c:v>
                </c:pt>
                <c:pt idx="15">
                  <c:v>1.6488419339867666E-2</c:v>
                </c:pt>
                <c:pt idx="16">
                  <c:v>9.7480762798365372E-3</c:v>
                </c:pt>
                <c:pt idx="17">
                  <c:v>5.478497582650288E-3</c:v>
                </c:pt>
                <c:pt idx="18">
                  <c:v>2.9260432411131188E-3</c:v>
                </c:pt>
                <c:pt idx="19">
                  <c:v>1.4837276540273781E-3</c:v>
                </c:pt>
                <c:pt idx="20">
                  <c:v>7.1313774671410979E-4</c:v>
                </c:pt>
                <c:pt idx="21">
                  <c:v>3.2414639466338269E-4</c:v>
                </c:pt>
                <c:pt idx="22">
                  <c:v>1.3891711910396509E-4</c:v>
                </c:pt>
                <c:pt idx="23">
                  <c:v>5.5921945256498518E-5</c:v>
                </c:pt>
                <c:pt idx="24">
                  <c:v>2.1047937956986118E-5</c:v>
                </c:pt>
                <c:pt idx="25">
                  <c:v>7.3652881090735534E-6</c:v>
                </c:pt>
                <c:pt idx="26">
                  <c:v>2.3798845868450158E-6</c:v>
                </c:pt>
                <c:pt idx="27">
                  <c:v>7.0422439057971076E-7</c:v>
                </c:pt>
                <c:pt idx="28">
                  <c:v>1.8892018682770129E-7</c:v>
                </c:pt>
                <c:pt idx="29">
                  <c:v>4.5383387381470186E-8</c:v>
                </c:pt>
                <c:pt idx="30">
                  <c:v>9.6147937389545746E-9</c:v>
                </c:pt>
                <c:pt idx="31">
                  <c:v>1.7624588455333878E-9</c:v>
                </c:pt>
                <c:pt idx="32">
                  <c:v>2.7284385861747751E-10</c:v>
                </c:pt>
                <c:pt idx="33">
                  <c:v>3.4572900098339687E-11</c:v>
                </c:pt>
                <c:pt idx="34">
                  <c:v>3.4405811533133601E-12</c:v>
                </c:pt>
                <c:pt idx="35">
                  <c:v>2.5424107263916085E-13</c:v>
                </c:pt>
                <c:pt idx="36">
                  <c:v>1.2878587085651816E-14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BD-4561-9057-7CA31BF44CB0}"/>
            </c:ext>
          </c:extLst>
        </c:ser>
        <c:ser>
          <c:idx val="2"/>
          <c:order val="2"/>
          <c:tx>
            <c:strRef>
              <c:f>beta!$G$2</c:f>
              <c:strCache>
                <c:ptCount val="1"/>
                <c:pt idx="0">
                  <c:v>Beta dens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beta!$G$3:$G$45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2.1336900286297693E-2</c:v>
                </c:pt>
                <c:pt idx="3">
                  <c:v>5.0782231908596945E-2</c:v>
                </c:pt>
                <c:pt idx="4">
                  <c:v>7.9656776684818409E-2</c:v>
                </c:pt>
                <c:pt idx="5">
                  <c:v>0.10076720820357757</c:v>
                </c:pt>
                <c:pt idx="6">
                  <c:v>0.11153132422659512</c:v>
                </c:pt>
                <c:pt idx="7">
                  <c:v>0.11247861718402136</c:v>
                </c:pt>
                <c:pt idx="8">
                  <c:v>0.10575036954359945</c:v>
                </c:pt>
                <c:pt idx="9">
                  <c:v>9.3998732796694795E-2</c:v>
                </c:pt>
                <c:pt idx="10">
                  <c:v>7.971216444263618E-2</c:v>
                </c:pt>
                <c:pt idx="11">
                  <c:v>6.4880964084210069E-2</c:v>
                </c:pt>
                <c:pt idx="12">
                  <c:v>5.089577461068906E-2</c:v>
                </c:pt>
                <c:pt idx="13">
                  <c:v>3.8585146518667068E-2</c:v>
                </c:pt>
                <c:pt idx="14">
                  <c:v>2.8321544269484633E-2</c:v>
                </c:pt>
                <c:pt idx="15">
                  <c:v>2.0148352455103491E-2</c:v>
                </c:pt>
                <c:pt idx="16">
                  <c:v>1.3899613704591141E-2</c:v>
                </c:pt>
                <c:pt idx="17">
                  <c:v>9.2984155338362573E-3</c:v>
                </c:pt>
                <c:pt idx="18">
                  <c:v>6.0293793890003888E-3</c:v>
                </c:pt>
                <c:pt idx="19">
                  <c:v>3.7864532515975435E-3</c:v>
                </c:pt>
                <c:pt idx="20">
                  <c:v>2.3001464771550406E-3</c:v>
                </c:pt>
                <c:pt idx="21">
                  <c:v>1.3493691518196016E-3</c:v>
                </c:pt>
                <c:pt idx="22">
                  <c:v>7.6288376204614039E-4</c:v>
                </c:pt>
                <c:pt idx="23">
                  <c:v>4.1459885919281625E-4</c:v>
                </c:pt>
                <c:pt idx="24">
                  <c:v>2.1591856236069518E-4</c:v>
                </c:pt>
                <c:pt idx="25">
                  <c:v>1.0735277299200874E-4</c:v>
                </c:pt>
                <c:pt idx="26">
                  <c:v>5.0726077032714478E-5</c:v>
                </c:pt>
                <c:pt idx="27">
                  <c:v>2.2655165375362607E-5</c:v>
                </c:pt>
                <c:pt idx="28">
                  <c:v>9.5002343669658984E-6</c:v>
                </c:pt>
                <c:pt idx="29">
                  <c:v>3.7102181960069203E-6</c:v>
                </c:pt>
                <c:pt idx="30">
                  <c:v>1.3359647750288417E-6</c:v>
                </c:pt>
                <c:pt idx="31">
                  <c:v>4.3797922710808734E-7</c:v>
                </c:pt>
                <c:pt idx="32">
                  <c:v>1.2865458143274111E-7</c:v>
                </c:pt>
                <c:pt idx="33">
                  <c:v>3.316744523473858E-8</c:v>
                </c:pt>
                <c:pt idx="34">
                  <c:v>7.3013148860212596E-9</c:v>
                </c:pt>
                <c:pt idx="35">
                  <c:v>1.3221753691894378E-9</c:v>
                </c:pt>
                <c:pt idx="36">
                  <c:v>1.8689194636323236E-10</c:v>
                </c:pt>
                <c:pt idx="37">
                  <c:v>1.9094059666713292E-11</c:v>
                </c:pt>
                <c:pt idx="38">
                  <c:v>1.2516654379624015E-12</c:v>
                </c:pt>
                <c:pt idx="39">
                  <c:v>4.3187675657918589E-14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BD-4561-9057-7CA31BF44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4928"/>
        <c:axId val="957495320"/>
      </c:scatterChart>
      <c:valAx>
        <c:axId val="95749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5320"/>
        <c:crosses val="autoZero"/>
        <c:crossBetween val="midCat"/>
      </c:valAx>
      <c:valAx>
        <c:axId val="95749532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49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73677974873148"/>
          <c:y val="0.89516452151382175"/>
          <c:w val="0.75319943682502855"/>
          <c:h val="7.52690888960570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Acumulada (colas)</a:t>
            </a:r>
          </a:p>
        </c:rich>
      </c:tx>
      <c:layout>
        <c:manualLayout>
          <c:xMode val="edge"/>
          <c:yMode val="edge"/>
          <c:x val="0.32619102940001354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146012709293"/>
          <c:y val="0.1458338278328038"/>
          <c:w val="0.80238281804040656"/>
          <c:h val="0.600696481311310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beta!$D$2</c:f>
              <c:strCache>
                <c:ptCount val="1"/>
                <c:pt idx="0">
                  <c:v>P. Emp Acum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beta!$D$3:$D$45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1.1067543637743486E-2</c:v>
                </c:pt>
                <c:pt idx="4">
                  <c:v>6.1345813306349611E-2</c:v>
                </c:pt>
                <c:pt idx="5">
                  <c:v>0.16904882367821908</c:v>
                </c:pt>
                <c:pt idx="6">
                  <c:v>0.32804199342271689</c:v>
                </c:pt>
                <c:pt idx="7">
                  <c:v>0.49886162408297496</c:v>
                </c:pt>
                <c:pt idx="8">
                  <c:v>0.64722995193523913</c:v>
                </c:pt>
                <c:pt idx="9">
                  <c:v>0.75879079180369347</c:v>
                </c:pt>
                <c:pt idx="10">
                  <c:v>0.83771818871742987</c:v>
                </c:pt>
                <c:pt idx="11">
                  <c:v>0.89463698456868213</c:v>
                </c:pt>
                <c:pt idx="12">
                  <c:v>0.93201366051100443</c:v>
                </c:pt>
                <c:pt idx="13">
                  <c:v>0.95427523399949421</c:v>
                </c:pt>
                <c:pt idx="14">
                  <c:v>0.96888439160131556</c:v>
                </c:pt>
                <c:pt idx="15">
                  <c:v>0.97875031621553266</c:v>
                </c:pt>
                <c:pt idx="16">
                  <c:v>0.98418922337465231</c:v>
                </c:pt>
                <c:pt idx="17">
                  <c:v>0.98886921325575527</c:v>
                </c:pt>
                <c:pt idx="18">
                  <c:v>0.9924108272198332</c:v>
                </c:pt>
                <c:pt idx="19">
                  <c:v>0.99475082216038468</c:v>
                </c:pt>
                <c:pt idx="20">
                  <c:v>0.99588919807740972</c:v>
                </c:pt>
                <c:pt idx="21">
                  <c:v>0.99639514292942089</c:v>
                </c:pt>
                <c:pt idx="22">
                  <c:v>0.99709081710093617</c:v>
                </c:pt>
                <c:pt idx="23">
                  <c:v>0.99747027573994451</c:v>
                </c:pt>
                <c:pt idx="24">
                  <c:v>0.99778649127245145</c:v>
                </c:pt>
                <c:pt idx="25">
                  <c:v>0.99810270680495838</c:v>
                </c:pt>
                <c:pt idx="26">
                  <c:v>0.99829243612446261</c:v>
                </c:pt>
                <c:pt idx="27">
                  <c:v>0.99841892233746543</c:v>
                </c:pt>
                <c:pt idx="28">
                  <c:v>0.99860865165696966</c:v>
                </c:pt>
                <c:pt idx="29">
                  <c:v>0.99867189476347107</c:v>
                </c:pt>
                <c:pt idx="30">
                  <c:v>0.998988110295978</c:v>
                </c:pt>
                <c:pt idx="31">
                  <c:v>0.99917783961548223</c:v>
                </c:pt>
                <c:pt idx="32">
                  <c:v>0.99924108272198364</c:v>
                </c:pt>
                <c:pt idx="33">
                  <c:v>0.99949405514798917</c:v>
                </c:pt>
                <c:pt idx="34">
                  <c:v>0.99955729825449058</c:v>
                </c:pt>
                <c:pt idx="35">
                  <c:v>0.99955729825449058</c:v>
                </c:pt>
                <c:pt idx="36">
                  <c:v>0.99955729825449058</c:v>
                </c:pt>
                <c:pt idx="37">
                  <c:v>0.99962054136099199</c:v>
                </c:pt>
                <c:pt idx="38">
                  <c:v>0.99974702757399481</c:v>
                </c:pt>
                <c:pt idx="39">
                  <c:v>0.99981027068049622</c:v>
                </c:pt>
                <c:pt idx="40">
                  <c:v>0.99987351378699763</c:v>
                </c:pt>
                <c:pt idx="41">
                  <c:v>0.99993675689349903</c:v>
                </c:pt>
                <c:pt idx="42">
                  <c:v>1.0000000000000004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3F-4715-91EE-DFB9176EAB0A}"/>
            </c:ext>
          </c:extLst>
        </c:ser>
        <c:ser>
          <c:idx val="1"/>
          <c:order val="1"/>
          <c:tx>
            <c:strRef>
              <c:f>beta!$F$2</c:f>
              <c:strCache>
                <c:ptCount val="1"/>
                <c:pt idx="0">
                  <c:v>Beta Acum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beta!$F$3:$F$45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3.9702093190171353E-3</c:v>
                </c:pt>
                <c:pt idx="3">
                  <c:v>2.3589693206302147E-2</c:v>
                </c:pt>
                <c:pt idx="4">
                  <c:v>7.2925865549286428E-2</c:v>
                </c:pt>
                <c:pt idx="5">
                  <c:v>0.15766679981953022</c:v>
                </c:pt>
                <c:pt idx="6">
                  <c:v>0.27222463627596288</c:v>
                </c:pt>
                <c:pt idx="7">
                  <c:v>0.40327661809761794</c:v>
                </c:pt>
                <c:pt idx="8">
                  <c:v>0.53552580864849852</c:v>
                </c:pt>
                <c:pt idx="9">
                  <c:v>0.65631893173730371</c:v>
                </c:pt>
                <c:pt idx="10">
                  <c:v>0.75786865008332482</c:v>
                </c:pt>
                <c:pt idx="11">
                  <c:v>0.83734255528386048</c:v>
                </c:pt>
                <c:pt idx="12">
                  <c:v>0.89569614361775951</c:v>
                </c:pt>
                <c:pt idx="13">
                  <c:v>0.93611146554822222</c:v>
                </c:pt>
                <c:pt idx="14">
                  <c:v>0.96261136936977187</c:v>
                </c:pt>
                <c:pt idx="15">
                  <c:v>0.97909978870963954</c:v>
                </c:pt>
                <c:pt idx="16">
                  <c:v>0.98884786498947608</c:v>
                </c:pt>
                <c:pt idx="17">
                  <c:v>0.99432636257212637</c:v>
                </c:pt>
                <c:pt idx="18">
                  <c:v>0.99725240581323948</c:v>
                </c:pt>
                <c:pt idx="19">
                  <c:v>0.99873613346726686</c:v>
                </c:pt>
                <c:pt idx="20">
                  <c:v>0.99944927121398097</c:v>
                </c:pt>
                <c:pt idx="21">
                  <c:v>0.99977341760864435</c:v>
                </c:pt>
                <c:pt idx="22">
                  <c:v>0.99991233472774832</c:v>
                </c:pt>
                <c:pt idx="23">
                  <c:v>0.99996825667300482</c:v>
                </c:pt>
                <c:pt idx="24">
                  <c:v>0.9999893046109618</c:v>
                </c:pt>
                <c:pt idx="25">
                  <c:v>0.99999666989907088</c:v>
                </c:pt>
                <c:pt idx="26">
                  <c:v>0.99999904978365772</c:v>
                </c:pt>
                <c:pt idx="27">
                  <c:v>0.9999997540080483</c:v>
                </c:pt>
                <c:pt idx="28">
                  <c:v>0.99999994292823513</c:v>
                </c:pt>
                <c:pt idx="29">
                  <c:v>0.99999998831162251</c:v>
                </c:pt>
                <c:pt idx="30">
                  <c:v>0.99999999792641625</c:v>
                </c:pt>
                <c:pt idx="31">
                  <c:v>0.9999999996888751</c:v>
                </c:pt>
                <c:pt idx="32">
                  <c:v>0.99999999996171895</c:v>
                </c:pt>
                <c:pt idx="33">
                  <c:v>0.99999999999629186</c:v>
                </c:pt>
                <c:pt idx="34">
                  <c:v>0.99999999999973244</c:v>
                </c:pt>
                <c:pt idx="35">
                  <c:v>0.99999999999998668</c:v>
                </c:pt>
                <c:pt idx="36">
                  <c:v>0.99999999999999956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3F-4715-91EE-DFB9176EAB0A}"/>
            </c:ext>
          </c:extLst>
        </c:ser>
        <c:ser>
          <c:idx val="2"/>
          <c:order val="2"/>
          <c:tx>
            <c:strRef>
              <c:f>beta!$H$2</c:f>
              <c:strCache>
                <c:ptCount val="1"/>
                <c:pt idx="0">
                  <c:v>Beta Acum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beta!$H$3:$H$45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2.4238125314942693E-2</c:v>
                </c:pt>
                <c:pt idx="3">
                  <c:v>7.5020357223539641E-2</c:v>
                </c:pt>
                <c:pt idx="4">
                  <c:v>0.15467713390835805</c:v>
                </c:pt>
                <c:pt idx="5">
                  <c:v>0.25544434211193562</c:v>
                </c:pt>
                <c:pt idx="6">
                  <c:v>0.36697566633853074</c:v>
                </c:pt>
                <c:pt idx="7">
                  <c:v>0.47945428352255209</c:v>
                </c:pt>
                <c:pt idx="8">
                  <c:v>0.58520465306615155</c:v>
                </c:pt>
                <c:pt idx="9">
                  <c:v>0.67920338586284634</c:v>
                </c:pt>
                <c:pt idx="10">
                  <c:v>0.75891555030548252</c:v>
                </c:pt>
                <c:pt idx="11">
                  <c:v>0.82379651438969259</c:v>
                </c:pt>
                <c:pt idx="12">
                  <c:v>0.87469228900038165</c:v>
                </c:pt>
                <c:pt idx="13">
                  <c:v>0.91327743551904872</c:v>
                </c:pt>
                <c:pt idx="14">
                  <c:v>0.94159897978853335</c:v>
                </c:pt>
                <c:pt idx="15">
                  <c:v>0.96174733224363684</c:v>
                </c:pt>
                <c:pt idx="16">
                  <c:v>0.97564694594822798</c:v>
                </c:pt>
                <c:pt idx="17">
                  <c:v>0.98494536148206424</c:v>
                </c:pt>
                <c:pt idx="18">
                  <c:v>0.99097474087106463</c:v>
                </c:pt>
                <c:pt idx="19">
                  <c:v>0.99476119412266217</c:v>
                </c:pt>
                <c:pt idx="20">
                  <c:v>0.99706134059981721</c:v>
                </c:pt>
                <c:pt idx="21">
                  <c:v>0.99841070975163682</c:v>
                </c:pt>
                <c:pt idx="22">
                  <c:v>0.99917359351368296</c:v>
                </c:pt>
                <c:pt idx="23">
                  <c:v>0.99958819237287577</c:v>
                </c:pt>
                <c:pt idx="24">
                  <c:v>0.99980411093523647</c:v>
                </c:pt>
                <c:pt idx="25">
                  <c:v>0.99991146370822848</c:v>
                </c:pt>
                <c:pt idx="26">
                  <c:v>0.99996218978526119</c:v>
                </c:pt>
                <c:pt idx="27">
                  <c:v>0.99998484495063655</c:v>
                </c:pt>
                <c:pt idx="28">
                  <c:v>0.99999434518500352</c:v>
                </c:pt>
                <c:pt idx="29">
                  <c:v>0.99999805540319953</c:v>
                </c:pt>
                <c:pt idx="30">
                  <c:v>0.99999939136797455</c:v>
                </c:pt>
                <c:pt idx="31">
                  <c:v>0.99999982934720166</c:v>
                </c:pt>
                <c:pt idx="32">
                  <c:v>0.9999999580017831</c:v>
                </c:pt>
                <c:pt idx="33">
                  <c:v>0.99999999116922833</c:v>
                </c:pt>
                <c:pt idx="34">
                  <c:v>0.99999999847054322</c:v>
                </c:pt>
                <c:pt idx="35">
                  <c:v>0.99999999979271859</c:v>
                </c:pt>
                <c:pt idx="36">
                  <c:v>0.99999999997961053</c:v>
                </c:pt>
                <c:pt idx="37">
                  <c:v>0.99999999999870459</c:v>
                </c:pt>
                <c:pt idx="38">
                  <c:v>0.99999999999995626</c:v>
                </c:pt>
                <c:pt idx="39">
                  <c:v>0.99999999999999944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3F-4715-91EE-DFB9176EA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6104"/>
        <c:axId val="1025628112"/>
      </c:scatterChart>
      <c:valAx>
        <c:axId val="957496104"/>
        <c:scaling>
          <c:orientation val="minMax"/>
          <c:min val="1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025628112"/>
        <c:crosses val="autoZero"/>
        <c:crossBetween val="midCat"/>
        <c:minorUnit val="100"/>
      </c:valAx>
      <c:valAx>
        <c:axId val="1025628112"/>
        <c:scaling>
          <c:orientation val="minMax"/>
          <c:max val="1"/>
          <c:min val="0.99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61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818203286448644"/>
          <c:y val="0.89516452151382175"/>
          <c:w val="0.77636484254125926"/>
          <c:h val="7.526908889605708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beta!$AF$9:$AF$19</c:f>
              <c:numCache>
                <c:formatCode>General</c:formatCode>
                <c:ptCount val="11"/>
                <c:pt idx="0">
                  <c:v>0.44813851274760896</c:v>
                </c:pt>
                <c:pt idx="1">
                  <c:v>100.40119803266971</c:v>
                </c:pt>
                <c:pt idx="2">
                  <c:v>200.35425755259183</c:v>
                </c:pt>
                <c:pt idx="3">
                  <c:v>300.30731707251391</c:v>
                </c:pt>
                <c:pt idx="4">
                  <c:v>400.26037659243605</c:v>
                </c:pt>
                <c:pt idx="5">
                  <c:v>500.21343611235818</c:v>
                </c:pt>
                <c:pt idx="6">
                  <c:v>600.16649563228032</c:v>
                </c:pt>
                <c:pt idx="7">
                  <c:v>700.11955515220245</c:v>
                </c:pt>
                <c:pt idx="8">
                  <c:v>800.07261467212459</c:v>
                </c:pt>
                <c:pt idx="9">
                  <c:v>900.02567419204672</c:v>
                </c:pt>
                <c:pt idx="10">
                  <c:v>999.97873371196886</c:v>
                </c:pt>
              </c:numCache>
            </c:numRef>
          </c:cat>
          <c:val>
            <c:numRef>
              <c:f>beta!$AG$9:$AG$19</c:f>
              <c:numCache>
                <c:formatCode>General</c:formatCode>
                <c:ptCount val="11"/>
                <c:pt idx="0">
                  <c:v>1</c:v>
                </c:pt>
                <c:pt idx="1">
                  <c:v>142</c:v>
                </c:pt>
                <c:pt idx="2">
                  <c:v>152</c:v>
                </c:pt>
                <c:pt idx="3">
                  <c:v>126</c:v>
                </c:pt>
                <c:pt idx="4">
                  <c:v>124</c:v>
                </c:pt>
                <c:pt idx="5">
                  <c:v>144</c:v>
                </c:pt>
                <c:pt idx="6">
                  <c:v>139</c:v>
                </c:pt>
                <c:pt idx="7">
                  <c:v>143</c:v>
                </c:pt>
                <c:pt idx="8">
                  <c:v>108</c:v>
                </c:pt>
                <c:pt idx="9">
                  <c:v>130</c:v>
                </c:pt>
                <c:pt idx="10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E-48C3-9C7C-5D00D98F7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628896"/>
        <c:axId val="1025629288"/>
      </c:barChart>
      <c:catAx>
        <c:axId val="102562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5629288"/>
        <c:crosses val="autoZero"/>
        <c:auto val="1"/>
        <c:lblAlgn val="ctr"/>
        <c:lblOffset val="100"/>
        <c:noMultiLvlLbl val="0"/>
      </c:catAx>
      <c:valAx>
        <c:axId val="10256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56288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8</xdr:row>
      <xdr:rowOff>53340</xdr:rowOff>
    </xdr:from>
    <xdr:to>
      <xdr:col>16</xdr:col>
      <xdr:colOff>160020</xdr:colOff>
      <xdr:row>30</xdr:row>
      <xdr:rowOff>175260</xdr:rowOff>
    </xdr:to>
    <xdr:graphicFrame macro="">
      <xdr:nvGraphicFramePr>
        <xdr:cNvPr id="3289" name="1 Gráfico">
          <a:extLst>
            <a:ext uri="{FF2B5EF4-FFF2-40B4-BE49-F238E27FC236}">
              <a16:creationId xmlns:a16="http://schemas.microsoft.com/office/drawing/2014/main" id="{00000000-0008-0000-0900-0000D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719003</xdr:colOff>
      <xdr:row>8</xdr:row>
      <xdr:rowOff>5990</xdr:rowOff>
    </xdr:from>
    <xdr:to>
      <xdr:col>7</xdr:col>
      <xdr:colOff>759825</xdr:colOff>
      <xdr:row>18</xdr:row>
      <xdr:rowOff>27204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 rot="5400000">
          <a:off x="6558645" y="2476502"/>
          <a:ext cx="1918605" cy="40822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674369</xdr:colOff>
      <xdr:row>15</xdr:row>
      <xdr:rowOff>550</xdr:rowOff>
    </xdr:from>
    <xdr:to>
      <xdr:col>11</xdr:col>
      <xdr:colOff>674370</xdr:colOff>
      <xdr:row>21</xdr:row>
      <xdr:rowOff>573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rot="16200000" flipH="1">
          <a:off x="11120439" y="3432405"/>
          <a:ext cx="1152522" cy="1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244384</xdr:colOff>
      <xdr:row>12</xdr:row>
      <xdr:rowOff>145324</xdr:rowOff>
    </xdr:from>
    <xdr:ext cx="854080" cy="264560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2325548" y="2306633"/>
          <a:ext cx="8540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MX" sz="1100"/>
            <a:t>CVaR@99%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746760</xdr:colOff>
      <xdr:row>1</xdr:row>
      <xdr:rowOff>53340</xdr:rowOff>
    </xdr:from>
    <xdr:to>
      <xdr:col>14</xdr:col>
      <xdr:colOff>312420</xdr:colOff>
      <xdr:row>22</xdr:row>
      <xdr:rowOff>175260</xdr:rowOff>
    </xdr:to>
    <xdr:graphicFrame macro="">
      <xdr:nvGraphicFramePr>
        <xdr:cNvPr id="8248" name="Chart 2">
          <a:extLst>
            <a:ext uri="{FF2B5EF4-FFF2-40B4-BE49-F238E27FC236}">
              <a16:creationId xmlns:a16="http://schemas.microsoft.com/office/drawing/2014/main" id="{00000000-0008-0000-0A00-00003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13</xdr:row>
      <xdr:rowOff>7620</xdr:rowOff>
    </xdr:from>
    <xdr:to>
      <xdr:col>14</xdr:col>
      <xdr:colOff>312420</xdr:colOff>
      <xdr:row>29</xdr:row>
      <xdr:rowOff>160020</xdr:rowOff>
    </xdr:to>
    <xdr:graphicFrame macro="">
      <xdr:nvGraphicFramePr>
        <xdr:cNvPr id="7287" name="Chart 1">
          <a:extLst>
            <a:ext uri="{FF2B5EF4-FFF2-40B4-BE49-F238E27FC236}">
              <a16:creationId xmlns:a16="http://schemas.microsoft.com/office/drawing/2014/main" id="{00000000-0008-0000-0B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</xdr:colOff>
      <xdr:row>30</xdr:row>
      <xdr:rowOff>22860</xdr:rowOff>
    </xdr:from>
    <xdr:to>
      <xdr:col>14</xdr:col>
      <xdr:colOff>335280</xdr:colOff>
      <xdr:row>47</xdr:row>
      <xdr:rowOff>7620</xdr:rowOff>
    </xdr:to>
    <xdr:graphicFrame macro="">
      <xdr:nvGraphicFramePr>
        <xdr:cNvPr id="7288" name="Chart 2">
          <a:extLst>
            <a:ext uri="{FF2B5EF4-FFF2-40B4-BE49-F238E27FC236}">
              <a16:creationId xmlns:a16="http://schemas.microsoft.com/office/drawing/2014/main" id="{00000000-0008-0000-0B00-000078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91440</xdr:colOff>
      <xdr:row>13</xdr:row>
      <xdr:rowOff>0</xdr:rowOff>
    </xdr:from>
    <xdr:to>
      <xdr:col>38</xdr:col>
      <xdr:colOff>739140</xdr:colOff>
      <xdr:row>29</xdr:row>
      <xdr:rowOff>60960</xdr:rowOff>
    </xdr:to>
    <xdr:graphicFrame macro="">
      <xdr:nvGraphicFramePr>
        <xdr:cNvPr id="7289" name="Chart 1">
          <a:extLst>
            <a:ext uri="{FF2B5EF4-FFF2-40B4-BE49-F238E27FC236}">
              <a16:creationId xmlns:a16="http://schemas.microsoft.com/office/drawing/2014/main" id="{00000000-0008-0000-0B00-00007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garCastillo" refreshedDate="40568.35600104167" createdVersion="1" refreshedVersion="3" recordCount="1187" upgradeOnRefresh="1" xr:uid="{00000000-000A-0000-FFFF-FFFF1D000000}">
  <cacheSource type="worksheet">
    <worksheetSource ref="A1:W1188" sheet="BDClientes"/>
  </cacheSource>
  <cacheFields count="23">
    <cacheField name="ID" numFmtId="0">
      <sharedItems containsMixedTypes="1" containsNumber="1" containsInteger="1" minValue="1" maxValue="1170"/>
    </cacheField>
    <cacheField name="Nombre" numFmtId="0">
      <sharedItems count="1171">
        <s v="cliente1"/>
        <s v="cliente2"/>
        <s v="cliente3"/>
        <s v="cliente4"/>
        <s v="cliente5"/>
        <s v="cliente6"/>
        <s v="cliente7"/>
        <s v="cliente8"/>
        <s v="cliente9"/>
        <s v="cliente10"/>
        <s v="cliente11"/>
        <s v="cliente12"/>
        <s v="cliente13"/>
        <s v="cliente14"/>
        <s v="cliente15"/>
        <s v="cliente16"/>
        <s v="cliente17"/>
        <s v="cliente18"/>
        <s v="cliente19"/>
        <s v="cliente20"/>
        <s v="cliente21"/>
        <s v="cliente22"/>
        <s v="cliente23"/>
        <s v="cliente24"/>
        <s v="cliente25"/>
        <s v="cliente26"/>
        <s v="cliente27"/>
        <s v="cliente28"/>
        <s v="cliente29"/>
        <s v="cliente30"/>
        <s v="cliente31"/>
        <s v="cliente32"/>
        <s v="cliente33"/>
        <s v="cliente34"/>
        <s v="cliente35"/>
        <s v="cliente36"/>
        <s v="cliente37"/>
        <s v="cliente38"/>
        <s v="cliente39"/>
        <s v="cliente40"/>
        <s v="cliente41"/>
        <s v="cliente42"/>
        <s v="cliente43"/>
        <s v="cliente44"/>
        <s v="cliente45"/>
        <s v="cliente46"/>
        <s v="cliente47"/>
        <s v="cliente48"/>
        <s v="cliente49"/>
        <s v="cliente50"/>
        <s v="cliente51"/>
        <s v="cliente52"/>
        <s v="cliente53"/>
        <s v="cliente54"/>
        <s v="cliente55"/>
        <s v="cliente56"/>
        <s v="cliente57"/>
        <s v="cliente58"/>
        <s v="cliente59"/>
        <s v="cliente60"/>
        <s v="cliente61"/>
        <s v="cliente62"/>
        <s v="cliente63"/>
        <s v="cliente64"/>
        <s v="cliente65"/>
        <s v="cliente66"/>
        <s v="cliente67"/>
        <s v="cliente68"/>
        <s v="cliente69"/>
        <s v="cliente70"/>
        <s v="cliente71"/>
        <s v="cliente72"/>
        <s v="cliente73"/>
        <s v="cliente74"/>
        <s v="cliente75"/>
        <s v="cliente76"/>
        <s v="cliente77"/>
        <s v="cliente78"/>
        <s v="cliente79"/>
        <s v="cliente80"/>
        <s v="cliente81"/>
        <s v="cliente82"/>
        <s v="cliente83"/>
        <s v="cliente84"/>
        <s v="cliente85"/>
        <s v="cliente86"/>
        <s v="cliente87"/>
        <s v="cliente88"/>
        <s v="cliente89"/>
        <s v="cliente90"/>
        <s v="cliente91"/>
        <s v="cliente92"/>
        <s v="cliente93"/>
        <s v="cliente94"/>
        <s v="cliente95"/>
        <s v="cliente96"/>
        <s v="cliente97"/>
        <s v="cliente98"/>
        <s v="cliente99"/>
        <s v="cliente100"/>
        <s v="cliente101"/>
        <s v="cliente102"/>
        <s v="cliente103"/>
        <s v="cliente104"/>
        <s v="cliente105"/>
        <s v="cliente106"/>
        <s v="cliente107"/>
        <s v="cliente108"/>
        <s v="cliente109"/>
        <s v="cliente110"/>
        <s v="cliente111"/>
        <s v="cliente112"/>
        <s v="cliente113"/>
        <s v="cliente114"/>
        <s v="cliente115"/>
        <s v="cliente116"/>
        <s v="cliente117"/>
        <s v="cliente118"/>
        <s v="cliente119"/>
        <s v="cliente120"/>
        <s v="cliente121"/>
        <s v="cliente122"/>
        <s v="cliente123"/>
        <s v="cliente124"/>
        <s v="cliente125"/>
        <s v="cliente126"/>
        <s v="cliente127"/>
        <s v="cliente128"/>
        <s v="cliente129"/>
        <s v="cliente130"/>
        <s v="cliente131"/>
        <s v="cliente132"/>
        <s v="cliente133"/>
        <s v="cliente134"/>
        <s v="cliente135"/>
        <s v="cliente136"/>
        <s v="cliente137"/>
        <s v="cliente138"/>
        <s v="cliente139"/>
        <s v="cliente140"/>
        <s v="cliente141"/>
        <s v="cliente142"/>
        <s v="cliente143"/>
        <s v="cliente144"/>
        <s v="cliente145"/>
        <s v="cliente146"/>
        <s v="cliente147"/>
        <s v="cliente148"/>
        <s v="cliente149"/>
        <s v="cliente150"/>
        <s v="cliente151"/>
        <s v="cliente152"/>
        <s v="cliente153"/>
        <s v="cliente154"/>
        <s v="cliente155"/>
        <s v="cliente156"/>
        <s v="cliente157"/>
        <s v="cliente158"/>
        <s v="cliente159"/>
        <s v="cliente160"/>
        <s v="cliente161"/>
        <s v="cliente162"/>
        <s v="cliente163"/>
        <s v="cliente164"/>
        <s v="cliente165"/>
        <s v="cliente166"/>
        <s v="cliente167"/>
        <s v="cliente168"/>
        <s v="cliente169"/>
        <s v="cliente170"/>
        <s v="cliente171"/>
        <s v="cliente172"/>
        <s v="cliente173"/>
        <s v="cliente174"/>
        <s v="cliente175"/>
        <s v="cliente176"/>
        <s v="cliente177"/>
        <s v="cliente178"/>
        <s v="cliente179"/>
        <s v="cliente180"/>
        <s v="cliente181"/>
        <s v="cliente182"/>
        <s v="cliente183"/>
        <s v="cliente184"/>
        <s v="cliente185"/>
        <s v="cliente186"/>
        <s v="cliente187"/>
        <s v="cliente188"/>
        <s v="cliente189"/>
        <s v="cliente190"/>
        <s v="cliente191"/>
        <s v="cliente192"/>
        <s v="cliente193"/>
        <s v="cliente194"/>
        <s v="cliente195"/>
        <s v="cliente196"/>
        <s v="cliente197"/>
        <s v="cliente198"/>
        <s v="cliente199"/>
        <s v="cliente200"/>
        <s v="cliente201"/>
        <s v="cliente202"/>
        <s v="cliente203"/>
        <s v="cliente204"/>
        <s v="cliente205"/>
        <s v="cliente206"/>
        <s v="cliente207"/>
        <s v="cliente208"/>
        <s v="cliente209"/>
        <s v="cliente210"/>
        <s v="cliente211"/>
        <s v="cliente212"/>
        <s v="cliente213"/>
        <s v="cliente214"/>
        <s v="cliente215"/>
        <s v="cliente216"/>
        <s v="cliente217"/>
        <s v="cliente218"/>
        <s v="cliente219"/>
        <s v="cliente220"/>
        <s v="cliente221"/>
        <s v="cliente222"/>
        <s v="cliente223"/>
        <s v="cliente224"/>
        <s v="cliente225"/>
        <s v="cliente226"/>
        <s v="cliente227"/>
        <s v="cliente228"/>
        <s v="cliente229"/>
        <s v="cliente230"/>
        <s v="cliente231"/>
        <s v="cliente232"/>
        <s v="cliente233"/>
        <s v="cliente234"/>
        <s v="cliente235"/>
        <s v="cliente236"/>
        <s v="cliente237"/>
        <s v="cliente238"/>
        <s v="cliente239"/>
        <s v="cliente240"/>
        <s v="cliente241"/>
        <s v="cliente242"/>
        <s v="cliente243"/>
        <s v="cliente244"/>
        <s v="cliente245"/>
        <s v="cliente246"/>
        <s v="cliente247"/>
        <s v="cliente248"/>
        <s v="cliente249"/>
        <s v="cliente250"/>
        <s v="cliente251"/>
        <s v="cliente252"/>
        <s v="cliente253"/>
        <s v="cliente254"/>
        <s v="cliente255"/>
        <s v="cliente256"/>
        <s v="cliente257"/>
        <s v="cliente258"/>
        <s v="cliente259"/>
        <s v="cliente260"/>
        <s v="cliente261"/>
        <s v="cliente262"/>
        <s v="cliente263"/>
        <s v="cliente264"/>
        <s v="cliente265"/>
        <s v="cliente266"/>
        <s v="cliente267"/>
        <s v="cliente268"/>
        <s v="cliente269"/>
        <s v="cliente270"/>
        <s v="cliente271"/>
        <s v="cliente272"/>
        <s v="cliente273"/>
        <s v="cliente274"/>
        <s v="cliente275"/>
        <s v="cliente276"/>
        <s v="cliente277"/>
        <s v="cliente278"/>
        <s v="cliente279"/>
        <s v="cliente280"/>
        <s v="cliente281"/>
        <s v="cliente282"/>
        <s v="cliente283"/>
        <s v="cliente284"/>
        <s v="cliente285"/>
        <s v="cliente286"/>
        <s v="cliente287"/>
        <s v="cliente288"/>
        <s v="cliente289"/>
        <s v="cliente290"/>
        <s v="cliente291"/>
        <s v="cliente292"/>
        <s v="cliente293"/>
        <s v="cliente294"/>
        <s v="cliente295"/>
        <s v="cliente296"/>
        <s v="cliente297"/>
        <s v="cliente298"/>
        <s v="cliente299"/>
        <s v="cliente300"/>
        <s v="cliente301"/>
        <s v="cliente302"/>
        <s v="cliente303"/>
        <s v="cliente304"/>
        <s v="cliente305"/>
        <s v="cliente306"/>
        <s v="cliente307"/>
        <s v="cliente308"/>
        <s v="cliente309"/>
        <s v="cliente310"/>
        <s v="cliente311"/>
        <s v="cliente312"/>
        <s v="cliente313"/>
        <s v="cliente314"/>
        <s v="cliente315"/>
        <s v="cliente316"/>
        <s v="cliente317"/>
        <s v="cliente318"/>
        <s v="cliente319"/>
        <s v="cliente320"/>
        <s v="cliente321"/>
        <s v="cliente322"/>
        <s v="cliente323"/>
        <s v="cliente324"/>
        <s v="cliente325"/>
        <s v="cliente326"/>
        <s v="cliente327"/>
        <s v="cliente328"/>
        <s v="cliente329"/>
        <s v="cliente330"/>
        <s v="cliente331"/>
        <s v="cliente332"/>
        <s v="cliente333"/>
        <s v="cliente334"/>
        <s v="cliente335"/>
        <s v="cliente336"/>
        <s v="cliente337"/>
        <s v="cliente338"/>
        <s v="cliente339"/>
        <s v="cliente340"/>
        <s v="cliente341"/>
        <s v="cliente342"/>
        <s v="cliente343"/>
        <s v="cliente344"/>
        <s v="cliente345"/>
        <s v="cliente346"/>
        <s v="cliente347"/>
        <s v="cliente348"/>
        <s v="cliente349"/>
        <s v="cliente350"/>
        <s v="cliente351"/>
        <s v="cliente352"/>
        <s v="cliente353"/>
        <s v="cliente354"/>
        <s v="cliente355"/>
        <s v="cliente356"/>
        <s v="cliente357"/>
        <s v="cliente358"/>
        <s v="cliente359"/>
        <s v="cliente360"/>
        <s v="cliente361"/>
        <s v="cliente362"/>
        <s v="cliente363"/>
        <s v="cliente364"/>
        <s v="cliente365"/>
        <s v="cliente366"/>
        <s v="cliente367"/>
        <s v="cliente368"/>
        <s v="cliente369"/>
        <s v="cliente370"/>
        <s v="cliente371"/>
        <s v="cliente372"/>
        <s v="cliente373"/>
        <s v="cliente374"/>
        <s v="cliente375"/>
        <s v="cliente376"/>
        <s v="cliente377"/>
        <s v="cliente378"/>
        <s v="cliente379"/>
        <s v="cliente380"/>
        <s v="cliente381"/>
        <s v="cliente382"/>
        <s v="cliente383"/>
        <s v="cliente384"/>
        <s v="cliente385"/>
        <s v="cliente386"/>
        <s v="cliente387"/>
        <s v="cliente388"/>
        <s v="cliente389"/>
        <s v="cliente390"/>
        <s v="cliente391"/>
        <s v="cliente392"/>
        <s v="cliente393"/>
        <s v="cliente394"/>
        <s v="cliente395"/>
        <s v="cliente396"/>
        <s v="cliente397"/>
        <s v="cliente398"/>
        <s v="cliente399"/>
        <s v="cliente400"/>
        <s v="cliente401"/>
        <s v="cliente402"/>
        <s v="cliente403"/>
        <s v="cliente404"/>
        <s v="cliente405"/>
        <s v="cliente406"/>
        <s v="cliente407"/>
        <s v="cliente408"/>
        <s v="cliente409"/>
        <s v="cliente410"/>
        <s v="cliente411"/>
        <s v="cliente412"/>
        <s v="cliente413"/>
        <s v="cliente414"/>
        <s v="cliente415"/>
        <s v="cliente416"/>
        <s v="cliente417"/>
        <s v="cliente418"/>
        <s v="cliente419"/>
        <s v="cliente420"/>
        <s v="cliente421"/>
        <s v="cliente422"/>
        <s v="cliente423"/>
        <s v="cliente424"/>
        <s v="cliente425"/>
        <s v="cliente426"/>
        <s v="cliente427"/>
        <s v="cliente428"/>
        <s v="cliente429"/>
        <s v="cliente430"/>
        <s v="cliente431"/>
        <s v="cliente432"/>
        <s v="cliente433"/>
        <s v="cliente434"/>
        <s v="cliente435"/>
        <s v="cliente436"/>
        <s v="cliente437"/>
        <s v="cliente438"/>
        <s v="cliente439"/>
        <s v="cliente440"/>
        <s v="cliente441"/>
        <s v="cliente442"/>
        <s v="cliente443"/>
        <s v="cliente444"/>
        <s v="cliente445"/>
        <s v="cliente446"/>
        <s v="cliente447"/>
        <s v="cliente448"/>
        <s v="cliente449"/>
        <s v="cliente450"/>
        <s v="cliente451"/>
        <s v="cliente452"/>
        <s v="cliente453"/>
        <s v="cliente454"/>
        <s v="cliente455"/>
        <s v="cliente456"/>
        <s v="cliente457"/>
        <s v="cliente458"/>
        <s v="cliente459"/>
        <s v="cliente460"/>
        <s v="cliente461"/>
        <s v="cliente462"/>
        <s v="cliente463"/>
        <s v="cliente464"/>
        <s v="cliente465"/>
        <s v="cliente466"/>
        <s v="cliente467"/>
        <s v="cliente468"/>
        <s v="cliente469"/>
        <s v="cliente470"/>
        <s v="cliente471"/>
        <s v="cliente472"/>
        <s v="cliente473"/>
        <s v="cliente474"/>
        <s v="cliente475"/>
        <s v="cliente476"/>
        <s v="cliente477"/>
        <s v="cliente478"/>
        <s v="cliente479"/>
        <s v="cliente480"/>
        <s v="cliente481"/>
        <s v="cliente482"/>
        <s v="cliente483"/>
        <s v="cliente484"/>
        <s v="cliente485"/>
        <s v="cliente486"/>
        <s v="cliente487"/>
        <s v="cliente488"/>
        <s v="cliente489"/>
        <s v="cliente490"/>
        <s v="cliente491"/>
        <s v="cliente492"/>
        <s v="cliente493"/>
        <s v="cliente494"/>
        <s v="cliente495"/>
        <s v="cliente496"/>
        <s v="cliente497"/>
        <s v="cliente498"/>
        <s v="cliente499"/>
        <s v="cliente500"/>
        <s v="cliente501"/>
        <s v="cliente502"/>
        <s v="cliente503"/>
        <s v="cliente504"/>
        <s v="cliente505"/>
        <s v="cliente506"/>
        <s v="cliente507"/>
        <s v="cliente508"/>
        <s v="cliente509"/>
        <s v="cliente510"/>
        <s v="cliente511"/>
        <s v="cliente512"/>
        <s v="cliente513"/>
        <s v="cliente514"/>
        <s v="cliente515"/>
        <s v="cliente516"/>
        <s v="cliente517"/>
        <s v="cliente518"/>
        <s v="cliente519"/>
        <s v="cliente520"/>
        <s v="cliente521"/>
        <s v="cliente522"/>
        <s v="cliente523"/>
        <s v="cliente524"/>
        <s v="cliente525"/>
        <s v="cliente526"/>
        <s v="cliente527"/>
        <s v="cliente528"/>
        <s v="cliente529"/>
        <s v="cliente530"/>
        <s v="cliente531"/>
        <s v="cliente532"/>
        <s v="cliente533"/>
        <s v="cliente534"/>
        <s v="cliente535"/>
        <s v="cliente536"/>
        <s v="cliente537"/>
        <s v="cliente538"/>
        <s v="cliente539"/>
        <s v="cliente540"/>
        <s v="cliente541"/>
        <s v="cliente542"/>
        <s v="cliente543"/>
        <s v="cliente544"/>
        <s v="cliente545"/>
        <s v="cliente546"/>
        <s v="cliente547"/>
        <s v="cliente548"/>
        <s v="cliente549"/>
        <s v="cliente550"/>
        <s v="cliente551"/>
        <s v="cliente552"/>
        <s v="cliente553"/>
        <s v="cliente554"/>
        <s v="cliente555"/>
        <s v="cliente556"/>
        <s v="cliente557"/>
        <s v="cliente558"/>
        <s v="cliente559"/>
        <s v="cliente560"/>
        <s v="cliente561"/>
        <s v="cliente562"/>
        <s v="cliente563"/>
        <s v="cliente564"/>
        <s v="cliente565"/>
        <s v="cliente566"/>
        <s v="cliente567"/>
        <s v="cliente568"/>
        <s v="cliente569"/>
        <s v="cliente570"/>
        <s v="cliente571"/>
        <s v="cliente572"/>
        <s v="cliente573"/>
        <s v="cliente574"/>
        <s v="cliente575"/>
        <s v="cliente576"/>
        <s v="cliente577"/>
        <s v="cliente578"/>
        <s v="cliente579"/>
        <s v="cliente580"/>
        <s v="cliente581"/>
        <s v="cliente582"/>
        <s v="cliente583"/>
        <s v="cliente584"/>
        <s v="cliente585"/>
        <s v="cliente586"/>
        <s v="cliente587"/>
        <s v="cliente588"/>
        <s v="cliente589"/>
        <s v="cliente590"/>
        <s v="cliente591"/>
        <s v="cliente592"/>
        <s v="cliente593"/>
        <s v="cliente594"/>
        <s v="cliente595"/>
        <s v="cliente596"/>
        <s v="cliente597"/>
        <s v="cliente598"/>
        <s v="cliente599"/>
        <s v="cliente600"/>
        <s v="cliente601"/>
        <s v="cliente602"/>
        <s v="cliente603"/>
        <s v="cliente604"/>
        <s v="cliente605"/>
        <s v="cliente606"/>
        <s v="cliente607"/>
        <s v="cliente608"/>
        <s v="cliente609"/>
        <s v="cliente610"/>
        <s v="cliente611"/>
        <s v="cliente612"/>
        <s v="cliente613"/>
        <s v="cliente614"/>
        <s v="cliente615"/>
        <s v="cliente616"/>
        <s v="cliente617"/>
        <s v="cliente618"/>
        <s v="cliente619"/>
        <s v="cliente620"/>
        <s v="cliente621"/>
        <s v="cliente622"/>
        <s v="cliente623"/>
        <s v="cliente624"/>
        <s v="cliente625"/>
        <s v="cliente626"/>
        <s v="cliente627"/>
        <s v="cliente628"/>
        <s v="cliente629"/>
        <s v="cliente630"/>
        <s v="cliente631"/>
        <s v="cliente632"/>
        <s v="cliente633"/>
        <s v="cliente634"/>
        <s v="cliente635"/>
        <s v="cliente636"/>
        <s v="cliente637"/>
        <s v="cliente638"/>
        <s v="cliente639"/>
        <s v="cliente640"/>
        <s v="cliente641"/>
        <s v="cliente642"/>
        <s v="cliente643"/>
        <s v="cliente644"/>
        <s v="cliente645"/>
        <s v="cliente646"/>
        <s v="cliente647"/>
        <s v="cliente648"/>
        <s v="cliente649"/>
        <s v="cliente650"/>
        <s v="cliente651"/>
        <s v="cliente652"/>
        <s v="cliente653"/>
        <s v="cliente654"/>
        <s v="cliente655"/>
        <s v="cliente656"/>
        <s v="cliente657"/>
        <s v="cliente658"/>
        <s v="cliente659"/>
        <s v="cliente660"/>
        <s v="cliente661"/>
        <s v="cliente662"/>
        <s v="cliente663"/>
        <s v="cliente664"/>
        <s v="cliente665"/>
        <s v="cliente666"/>
        <s v="cliente667"/>
        <s v="cliente668"/>
        <s v="cliente669"/>
        <s v="cliente670"/>
        <s v="cliente671"/>
        <s v="cliente672"/>
        <s v="cliente673"/>
        <s v="cliente674"/>
        <s v="cliente675"/>
        <s v="cliente676"/>
        <s v="cliente677"/>
        <s v="cliente678"/>
        <s v="cliente679"/>
        <s v="cliente680"/>
        <s v="cliente681"/>
        <s v="cliente682"/>
        <s v="cliente683"/>
        <s v="cliente684"/>
        <s v="cliente685"/>
        <s v="cliente686"/>
        <s v="cliente687"/>
        <s v="cliente688"/>
        <s v="cliente689"/>
        <s v="cliente690"/>
        <s v="cliente691"/>
        <s v="cliente692"/>
        <s v="cliente693"/>
        <s v="cliente694"/>
        <s v="cliente695"/>
        <s v="cliente696"/>
        <s v="cliente697"/>
        <s v="cliente698"/>
        <s v="cliente699"/>
        <s v="cliente700"/>
        <s v="cliente701"/>
        <s v="cliente702"/>
        <s v="cliente703"/>
        <s v="cliente704"/>
        <s v="cliente705"/>
        <s v="cliente706"/>
        <s v="cliente707"/>
        <s v="cliente708"/>
        <s v="cliente709"/>
        <s v="cliente710"/>
        <s v="cliente711"/>
        <s v="cliente712"/>
        <s v="cliente713"/>
        <s v="cliente714"/>
        <s v="cliente715"/>
        <s v="cliente716"/>
        <s v="cliente717"/>
        <s v="cliente718"/>
        <s v="cliente719"/>
        <s v="cliente720"/>
        <s v="cliente721"/>
        <s v="cliente722"/>
        <s v="cliente723"/>
        <s v="cliente724"/>
        <s v="cliente725"/>
        <s v="cliente726"/>
        <s v="cliente727"/>
        <s v="cliente728"/>
        <s v="cliente729"/>
        <s v="cliente730"/>
        <s v="cliente731"/>
        <s v="cliente732"/>
        <s v="cliente733"/>
        <s v="cliente734"/>
        <s v="cliente735"/>
        <s v="cliente736"/>
        <s v="cliente737"/>
        <s v="cliente738"/>
        <s v="cliente739"/>
        <s v="cliente740"/>
        <s v="cliente741"/>
        <s v="cliente742"/>
        <s v="cliente743"/>
        <s v="cliente744"/>
        <s v="cliente745"/>
        <s v="cliente746"/>
        <s v="cliente747"/>
        <s v="cliente748"/>
        <s v="cliente749"/>
        <s v="cliente750"/>
        <s v="cliente751"/>
        <s v="cliente752"/>
        <s v="cliente753"/>
        <s v="cliente754"/>
        <s v="cliente755"/>
        <s v="cliente756"/>
        <s v="cliente757"/>
        <s v="cliente758"/>
        <s v="cliente759"/>
        <s v="cliente760"/>
        <s v="cliente761"/>
        <s v="cliente762"/>
        <s v="cliente763"/>
        <s v="cliente764"/>
        <s v="cliente765"/>
        <s v="cliente766"/>
        <s v="cliente767"/>
        <s v="cliente768"/>
        <s v="cliente769"/>
        <s v="cliente770"/>
        <s v="cliente771"/>
        <s v="cliente772"/>
        <s v="cliente773"/>
        <s v="cliente774"/>
        <s v="cliente775"/>
        <s v="cliente776"/>
        <s v="cliente777"/>
        <s v="cliente778"/>
        <s v="cliente779"/>
        <s v="cliente780"/>
        <s v="cliente781"/>
        <s v="cliente782"/>
        <s v="cliente783"/>
        <s v="cliente784"/>
        <s v="cliente785"/>
        <s v="cliente786"/>
        <s v="cliente787"/>
        <s v="cliente788"/>
        <s v="cliente789"/>
        <s v="cliente790"/>
        <s v="cliente791"/>
        <s v="cliente792"/>
        <s v="cliente793"/>
        <s v="cliente794"/>
        <s v="cliente795"/>
        <s v="cliente796"/>
        <s v="cliente797"/>
        <s v="cliente798"/>
        <s v="cliente799"/>
        <s v="cliente800"/>
        <s v="cliente801"/>
        <s v="cliente802"/>
        <s v="cliente803"/>
        <s v="cliente804"/>
        <s v="cliente805"/>
        <s v="cliente806"/>
        <s v="cliente807"/>
        <s v="cliente808"/>
        <s v="cliente809"/>
        <s v="cliente810"/>
        <s v="cliente811"/>
        <s v="cliente812"/>
        <s v="cliente813"/>
        <s v="cliente814"/>
        <s v="cliente815"/>
        <s v="cliente816"/>
        <s v="cliente817"/>
        <s v="cliente818"/>
        <s v="cliente819"/>
        <s v="cliente820"/>
        <s v="cliente821"/>
        <s v="cliente822"/>
        <s v="cliente823"/>
        <s v="cliente824"/>
        <s v="cliente825"/>
        <s v="cliente826"/>
        <s v="cliente827"/>
        <s v="cliente828"/>
        <s v="cliente829"/>
        <s v="cliente830"/>
        <s v="cliente831"/>
        <s v="cliente832"/>
        <s v="cliente833"/>
        <s v="cliente834"/>
        <s v="cliente835"/>
        <s v="cliente836"/>
        <s v="cliente837"/>
        <s v="cliente838"/>
        <s v="cliente839"/>
        <s v="cliente840"/>
        <s v="cliente841"/>
        <s v="cliente842"/>
        <s v="cliente843"/>
        <s v="cliente844"/>
        <s v="cliente845"/>
        <s v="cliente846"/>
        <s v="cliente847"/>
        <s v="cliente848"/>
        <s v="cliente849"/>
        <s v="cliente850"/>
        <s v="cliente851"/>
        <s v="cliente852"/>
        <s v="cliente853"/>
        <s v="cliente854"/>
        <s v="cliente855"/>
        <s v="cliente856"/>
        <s v="cliente857"/>
        <s v="cliente858"/>
        <s v="cliente859"/>
        <s v="cliente860"/>
        <s v="cliente861"/>
        <s v="cliente862"/>
        <s v="cliente863"/>
        <s v="cliente864"/>
        <s v="cliente865"/>
        <s v="cliente866"/>
        <s v="cliente867"/>
        <s v="cliente868"/>
        <s v="cliente869"/>
        <s v="cliente870"/>
        <s v="cliente871"/>
        <s v="cliente872"/>
        <s v="cliente873"/>
        <s v="cliente874"/>
        <s v="cliente875"/>
        <s v="cliente876"/>
        <s v="cliente877"/>
        <s v="cliente878"/>
        <s v="cliente879"/>
        <s v="cliente880"/>
        <s v="cliente881"/>
        <s v="cliente882"/>
        <s v="cliente883"/>
        <s v="cliente884"/>
        <s v="cliente885"/>
        <s v="cliente886"/>
        <s v="cliente887"/>
        <s v="cliente888"/>
        <s v="cliente889"/>
        <s v="cliente890"/>
        <s v="cliente891"/>
        <s v="cliente892"/>
        <s v="cliente893"/>
        <s v="cliente894"/>
        <s v="cliente895"/>
        <s v="cliente896"/>
        <s v="cliente897"/>
        <s v="cliente898"/>
        <s v="cliente899"/>
        <s v="cliente900"/>
        <s v="cliente901"/>
        <s v="cliente902"/>
        <s v="cliente903"/>
        <s v="cliente904"/>
        <s v="cliente905"/>
        <s v="cliente906"/>
        <s v="cliente907"/>
        <s v="cliente908"/>
        <s v="cliente909"/>
        <s v="cliente910"/>
        <s v="cliente911"/>
        <s v="cliente912"/>
        <s v="cliente913"/>
        <s v="cliente914"/>
        <s v="cliente915"/>
        <s v="cliente916"/>
        <s v="cliente917"/>
        <s v="cliente918"/>
        <s v="cliente919"/>
        <s v="cliente920"/>
        <s v="cliente921"/>
        <s v="cliente922"/>
        <s v="cliente923"/>
        <s v="cliente924"/>
        <s v="cliente925"/>
        <s v="cliente926"/>
        <s v="cliente927"/>
        <s v="cliente928"/>
        <s v="cliente929"/>
        <s v="cliente930"/>
        <s v="cliente931"/>
        <s v="cliente932"/>
        <s v="cliente933"/>
        <s v="cliente934"/>
        <s v="cliente935"/>
        <s v="cliente936"/>
        <s v="cliente937"/>
        <s v="cliente938"/>
        <s v="cliente939"/>
        <s v="cliente940"/>
        <s v="cliente941"/>
        <s v="cliente942"/>
        <s v="cliente943"/>
        <s v="cliente944"/>
        <s v="cliente945"/>
        <s v="cliente946"/>
        <s v="cliente947"/>
        <s v="cliente948"/>
        <s v="cliente949"/>
        <s v="cliente950"/>
        <s v="cliente951"/>
        <s v="cliente952"/>
        <s v="cliente953"/>
        <s v="cliente954"/>
        <s v="cliente955"/>
        <s v="cliente956"/>
        <s v="cliente957"/>
        <s v="cliente958"/>
        <s v="cliente959"/>
        <s v="cliente960"/>
        <s v="cliente961"/>
        <s v="cliente962"/>
        <s v="cliente963"/>
        <s v="cliente964"/>
        <s v="cliente965"/>
        <s v="cliente966"/>
        <s v="cliente967"/>
        <s v="cliente968"/>
        <s v="cliente969"/>
        <s v="cliente970"/>
        <s v="cliente971"/>
        <s v="cliente972"/>
        <s v="cliente973"/>
        <s v="cliente974"/>
        <s v="cliente975"/>
        <s v="cliente976"/>
        <s v="cliente977"/>
        <s v="cliente978"/>
        <s v="cliente979"/>
        <s v="cliente980"/>
        <s v="cliente981"/>
        <s v="cliente982"/>
        <s v="cliente983"/>
        <s v="cliente984"/>
        <s v="cliente985"/>
        <s v="cliente986"/>
        <s v="cliente987"/>
        <s v="cliente988"/>
        <s v="cliente989"/>
        <s v="cliente990"/>
        <s v="cliente991"/>
        <s v="cliente992"/>
        <s v="cliente993"/>
        <s v="cliente994"/>
        <s v="cliente995"/>
        <s v="cliente996"/>
        <s v="cliente997"/>
        <s v="cliente998"/>
        <s v="cliente999"/>
        <s v="cliente1000"/>
        <s v="cliente1001"/>
        <s v="cliente1002"/>
        <s v="cliente1003"/>
        <s v="cliente1004"/>
        <s v="cliente1005"/>
        <s v="cliente1006"/>
        <s v="cliente1007"/>
        <s v="cliente1008"/>
        <s v="cliente1009"/>
        <s v="cliente1010"/>
        <s v="cliente1011"/>
        <s v="cliente1012"/>
        <s v="cliente1013"/>
        <s v="cliente1014"/>
        <s v="cliente1015"/>
        <s v="cliente1016"/>
        <s v="cliente1017"/>
        <s v="cliente1018"/>
        <s v="cliente1019"/>
        <s v="cliente1020"/>
        <s v="cliente1021"/>
        <s v="cliente1022"/>
        <s v="cliente1023"/>
        <s v="cliente1024"/>
        <s v="cliente1025"/>
        <s v="cliente1026"/>
        <s v="cliente1027"/>
        <s v="cliente1028"/>
        <s v="cliente1029"/>
        <s v="cliente1030"/>
        <s v="cliente1031"/>
        <s v="cliente1032"/>
        <s v="cliente1033"/>
        <s v="cliente1034"/>
        <s v="cliente1035"/>
        <s v="cliente1036"/>
        <s v="cliente1037"/>
        <s v="cliente1038"/>
        <s v="cliente1039"/>
        <s v="cliente1040"/>
        <s v="cliente1041"/>
        <s v="cliente1042"/>
        <s v="cliente1043"/>
        <s v="cliente1044"/>
        <s v="cliente1045"/>
        <s v="cliente1046"/>
        <s v="cliente1047"/>
        <s v="cliente1048"/>
        <s v="cliente1049"/>
        <s v="cliente1050"/>
        <s v="cliente1051"/>
        <s v="cliente1052"/>
        <s v="cliente1053"/>
        <s v="cliente1054"/>
        <s v="cliente1055"/>
        <s v="cliente1056"/>
        <s v="cliente1057"/>
        <s v="cliente1058"/>
        <s v="cliente1059"/>
        <s v="cliente1060"/>
        <s v="cliente1061"/>
        <s v="cliente1062"/>
        <s v="cliente1063"/>
        <s v="cliente1064"/>
        <s v="cliente1065"/>
        <s v="cliente1066"/>
        <s v="cliente1067"/>
        <s v="cliente1068"/>
        <s v="cliente1069"/>
        <s v="cliente1070"/>
        <s v="cliente1071"/>
        <s v="cliente1072"/>
        <s v="cliente1073"/>
        <s v="cliente1074"/>
        <s v="cliente1075"/>
        <s v="cliente1076"/>
        <s v="cliente1077"/>
        <s v="cliente1078"/>
        <s v="cliente1079"/>
        <s v="cliente1080"/>
        <s v="cliente1081"/>
        <s v="cliente1082"/>
        <s v="cliente1083"/>
        <s v="cliente1084"/>
        <s v="cliente1085"/>
        <s v="cliente1086"/>
        <s v="cliente1087"/>
        <s v="cliente1088"/>
        <s v="cliente1089"/>
        <s v="cliente1090"/>
        <s v="cliente1091"/>
        <s v="cliente1092"/>
        <s v="cliente1093"/>
        <s v="cliente1094"/>
        <s v="cliente1095"/>
        <s v="cliente1096"/>
        <s v="cliente1097"/>
        <s v="cliente1098"/>
        <s v="cliente1099"/>
        <s v="cliente1100"/>
        <s v="cliente1101"/>
        <s v="cliente1102"/>
        <s v="cliente1103"/>
        <s v="cliente1104"/>
        <s v="cliente1105"/>
        <s v="cliente1106"/>
        <s v="cliente1107"/>
        <s v="cliente1108"/>
        <s v="cliente1109"/>
        <s v="cliente1110"/>
        <s v="cliente1111"/>
        <s v="cliente1112"/>
        <s v="cliente1113"/>
        <s v="cliente1114"/>
        <s v="cliente1115"/>
        <s v="cliente1116"/>
        <s v="cliente1117"/>
        <s v="cliente1118"/>
        <s v="cliente1119"/>
        <s v="cliente1120"/>
        <s v="cliente1121"/>
        <s v="cliente1122"/>
        <s v="cliente1123"/>
        <s v="cliente1124"/>
        <s v="cliente1125"/>
        <s v="cliente1126"/>
        <s v="cliente1127"/>
        <s v="cliente1128"/>
        <s v="cliente1129"/>
        <s v="cliente1130"/>
        <s v="cliente1131"/>
        <s v="cliente1132"/>
        <s v="cliente1133"/>
        <s v="cliente1134"/>
        <s v="cliente1135"/>
        <s v="cliente1136"/>
        <s v="cliente1137"/>
        <s v="cliente1138"/>
        <s v="cliente1139"/>
        <s v="cliente1140"/>
        <s v="cliente1141"/>
        <s v="cliente1142"/>
        <s v="cliente1143"/>
        <s v="cliente1144"/>
        <s v="cliente1145"/>
        <s v="cliente1146"/>
        <s v="cliente1147"/>
        <s v="cliente1148"/>
        <s v="cliente1149"/>
        <s v="cliente1150"/>
        <s v="cliente1151"/>
        <s v="cliente1152"/>
        <s v="cliente1153"/>
        <s v="cliente1154"/>
        <s v="cliente1155"/>
        <s v="cliente1156"/>
        <s v="cliente1157"/>
        <s v="cliente1158"/>
        <s v="cliente1159"/>
        <s v="cliente1160"/>
        <s v="cliente1161"/>
        <s v="cliente1162"/>
        <s v="cliente1163"/>
        <s v="cliente1164"/>
        <s v="cliente1165"/>
        <s v="cliente1166"/>
        <s v="cliente1167"/>
        <s v="cliente1168"/>
        <s v="cliente1169"/>
        <s v="cliente1170"/>
        <s v="Temporales"/>
      </sharedItems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 count="17">
        <n v="73"/>
        <n v="0"/>
        <n v="83"/>
        <n v="80"/>
        <n v="65"/>
        <n v="22"/>
        <n v="87"/>
        <n v="77"/>
        <n v="40"/>
        <n v="60"/>
        <n v="85"/>
        <n v="70"/>
        <n v="75"/>
        <n v="90"/>
        <n v="95"/>
        <n v="93"/>
        <n v="99"/>
      </sharedItems>
    </cacheField>
    <cacheField name="dic-06" numFmtId="0">
      <sharedItems containsSemiMixedTypes="0" containsString="0" containsNumber="1" containsInteger="1" minValue="0" maxValue="99" count="17">
        <n v="73"/>
        <n v="65"/>
        <n v="0"/>
        <n v="83"/>
        <n v="80"/>
        <n v="22"/>
        <n v="87"/>
        <n v="77"/>
        <n v="60"/>
        <n v="40"/>
        <n v="85"/>
        <n v="70"/>
        <n v="75"/>
        <n v="90"/>
        <n v="95"/>
        <n v="93"/>
        <n v="99"/>
      </sharedItems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 count="17">
        <n v="77"/>
        <n v="60"/>
        <n v="80"/>
        <n v="0"/>
        <n v="85"/>
        <n v="83"/>
        <n v="22"/>
        <n v="73"/>
        <n v="87"/>
        <n v="40"/>
        <n v="65"/>
        <n v="75"/>
        <n v="70"/>
        <n v="90"/>
        <n v="93"/>
        <n v="95"/>
        <n v="99"/>
      </sharedItems>
    </cacheField>
    <cacheField name="sep-07" numFmtId="0">
      <sharedItems containsSemiMixedTypes="0" containsString="0" containsNumber="1" containsInteger="1" minValue="0" maxValue="99" count="17">
        <n v="73"/>
        <n v="65"/>
        <n v="80"/>
        <n v="0"/>
        <n v="85"/>
        <n v="83"/>
        <n v="22"/>
        <n v="87"/>
        <n v="70"/>
        <n v="77"/>
        <n v="60"/>
        <n v="75"/>
        <n v="90"/>
        <n v="40"/>
        <n v="93"/>
        <n v="95"/>
        <n v="99"/>
      </sharedItems>
    </cacheField>
    <cacheField name="dic-07" numFmtId="0">
      <sharedItems containsSemiMixedTypes="0" containsString="0" containsNumber="1" containsInteger="1" minValue="0" maxValue="99" count="17">
        <n v="65"/>
        <n v="77"/>
        <n v="0"/>
        <n v="80"/>
        <n v="85"/>
        <n v="22"/>
        <n v="83"/>
        <n v="73"/>
        <n v="87"/>
        <n v="40"/>
        <n v="70"/>
        <n v="60"/>
        <n v="75"/>
        <n v="90"/>
        <n v="93"/>
        <n v="95"/>
        <n v="99"/>
      </sharedItems>
    </cacheField>
    <cacheField name="mar-08" numFmtId="0">
      <sharedItems containsSemiMixedTypes="0" containsString="0" containsNumber="1" containsInteger="1" minValue="0" maxValue="99" count="17">
        <n v="77"/>
        <n v="70"/>
        <n v="83"/>
        <n v="0"/>
        <n v="85"/>
        <n v="80"/>
        <n v="22"/>
        <n v="87"/>
        <n v="73"/>
        <n v="65"/>
        <n v="40"/>
        <n v="75"/>
        <n v="60"/>
        <n v="90"/>
        <n v="93"/>
        <n v="95"/>
        <n v="99"/>
      </sharedItems>
    </cacheField>
    <cacheField name="jun-08" numFmtId="0">
      <sharedItems containsSemiMixedTypes="0" containsString="0" containsNumber="1" containsInteger="1" minValue="0" maxValue="99" count="17">
        <n v="75"/>
        <n v="65"/>
        <n v="87"/>
        <n v="0"/>
        <n v="85"/>
        <n v="77"/>
        <n v="83"/>
        <n v="22"/>
        <n v="80"/>
        <n v="73"/>
        <n v="70"/>
        <n v="60"/>
        <n v="40"/>
        <n v="90"/>
        <n v="93"/>
        <n v="95"/>
        <n v="99"/>
      </sharedItems>
    </cacheField>
    <cacheField name="sep-08" numFmtId="0">
      <sharedItems containsSemiMixedTypes="0" containsString="0" containsNumber="1" containsInteger="1" minValue="0" maxValue="99" count="17">
        <n v="77"/>
        <n v="65"/>
        <n v="0"/>
        <n v="85"/>
        <n v="83"/>
        <n v="22"/>
        <n v="75"/>
        <n v="87"/>
        <n v="80"/>
        <n v="70"/>
        <n v="73"/>
        <n v="60"/>
        <n v="40"/>
        <n v="90"/>
        <n v="93"/>
        <n v="95"/>
        <n v="99"/>
      </sharedItems>
    </cacheField>
    <cacheField name="dic-08" numFmtId="0">
      <sharedItems containsSemiMixedTypes="0" containsString="0" containsNumber="1" containsInteger="1" minValue="0" maxValue="99" count="17">
        <n v="77"/>
        <n v="0"/>
        <n v="85"/>
        <n v="75"/>
        <n v="83"/>
        <n v="22"/>
        <n v="80"/>
        <n v="70"/>
        <n v="87"/>
        <n v="65"/>
        <n v="73"/>
        <n v="60"/>
        <n v="90"/>
        <n v="40"/>
        <n v="93"/>
        <n v="95"/>
        <n v="99"/>
      </sharedItems>
    </cacheField>
    <cacheField name="mar-09" numFmtId="0">
      <sharedItems containsSemiMixedTypes="0" containsString="0" containsNumber="1" containsInteger="1" minValue="0" maxValue="99" count="17">
        <n v="77"/>
        <n v="0"/>
        <n v="85"/>
        <n v="83"/>
        <n v="22"/>
        <n v="65"/>
        <n v="87"/>
        <n v="80"/>
        <n v="73"/>
        <n v="60"/>
        <n v="75"/>
        <n v="90"/>
        <n v="70"/>
        <n v="99"/>
        <n v="40"/>
        <n v="93"/>
        <n v="95"/>
      </sharedItems>
    </cacheField>
    <cacheField name="jun-09" numFmtId="0">
      <sharedItems containsSemiMixedTypes="0" containsString="0" containsNumber="1" containsInteger="1" minValue="0" maxValue="99" count="17">
        <n v="77"/>
        <n v="0"/>
        <n v="87"/>
        <n v="83"/>
        <n v="22"/>
        <n v="80"/>
        <n v="65"/>
        <n v="85"/>
        <n v="73"/>
        <n v="70"/>
        <n v="75"/>
        <n v="90"/>
        <n v="60"/>
        <n v="40"/>
        <n v="93"/>
        <n v="95"/>
        <n v="99"/>
      </sharedItems>
    </cacheField>
    <cacheField name="sep-09" numFmtId="0">
      <sharedItems containsSemiMixedTypes="0" containsString="0" containsNumber="1" containsInteger="1" minValue="0" maxValue="99" count="17">
        <n v="80"/>
        <n v="0"/>
        <n v="87"/>
        <n v="83"/>
        <n v="22"/>
        <n v="65"/>
        <n v="85"/>
        <n v="73"/>
        <n v="70"/>
        <n v="75"/>
        <n v="77"/>
        <n v="90"/>
        <n v="60"/>
        <n v="40"/>
        <n v="93"/>
        <n v="95"/>
        <n v="99"/>
      </sharedItems>
    </cacheField>
    <cacheField name="dic-09" numFmtId="0">
      <sharedItems containsSemiMixedTypes="0" containsString="0" containsNumber="1" containsInteger="1" minValue="0" maxValue="99" count="17">
        <n v="83"/>
        <n v="0"/>
        <n v="87"/>
        <n v="85"/>
        <n v="22"/>
        <n v="70"/>
        <n v="65"/>
        <n v="60"/>
        <n v="73"/>
        <n v="80"/>
        <n v="77"/>
        <n v="75"/>
        <n v="90"/>
        <n v="40"/>
        <n v="93"/>
        <n v="95"/>
        <n v="99"/>
      </sharedItems>
    </cacheField>
    <cacheField name="mar-10" numFmtId="0">
      <sharedItems containsSemiMixedTypes="0" containsString="0" containsNumber="1" containsInteger="1" minValue="0" maxValue="99" count="17">
        <n v="83"/>
        <n v="0"/>
        <n v="87"/>
        <n v="85"/>
        <n v="22"/>
        <n v="65"/>
        <n v="60"/>
        <n v="73"/>
        <n v="80"/>
        <n v="77"/>
        <n v="75"/>
        <n v="90"/>
        <n v="70"/>
        <n v="40"/>
        <n v="93"/>
        <n v="95"/>
        <n v="99"/>
      </sharedItems>
    </cacheField>
    <cacheField name="jun-10" numFmtId="0">
      <sharedItems containsSemiMixedTypes="0" containsString="0" containsNumber="1" containsInteger="1" minValue="0" maxValue="99" count="17">
        <n v="83"/>
        <n v="0"/>
        <n v="85"/>
        <n v="22"/>
        <n v="80"/>
        <n v="87"/>
        <n v="65"/>
        <n v="60"/>
        <n v="73"/>
        <n v="77"/>
        <n v="90"/>
        <n v="75"/>
        <n v="95"/>
        <n v="70"/>
        <n v="40"/>
        <n v="93"/>
        <n v="99"/>
      </sharedItems>
    </cacheField>
    <cacheField name="sep-10" numFmtId="0">
      <sharedItems containsSemiMixedTypes="0" containsString="0" containsNumber="1" containsInteger="1" minValue="0" maxValue="99" count="17">
        <n v="83"/>
        <n v="0"/>
        <n v="87"/>
        <n v="85"/>
        <n v="22"/>
        <n v="77"/>
        <n v="60"/>
        <n v="80"/>
        <n v="73"/>
        <n v="75"/>
        <n v="65"/>
        <n v="90"/>
        <n v="95"/>
        <n v="70"/>
        <n v="40"/>
        <n v="93"/>
        <n v="99"/>
      </sharedItems>
    </cacheField>
    <cacheField name="dic-10" numFmtId="0">
      <sharedItems containsSemiMixedTypes="0" containsString="0" containsNumber="1" containsInteger="1" minValue="0" maxValue="99" count="17">
        <n v="80"/>
        <n v="0"/>
        <n v="87"/>
        <n v="85"/>
        <n v="22"/>
        <n v="75"/>
        <n v="60"/>
        <n v="83"/>
        <n v="73"/>
        <n v="77"/>
        <n v="90"/>
        <n v="95"/>
        <n v="65"/>
        <n v="70"/>
        <n v="40"/>
        <n v="93"/>
        <n v="99"/>
      </sharedItems>
    </cacheField>
    <cacheField name="Saldo" numFmtId="0">
      <sharedItems containsString="0" containsBlank="1" containsNumber="1" minValue="107849.29847293596" maxValue="24061969.784065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MIRANDA" refreshedDate="41780.859859027776" createdVersion="1" refreshedVersion="4" recordCount="1187" upgradeOnRefresh="1" xr:uid="{00000000-000A-0000-FFFF-FFFF1E000000}">
  <cacheSource type="worksheet">
    <worksheetSource ref="A1:X1188" sheet="BDClientes"/>
  </cacheSource>
  <cacheFields count="24">
    <cacheField name="ID" numFmtId="0">
      <sharedItems containsMixedTypes="1" containsNumber="1" containsInteger="1" minValue="1" maxValue="1170"/>
    </cacheField>
    <cacheField name="Nombre" numFmtId="0">
      <sharedItems/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/>
    </cacheField>
    <cacheField name="dic-06" numFmtId="0">
      <sharedItems containsSemiMixedTypes="0" containsString="0" containsNumber="1" containsInteger="1" minValue="0" maxValue="99"/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/>
    </cacheField>
    <cacheField name="sep-07" numFmtId="0">
      <sharedItems containsSemiMixedTypes="0" containsString="0" containsNumber="1" containsInteger="1" minValue="0" maxValue="99"/>
    </cacheField>
    <cacheField name="dic-07" numFmtId="0">
      <sharedItems containsSemiMixedTypes="0" containsString="0" containsNumber="1" containsInteger="1" minValue="0" maxValue="99"/>
    </cacheField>
    <cacheField name="mar-08" numFmtId="0">
      <sharedItems containsSemiMixedTypes="0" containsString="0" containsNumber="1" containsInteger="1" minValue="0" maxValue="99"/>
    </cacheField>
    <cacheField name="jun-08" numFmtId="0">
      <sharedItems containsSemiMixedTypes="0" containsString="0" containsNumber="1" containsInteger="1" minValue="0" maxValue="99"/>
    </cacheField>
    <cacheField name="sep-08" numFmtId="0">
      <sharedItems containsSemiMixedTypes="0" containsString="0" containsNumber="1" containsInteger="1" minValue="0" maxValue="99"/>
    </cacheField>
    <cacheField name="dic-08" numFmtId="0">
      <sharedItems containsSemiMixedTypes="0" containsString="0" containsNumber="1" containsInteger="1" minValue="0" maxValue="99"/>
    </cacheField>
    <cacheField name="mar-09" numFmtId="0">
      <sharedItems containsSemiMixedTypes="0" containsString="0" containsNumber="1" containsInteger="1" minValue="0" maxValue="99"/>
    </cacheField>
    <cacheField name="jun-09" numFmtId="0">
      <sharedItems containsSemiMixedTypes="0" containsString="0" containsNumber="1" containsInteger="1" minValue="0" maxValue="99"/>
    </cacheField>
    <cacheField name="sep-09" numFmtId="0">
      <sharedItems containsSemiMixedTypes="0" containsString="0" containsNumber="1" containsInteger="1" minValue="0" maxValue="99"/>
    </cacheField>
    <cacheField name="dic-09" numFmtId="0">
      <sharedItems containsSemiMixedTypes="0" containsString="0" containsNumber="1" containsInteger="1" minValue="0" maxValue="99"/>
    </cacheField>
    <cacheField name="mar-10" numFmtId="0">
      <sharedItems containsSemiMixedTypes="0" containsString="0" containsNumber="1" containsInteger="1" minValue="0" maxValue="99"/>
    </cacheField>
    <cacheField name="jun-10" numFmtId="0">
      <sharedItems containsSemiMixedTypes="0" containsString="0" containsNumber="1" containsInteger="1" minValue="0" maxValue="99"/>
    </cacheField>
    <cacheField name="sep-10" numFmtId="0">
      <sharedItems containsSemiMixedTypes="0" containsString="0" containsNumber="1" containsInteger="1" minValue="0" maxValue="99"/>
    </cacheField>
    <cacheField name="dic-10" numFmtId="0">
      <sharedItems containsSemiMixedTypes="0" containsString="0" containsNumber="1" containsInteger="1" minValue="0" maxValue="99"/>
    </cacheField>
    <cacheField name="Saldo" numFmtId="0">
      <sharedItems containsString="0" containsBlank="1" containsNumber="1" minValue="107849.29847293596" maxValue="24061969.784065388"/>
    </cacheField>
    <cacheField name="Calificación Sim" numFmtId="0">
      <sharedItems containsSemiMixedTypes="0" containsString="0" containsNumber="1" containsInteger="1" minValue="0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7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21154.30969756437"/>
  </r>
  <r>
    <n v="2"/>
    <x v="1"/>
    <x v="1"/>
    <x v="1"/>
    <x v="0"/>
    <x v="0"/>
    <x v="1"/>
    <x v="1"/>
    <x v="1"/>
    <x v="0"/>
    <x v="1"/>
    <x v="1"/>
    <x v="1"/>
    <x v="1"/>
    <x v="1"/>
    <x v="1"/>
    <x v="1"/>
    <x v="1"/>
    <x v="1"/>
    <x v="1"/>
    <x v="1"/>
    <x v="1"/>
    <m/>
  </r>
  <r>
    <n v="3"/>
    <x v="2"/>
    <x v="2"/>
    <x v="2"/>
    <x v="1"/>
    <x v="1"/>
    <x v="2"/>
    <x v="2"/>
    <x v="2"/>
    <x v="1"/>
    <x v="2"/>
    <x v="2"/>
    <x v="2"/>
    <x v="1"/>
    <x v="1"/>
    <x v="1"/>
    <x v="1"/>
    <x v="1"/>
    <x v="1"/>
    <x v="1"/>
    <x v="1"/>
    <x v="1"/>
    <m/>
  </r>
  <r>
    <n v="4"/>
    <x v="3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"/>
    <x v="4"/>
    <x v="0"/>
    <x v="3"/>
    <x v="2"/>
    <x v="3"/>
    <x v="4"/>
    <x v="2"/>
    <x v="3"/>
    <x v="3"/>
    <x v="3"/>
    <x v="3"/>
    <x v="2"/>
    <x v="1"/>
    <x v="1"/>
    <x v="1"/>
    <x v="1"/>
    <x v="1"/>
    <x v="1"/>
    <x v="1"/>
    <x v="1"/>
    <x v="1"/>
    <m/>
  </r>
  <r>
    <n v="6"/>
    <x v="5"/>
    <x v="0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"/>
    <x v="6"/>
    <x v="0"/>
    <x v="4"/>
    <x v="2"/>
    <x v="3"/>
    <x v="4"/>
    <x v="4"/>
    <x v="4"/>
    <x v="4"/>
    <x v="4"/>
    <x v="4"/>
    <x v="3"/>
    <x v="2"/>
    <x v="2"/>
    <x v="2"/>
    <x v="2"/>
    <x v="2"/>
    <x v="2"/>
    <x v="2"/>
    <x v="2"/>
    <x v="2"/>
    <n v="2909745.8290977613"/>
  </r>
  <r>
    <n v="8"/>
    <x v="7"/>
    <x v="3"/>
    <x v="4"/>
    <x v="3"/>
    <x v="4"/>
    <x v="5"/>
    <x v="2"/>
    <x v="2"/>
    <x v="3"/>
    <x v="5"/>
    <x v="5"/>
    <x v="0"/>
    <x v="3"/>
    <x v="1"/>
    <x v="1"/>
    <x v="1"/>
    <x v="1"/>
    <x v="1"/>
    <x v="1"/>
    <x v="1"/>
    <x v="1"/>
    <m/>
  </r>
  <r>
    <n v="9"/>
    <x v="8"/>
    <x v="2"/>
    <x v="2"/>
    <x v="1"/>
    <x v="2"/>
    <x v="3"/>
    <x v="3"/>
    <x v="3"/>
    <x v="2"/>
    <x v="4"/>
    <x v="4"/>
    <x v="3"/>
    <x v="4"/>
    <x v="3"/>
    <x v="3"/>
    <x v="3"/>
    <x v="3"/>
    <x v="3"/>
    <x v="2"/>
    <x v="3"/>
    <x v="3"/>
    <n v="153952.70638204354"/>
  </r>
  <r>
    <n v="10"/>
    <x v="9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1"/>
    <x v="10"/>
    <x v="5"/>
    <x v="6"/>
    <x v="4"/>
    <x v="1"/>
    <x v="3"/>
    <x v="3"/>
    <x v="3"/>
    <x v="2"/>
    <x v="3"/>
    <x v="3"/>
    <x v="2"/>
    <x v="1"/>
    <x v="1"/>
    <x v="1"/>
    <x v="1"/>
    <x v="1"/>
    <x v="1"/>
    <x v="1"/>
    <x v="1"/>
    <x v="1"/>
    <m/>
  </r>
  <r>
    <n v="12"/>
    <x v="11"/>
    <x v="4"/>
    <x v="7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3"/>
    <x v="12"/>
    <x v="6"/>
    <x v="4"/>
    <x v="2"/>
    <x v="3"/>
    <x v="6"/>
    <x v="5"/>
    <x v="5"/>
    <x v="4"/>
    <x v="4"/>
    <x v="6"/>
    <x v="4"/>
    <x v="4"/>
    <x v="3"/>
    <x v="3"/>
    <x v="3"/>
    <x v="2"/>
    <x v="2"/>
    <x v="2"/>
    <x v="3"/>
    <x v="2"/>
    <n v="154259.94145538335"/>
  </r>
  <r>
    <n v="14"/>
    <x v="13"/>
    <x v="7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"/>
    <x v="14"/>
    <x v="2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6"/>
    <x v="1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0220.82887021769"/>
  </r>
  <r>
    <n v="17"/>
    <x v="16"/>
    <x v="0"/>
    <x v="0"/>
    <x v="3"/>
    <x v="4"/>
    <x v="8"/>
    <x v="5"/>
    <x v="7"/>
    <x v="6"/>
    <x v="5"/>
    <x v="8"/>
    <x v="6"/>
    <x v="6"/>
    <x v="3"/>
    <x v="5"/>
    <x v="0"/>
    <x v="0"/>
    <x v="0"/>
    <x v="4"/>
    <x v="5"/>
    <x v="5"/>
    <n v="876105.65538350458"/>
  </r>
  <r>
    <n v="18"/>
    <x v="17"/>
    <x v="0"/>
    <x v="4"/>
    <x v="3"/>
    <x v="3"/>
    <x v="4"/>
    <x v="5"/>
    <x v="7"/>
    <x v="4"/>
    <x v="7"/>
    <x v="4"/>
    <x v="3"/>
    <x v="2"/>
    <x v="2"/>
    <x v="2"/>
    <x v="2"/>
    <x v="3"/>
    <x v="2"/>
    <x v="2"/>
    <x v="2"/>
    <x v="2"/>
    <n v="144278.75824828292"/>
  </r>
  <r>
    <n v="19"/>
    <x v="18"/>
    <x v="7"/>
    <x v="1"/>
    <x v="0"/>
    <x v="0"/>
    <x v="0"/>
    <x v="7"/>
    <x v="3"/>
    <x v="7"/>
    <x v="8"/>
    <x v="9"/>
    <x v="1"/>
    <x v="7"/>
    <x v="5"/>
    <x v="6"/>
    <x v="5"/>
    <x v="5"/>
    <x v="1"/>
    <x v="1"/>
    <x v="1"/>
    <x v="1"/>
    <m/>
  </r>
  <r>
    <n v="20"/>
    <x v="19"/>
    <x v="2"/>
    <x v="2"/>
    <x v="1"/>
    <x v="2"/>
    <x v="3"/>
    <x v="3"/>
    <x v="3"/>
    <x v="2"/>
    <x v="4"/>
    <x v="4"/>
    <x v="3"/>
    <x v="2"/>
    <x v="2"/>
    <x v="7"/>
    <x v="6"/>
    <x v="2"/>
    <x v="2"/>
    <x v="2"/>
    <x v="2"/>
    <x v="3"/>
    <n v="509831.37835489068"/>
  </r>
  <r>
    <n v="21"/>
    <x v="20"/>
    <x v="9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7996.75418967498"/>
  </r>
  <r>
    <n v="22"/>
    <x v="21"/>
    <x v="10"/>
    <x v="9"/>
    <x v="6"/>
    <x v="6"/>
    <x v="9"/>
    <x v="8"/>
    <x v="7"/>
    <x v="4"/>
    <x v="7"/>
    <x v="2"/>
    <x v="7"/>
    <x v="8"/>
    <x v="6"/>
    <x v="2"/>
    <x v="6"/>
    <x v="2"/>
    <x v="2"/>
    <x v="2"/>
    <x v="3"/>
    <x v="3"/>
    <n v="126744.29809753953"/>
  </r>
  <r>
    <n v="23"/>
    <x v="22"/>
    <x v="11"/>
    <x v="5"/>
    <x v="7"/>
    <x v="7"/>
    <x v="8"/>
    <x v="5"/>
    <x v="4"/>
    <x v="8"/>
    <x v="7"/>
    <x v="8"/>
    <x v="4"/>
    <x v="6"/>
    <x v="3"/>
    <x v="7"/>
    <x v="6"/>
    <x v="3"/>
    <x v="3"/>
    <x v="5"/>
    <x v="3"/>
    <x v="3"/>
    <n v="186947.35710366807"/>
  </r>
  <r>
    <n v="24"/>
    <x v="23"/>
    <x v="7"/>
    <x v="10"/>
    <x v="8"/>
    <x v="8"/>
    <x v="1"/>
    <x v="9"/>
    <x v="3"/>
    <x v="9"/>
    <x v="3"/>
    <x v="3"/>
    <x v="2"/>
    <x v="1"/>
    <x v="1"/>
    <x v="1"/>
    <x v="1"/>
    <x v="1"/>
    <x v="1"/>
    <x v="1"/>
    <x v="1"/>
    <x v="1"/>
    <m/>
  </r>
  <r>
    <n v="25"/>
    <x v="24"/>
    <x v="11"/>
    <x v="11"/>
    <x v="2"/>
    <x v="3"/>
    <x v="8"/>
    <x v="4"/>
    <x v="4"/>
    <x v="6"/>
    <x v="5"/>
    <x v="8"/>
    <x v="0"/>
    <x v="3"/>
    <x v="0"/>
    <x v="1"/>
    <x v="1"/>
    <x v="1"/>
    <x v="1"/>
    <x v="1"/>
    <x v="1"/>
    <x v="1"/>
    <m/>
  </r>
  <r>
    <n v="26"/>
    <x v="25"/>
    <x v="12"/>
    <x v="11"/>
    <x v="9"/>
    <x v="8"/>
    <x v="10"/>
    <x v="3"/>
    <x v="3"/>
    <x v="2"/>
    <x v="3"/>
    <x v="3"/>
    <x v="2"/>
    <x v="1"/>
    <x v="1"/>
    <x v="1"/>
    <x v="1"/>
    <x v="1"/>
    <x v="1"/>
    <x v="1"/>
    <x v="1"/>
    <x v="1"/>
    <m/>
  </r>
  <r>
    <n v="27"/>
    <x v="26"/>
    <x v="6"/>
    <x v="0"/>
    <x v="6"/>
    <x v="6"/>
    <x v="6"/>
    <x v="8"/>
    <x v="4"/>
    <x v="4"/>
    <x v="2"/>
    <x v="6"/>
    <x v="3"/>
    <x v="1"/>
    <x v="1"/>
    <x v="1"/>
    <x v="1"/>
    <x v="1"/>
    <x v="1"/>
    <x v="1"/>
    <x v="1"/>
    <x v="1"/>
    <m/>
  </r>
  <r>
    <n v="28"/>
    <x v="27"/>
    <x v="3"/>
    <x v="12"/>
    <x v="2"/>
    <x v="3"/>
    <x v="4"/>
    <x v="4"/>
    <x v="4"/>
    <x v="4"/>
    <x v="2"/>
    <x v="6"/>
    <x v="3"/>
    <x v="8"/>
    <x v="2"/>
    <x v="2"/>
    <x v="2"/>
    <x v="2"/>
    <x v="2"/>
    <x v="5"/>
    <x v="2"/>
    <x v="3"/>
    <n v="386949.67519523733"/>
  </r>
  <r>
    <n v="29"/>
    <x v="28"/>
    <x v="13"/>
    <x v="1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0"/>
    <x v="29"/>
    <x v="10"/>
    <x v="0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1"/>
    <x v="30"/>
    <x v="2"/>
    <x v="2"/>
    <x v="1"/>
    <x v="3"/>
    <x v="5"/>
    <x v="4"/>
    <x v="5"/>
    <x v="6"/>
    <x v="4"/>
    <x v="2"/>
    <x v="2"/>
    <x v="1"/>
    <x v="1"/>
    <x v="1"/>
    <x v="1"/>
    <x v="1"/>
    <x v="1"/>
    <x v="1"/>
    <x v="1"/>
    <x v="1"/>
    <m/>
  </r>
  <r>
    <n v="32"/>
    <x v="31"/>
    <x v="11"/>
    <x v="4"/>
    <x v="2"/>
    <x v="3"/>
    <x v="4"/>
    <x v="5"/>
    <x v="4"/>
    <x v="6"/>
    <x v="2"/>
    <x v="4"/>
    <x v="8"/>
    <x v="6"/>
    <x v="5"/>
    <x v="8"/>
    <x v="7"/>
    <x v="6"/>
    <x v="5"/>
    <x v="6"/>
    <x v="1"/>
    <x v="1"/>
    <m/>
  </r>
  <r>
    <n v="33"/>
    <x v="32"/>
    <x v="9"/>
    <x v="10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4"/>
    <x v="33"/>
    <x v="7"/>
    <x v="10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600311.23421961826"/>
  </r>
  <r>
    <n v="35"/>
    <x v="3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5072.36647359518"/>
  </r>
  <r>
    <n v="36"/>
    <x v="35"/>
    <x v="11"/>
    <x v="11"/>
    <x v="10"/>
    <x v="10"/>
    <x v="6"/>
    <x v="3"/>
    <x v="4"/>
    <x v="4"/>
    <x v="2"/>
    <x v="4"/>
    <x v="8"/>
    <x v="4"/>
    <x v="7"/>
    <x v="3"/>
    <x v="1"/>
    <x v="1"/>
    <x v="1"/>
    <x v="1"/>
    <x v="1"/>
    <x v="1"/>
    <m/>
  </r>
  <r>
    <n v="37"/>
    <x v="36"/>
    <x v="3"/>
    <x v="12"/>
    <x v="2"/>
    <x v="3"/>
    <x v="4"/>
    <x v="5"/>
    <x v="8"/>
    <x v="10"/>
    <x v="1"/>
    <x v="1"/>
    <x v="1"/>
    <x v="1"/>
    <x v="1"/>
    <x v="1"/>
    <x v="1"/>
    <x v="1"/>
    <x v="1"/>
    <x v="1"/>
    <x v="1"/>
    <x v="1"/>
    <m/>
  </r>
  <r>
    <n v="38"/>
    <x v="37"/>
    <x v="2"/>
    <x v="2"/>
    <x v="1"/>
    <x v="2"/>
    <x v="3"/>
    <x v="3"/>
    <x v="3"/>
    <x v="2"/>
    <x v="3"/>
    <x v="1"/>
    <x v="1"/>
    <x v="9"/>
    <x v="5"/>
    <x v="9"/>
    <x v="1"/>
    <x v="1"/>
    <x v="1"/>
    <x v="1"/>
    <x v="1"/>
    <x v="1"/>
    <m/>
  </r>
  <r>
    <n v="39"/>
    <x v="38"/>
    <x v="5"/>
    <x v="6"/>
    <x v="11"/>
    <x v="11"/>
    <x v="11"/>
    <x v="7"/>
    <x v="9"/>
    <x v="1"/>
    <x v="0"/>
    <x v="3"/>
    <x v="2"/>
    <x v="1"/>
    <x v="1"/>
    <x v="1"/>
    <x v="1"/>
    <x v="1"/>
    <x v="1"/>
    <x v="1"/>
    <x v="1"/>
    <x v="1"/>
    <m/>
  </r>
  <r>
    <n v="40"/>
    <x v="39"/>
    <x v="7"/>
    <x v="1"/>
    <x v="9"/>
    <x v="8"/>
    <x v="1"/>
    <x v="10"/>
    <x v="3"/>
    <x v="0"/>
    <x v="1"/>
    <x v="10"/>
    <x v="9"/>
    <x v="7"/>
    <x v="5"/>
    <x v="6"/>
    <x v="5"/>
    <x v="7"/>
    <x v="6"/>
    <x v="7"/>
    <x v="1"/>
    <x v="1"/>
    <m/>
  </r>
  <r>
    <n v="41"/>
    <x v="40"/>
    <x v="13"/>
    <x v="13"/>
    <x v="4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"/>
    <x v="41"/>
    <x v="7"/>
    <x v="1"/>
    <x v="4"/>
    <x v="1"/>
    <x v="10"/>
    <x v="10"/>
    <x v="1"/>
    <x v="0"/>
    <x v="1"/>
    <x v="10"/>
    <x v="9"/>
    <x v="7"/>
    <x v="5"/>
    <x v="6"/>
    <x v="5"/>
    <x v="5"/>
    <x v="1"/>
    <x v="1"/>
    <x v="1"/>
    <x v="1"/>
    <m/>
  </r>
  <r>
    <n v="43"/>
    <x v="4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08365.54356489802"/>
  </r>
  <r>
    <n v="44"/>
    <x v="43"/>
    <x v="7"/>
    <x v="1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83712.70596158289"/>
  </r>
  <r>
    <n v="45"/>
    <x v="44"/>
    <x v="3"/>
    <x v="1"/>
    <x v="0"/>
    <x v="0"/>
    <x v="1"/>
    <x v="3"/>
    <x v="3"/>
    <x v="2"/>
    <x v="3"/>
    <x v="3"/>
    <x v="2"/>
    <x v="1"/>
    <x v="1"/>
    <x v="1"/>
    <x v="1"/>
    <x v="1"/>
    <x v="1"/>
    <x v="1"/>
    <x v="1"/>
    <x v="1"/>
    <m/>
  </r>
  <r>
    <n v="46"/>
    <x v="45"/>
    <x v="7"/>
    <x v="1"/>
    <x v="12"/>
    <x v="12"/>
    <x v="12"/>
    <x v="11"/>
    <x v="8"/>
    <x v="10"/>
    <x v="8"/>
    <x v="9"/>
    <x v="10"/>
    <x v="10"/>
    <x v="8"/>
    <x v="9"/>
    <x v="8"/>
    <x v="8"/>
    <x v="7"/>
    <x v="1"/>
    <x v="1"/>
    <x v="1"/>
    <m/>
  </r>
  <r>
    <n v="47"/>
    <x v="46"/>
    <x v="7"/>
    <x v="1"/>
    <x v="9"/>
    <x v="8"/>
    <x v="10"/>
    <x v="12"/>
    <x v="8"/>
    <x v="11"/>
    <x v="9"/>
    <x v="1"/>
    <x v="11"/>
    <x v="11"/>
    <x v="9"/>
    <x v="1"/>
    <x v="1"/>
    <x v="1"/>
    <x v="1"/>
    <x v="1"/>
    <x v="1"/>
    <x v="1"/>
    <m/>
  </r>
  <r>
    <n v="48"/>
    <x v="47"/>
    <x v="4"/>
    <x v="7"/>
    <x v="2"/>
    <x v="3"/>
    <x v="4"/>
    <x v="5"/>
    <x v="5"/>
    <x v="8"/>
    <x v="4"/>
    <x v="4"/>
    <x v="3"/>
    <x v="2"/>
    <x v="3"/>
    <x v="7"/>
    <x v="2"/>
    <x v="2"/>
    <x v="2"/>
    <x v="5"/>
    <x v="2"/>
    <x v="2"/>
    <n v="269205.54747760558"/>
  </r>
  <r>
    <n v="49"/>
    <x v="48"/>
    <x v="2"/>
    <x v="6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0"/>
    <x v="49"/>
    <x v="9"/>
    <x v="10"/>
    <x v="8"/>
    <x v="9"/>
    <x v="1"/>
    <x v="6"/>
    <x v="6"/>
    <x v="5"/>
    <x v="6"/>
    <x v="7"/>
    <x v="5"/>
    <x v="5"/>
    <x v="4"/>
    <x v="4"/>
    <x v="4"/>
    <x v="4"/>
    <x v="4"/>
    <x v="3"/>
    <x v="4"/>
    <x v="4"/>
    <n v="624124.90595709218"/>
  </r>
  <r>
    <n v="51"/>
    <x v="50"/>
    <x v="0"/>
    <x v="7"/>
    <x v="7"/>
    <x v="4"/>
    <x v="8"/>
    <x v="5"/>
    <x v="3"/>
    <x v="2"/>
    <x v="3"/>
    <x v="3"/>
    <x v="2"/>
    <x v="1"/>
    <x v="1"/>
    <x v="7"/>
    <x v="1"/>
    <x v="1"/>
    <x v="1"/>
    <x v="1"/>
    <x v="1"/>
    <x v="1"/>
    <m/>
  </r>
  <r>
    <n v="52"/>
    <x v="51"/>
    <x v="2"/>
    <x v="2"/>
    <x v="1"/>
    <x v="10"/>
    <x v="4"/>
    <x v="5"/>
    <x v="5"/>
    <x v="6"/>
    <x v="2"/>
    <x v="6"/>
    <x v="3"/>
    <x v="2"/>
    <x v="2"/>
    <x v="3"/>
    <x v="6"/>
    <x v="3"/>
    <x v="3"/>
    <x v="0"/>
    <x v="3"/>
    <x v="2"/>
    <n v="114071.49156081863"/>
  </r>
  <r>
    <n v="53"/>
    <x v="52"/>
    <x v="0"/>
    <x v="11"/>
    <x v="11"/>
    <x v="11"/>
    <x v="3"/>
    <x v="3"/>
    <x v="3"/>
    <x v="2"/>
    <x v="3"/>
    <x v="3"/>
    <x v="2"/>
    <x v="1"/>
    <x v="1"/>
    <x v="1"/>
    <x v="1"/>
    <x v="1"/>
    <x v="1"/>
    <x v="1"/>
    <x v="1"/>
    <x v="1"/>
    <m/>
  </r>
  <r>
    <n v="54"/>
    <x v="53"/>
    <x v="3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5"/>
    <x v="54"/>
    <x v="3"/>
    <x v="11"/>
    <x v="10"/>
    <x v="10"/>
    <x v="5"/>
    <x v="5"/>
    <x v="2"/>
    <x v="3"/>
    <x v="5"/>
    <x v="4"/>
    <x v="7"/>
    <x v="2"/>
    <x v="2"/>
    <x v="7"/>
    <x v="6"/>
    <x v="2"/>
    <x v="2"/>
    <x v="5"/>
    <x v="2"/>
    <x v="2"/>
    <n v="113788.97750583821"/>
  </r>
  <r>
    <n v="56"/>
    <x v="55"/>
    <x v="14"/>
    <x v="13"/>
    <x v="4"/>
    <x v="1"/>
    <x v="2"/>
    <x v="10"/>
    <x v="3"/>
    <x v="2"/>
    <x v="3"/>
    <x v="3"/>
    <x v="2"/>
    <x v="1"/>
    <x v="1"/>
    <x v="1"/>
    <x v="1"/>
    <x v="1"/>
    <x v="1"/>
    <x v="1"/>
    <x v="1"/>
    <x v="1"/>
    <m/>
  </r>
  <r>
    <n v="57"/>
    <x v="56"/>
    <x v="7"/>
    <x v="10"/>
    <x v="8"/>
    <x v="9"/>
    <x v="2"/>
    <x v="11"/>
    <x v="1"/>
    <x v="0"/>
    <x v="0"/>
    <x v="3"/>
    <x v="2"/>
    <x v="1"/>
    <x v="1"/>
    <x v="1"/>
    <x v="1"/>
    <x v="1"/>
    <x v="1"/>
    <x v="1"/>
    <x v="1"/>
    <x v="1"/>
    <m/>
  </r>
  <r>
    <n v="58"/>
    <x v="57"/>
    <x v="12"/>
    <x v="1"/>
    <x v="9"/>
    <x v="8"/>
    <x v="3"/>
    <x v="3"/>
    <x v="3"/>
    <x v="2"/>
    <x v="3"/>
    <x v="3"/>
    <x v="2"/>
    <x v="1"/>
    <x v="1"/>
    <x v="1"/>
    <x v="1"/>
    <x v="1"/>
    <x v="1"/>
    <x v="1"/>
    <x v="1"/>
    <x v="1"/>
    <m/>
  </r>
  <r>
    <n v="59"/>
    <x v="58"/>
    <x v="2"/>
    <x v="6"/>
    <x v="8"/>
    <x v="9"/>
    <x v="1"/>
    <x v="9"/>
    <x v="10"/>
    <x v="11"/>
    <x v="10"/>
    <x v="10"/>
    <x v="9"/>
    <x v="9"/>
    <x v="5"/>
    <x v="6"/>
    <x v="5"/>
    <x v="6"/>
    <x v="5"/>
    <x v="7"/>
    <x v="6"/>
    <x v="6"/>
    <n v="169733.49963253518"/>
  </r>
  <r>
    <n v="60"/>
    <x v="59"/>
    <x v="6"/>
    <x v="11"/>
    <x v="0"/>
    <x v="0"/>
    <x v="0"/>
    <x v="2"/>
    <x v="9"/>
    <x v="1"/>
    <x v="0"/>
    <x v="9"/>
    <x v="2"/>
    <x v="1"/>
    <x v="1"/>
    <x v="1"/>
    <x v="1"/>
    <x v="1"/>
    <x v="1"/>
    <x v="1"/>
    <x v="1"/>
    <x v="1"/>
    <m/>
  </r>
  <r>
    <n v="61"/>
    <x v="6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012737.0604589483"/>
  </r>
  <r>
    <n v="62"/>
    <x v="61"/>
    <x v="5"/>
    <x v="1"/>
    <x v="0"/>
    <x v="0"/>
    <x v="2"/>
    <x v="3"/>
    <x v="3"/>
    <x v="2"/>
    <x v="3"/>
    <x v="3"/>
    <x v="2"/>
    <x v="1"/>
    <x v="1"/>
    <x v="1"/>
    <x v="1"/>
    <x v="1"/>
    <x v="1"/>
    <x v="1"/>
    <x v="1"/>
    <x v="1"/>
    <m/>
  </r>
  <r>
    <n v="63"/>
    <x v="62"/>
    <x v="1"/>
    <x v="6"/>
    <x v="0"/>
    <x v="0"/>
    <x v="11"/>
    <x v="3"/>
    <x v="3"/>
    <x v="2"/>
    <x v="3"/>
    <x v="3"/>
    <x v="2"/>
    <x v="1"/>
    <x v="1"/>
    <x v="1"/>
    <x v="1"/>
    <x v="1"/>
    <x v="1"/>
    <x v="1"/>
    <x v="1"/>
    <x v="1"/>
    <m/>
  </r>
  <r>
    <n v="64"/>
    <x v="63"/>
    <x v="0"/>
    <x v="11"/>
    <x v="2"/>
    <x v="3"/>
    <x v="6"/>
    <x v="4"/>
    <x v="5"/>
    <x v="8"/>
    <x v="3"/>
    <x v="3"/>
    <x v="2"/>
    <x v="1"/>
    <x v="1"/>
    <x v="1"/>
    <x v="1"/>
    <x v="1"/>
    <x v="1"/>
    <x v="1"/>
    <x v="1"/>
    <x v="1"/>
    <m/>
  </r>
  <r>
    <n v="65"/>
    <x v="64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66"/>
    <x v="65"/>
    <x v="6"/>
    <x v="11"/>
    <x v="3"/>
    <x v="4"/>
    <x v="6"/>
    <x v="3"/>
    <x v="3"/>
    <x v="2"/>
    <x v="3"/>
    <x v="3"/>
    <x v="2"/>
    <x v="1"/>
    <x v="1"/>
    <x v="1"/>
    <x v="1"/>
    <x v="1"/>
    <x v="1"/>
    <x v="1"/>
    <x v="1"/>
    <x v="1"/>
    <m/>
  </r>
  <r>
    <n v="67"/>
    <x v="66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2744.33000226223"/>
  </r>
  <r>
    <n v="68"/>
    <x v="67"/>
    <x v="7"/>
    <x v="10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28702.9480048921"/>
  </r>
  <r>
    <n v="69"/>
    <x v="68"/>
    <x v="11"/>
    <x v="4"/>
    <x v="3"/>
    <x v="4"/>
    <x v="11"/>
    <x v="3"/>
    <x v="3"/>
    <x v="2"/>
    <x v="3"/>
    <x v="3"/>
    <x v="2"/>
    <x v="1"/>
    <x v="1"/>
    <x v="1"/>
    <x v="1"/>
    <x v="1"/>
    <x v="1"/>
    <x v="1"/>
    <x v="1"/>
    <x v="1"/>
    <m/>
  </r>
  <r>
    <n v="70"/>
    <x v="69"/>
    <x v="13"/>
    <x v="6"/>
    <x v="7"/>
    <x v="7"/>
    <x v="5"/>
    <x v="7"/>
    <x v="0"/>
    <x v="12"/>
    <x v="11"/>
    <x v="5"/>
    <x v="6"/>
    <x v="3"/>
    <x v="8"/>
    <x v="0"/>
    <x v="0"/>
    <x v="9"/>
    <x v="1"/>
    <x v="1"/>
    <x v="1"/>
    <x v="1"/>
    <m/>
  </r>
  <r>
    <n v="71"/>
    <x v="70"/>
    <x v="5"/>
    <x v="13"/>
    <x v="0"/>
    <x v="0"/>
    <x v="0"/>
    <x v="12"/>
    <x v="11"/>
    <x v="12"/>
    <x v="8"/>
    <x v="9"/>
    <x v="2"/>
    <x v="1"/>
    <x v="1"/>
    <x v="1"/>
    <x v="1"/>
    <x v="1"/>
    <x v="1"/>
    <x v="1"/>
    <x v="1"/>
    <x v="1"/>
    <m/>
  </r>
  <r>
    <n v="72"/>
    <x v="71"/>
    <x v="0"/>
    <x v="11"/>
    <x v="10"/>
    <x v="10"/>
    <x v="8"/>
    <x v="2"/>
    <x v="2"/>
    <x v="3"/>
    <x v="11"/>
    <x v="5"/>
    <x v="1"/>
    <x v="9"/>
    <x v="5"/>
    <x v="9"/>
    <x v="8"/>
    <x v="1"/>
    <x v="1"/>
    <x v="1"/>
    <x v="1"/>
    <x v="1"/>
    <m/>
  </r>
  <r>
    <n v="73"/>
    <x v="72"/>
    <x v="1"/>
    <x v="7"/>
    <x v="10"/>
    <x v="10"/>
    <x v="9"/>
    <x v="4"/>
    <x v="4"/>
    <x v="2"/>
    <x v="3"/>
    <x v="4"/>
    <x v="4"/>
    <x v="2"/>
    <x v="1"/>
    <x v="7"/>
    <x v="6"/>
    <x v="3"/>
    <x v="3"/>
    <x v="1"/>
    <x v="1"/>
    <x v="1"/>
    <m/>
  </r>
  <r>
    <n v="74"/>
    <x v="73"/>
    <x v="3"/>
    <x v="4"/>
    <x v="2"/>
    <x v="4"/>
    <x v="8"/>
    <x v="4"/>
    <x v="5"/>
    <x v="6"/>
    <x v="2"/>
    <x v="6"/>
    <x v="4"/>
    <x v="1"/>
    <x v="1"/>
    <x v="1"/>
    <x v="1"/>
    <x v="1"/>
    <x v="1"/>
    <x v="1"/>
    <x v="1"/>
    <x v="1"/>
    <m/>
  </r>
  <r>
    <n v="75"/>
    <x v="74"/>
    <x v="4"/>
    <x v="4"/>
    <x v="3"/>
    <x v="4"/>
    <x v="12"/>
    <x v="5"/>
    <x v="9"/>
    <x v="1"/>
    <x v="4"/>
    <x v="4"/>
    <x v="3"/>
    <x v="4"/>
    <x v="1"/>
    <x v="1"/>
    <x v="1"/>
    <x v="1"/>
    <x v="1"/>
    <x v="1"/>
    <x v="1"/>
    <x v="1"/>
    <m/>
  </r>
  <r>
    <n v="76"/>
    <x v="75"/>
    <x v="5"/>
    <x v="6"/>
    <x v="4"/>
    <x v="1"/>
    <x v="2"/>
    <x v="10"/>
    <x v="1"/>
    <x v="0"/>
    <x v="9"/>
    <x v="11"/>
    <x v="11"/>
    <x v="9"/>
    <x v="9"/>
    <x v="6"/>
    <x v="5"/>
    <x v="6"/>
    <x v="5"/>
    <x v="6"/>
    <x v="1"/>
    <x v="1"/>
    <m/>
  </r>
  <r>
    <n v="77"/>
    <x v="76"/>
    <x v="4"/>
    <x v="7"/>
    <x v="8"/>
    <x v="9"/>
    <x v="8"/>
    <x v="2"/>
    <x v="3"/>
    <x v="2"/>
    <x v="3"/>
    <x v="3"/>
    <x v="2"/>
    <x v="1"/>
    <x v="1"/>
    <x v="1"/>
    <x v="1"/>
    <x v="1"/>
    <x v="1"/>
    <x v="1"/>
    <x v="1"/>
    <x v="1"/>
    <m/>
  </r>
  <r>
    <n v="78"/>
    <x v="77"/>
    <x v="11"/>
    <x v="7"/>
    <x v="8"/>
    <x v="9"/>
    <x v="4"/>
    <x v="5"/>
    <x v="5"/>
    <x v="4"/>
    <x v="2"/>
    <x v="9"/>
    <x v="9"/>
    <x v="0"/>
    <x v="8"/>
    <x v="9"/>
    <x v="0"/>
    <x v="9"/>
    <x v="8"/>
    <x v="4"/>
    <x v="0"/>
    <x v="3"/>
    <n v="149749.44895712353"/>
  </r>
  <r>
    <n v="79"/>
    <x v="78"/>
    <x v="3"/>
    <x v="7"/>
    <x v="12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80"/>
    <x v="79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1"/>
    <x v="80"/>
    <x v="2"/>
    <x v="11"/>
    <x v="1"/>
    <x v="2"/>
    <x v="3"/>
    <x v="3"/>
    <x v="3"/>
    <x v="4"/>
    <x v="4"/>
    <x v="4"/>
    <x v="3"/>
    <x v="4"/>
    <x v="2"/>
    <x v="3"/>
    <x v="0"/>
    <x v="0"/>
    <x v="3"/>
    <x v="4"/>
    <x v="7"/>
    <x v="0"/>
    <n v="449223.64218166808"/>
  </r>
  <r>
    <n v="82"/>
    <x v="81"/>
    <x v="10"/>
    <x v="3"/>
    <x v="6"/>
    <x v="6"/>
    <x v="6"/>
    <x v="8"/>
    <x v="4"/>
    <x v="6"/>
    <x v="3"/>
    <x v="3"/>
    <x v="2"/>
    <x v="1"/>
    <x v="1"/>
    <x v="1"/>
    <x v="1"/>
    <x v="1"/>
    <x v="1"/>
    <x v="1"/>
    <x v="1"/>
    <x v="1"/>
    <m/>
  </r>
  <r>
    <n v="83"/>
    <x v="82"/>
    <x v="11"/>
    <x v="4"/>
    <x v="1"/>
    <x v="10"/>
    <x v="8"/>
    <x v="5"/>
    <x v="5"/>
    <x v="6"/>
    <x v="2"/>
    <x v="4"/>
    <x v="3"/>
    <x v="2"/>
    <x v="2"/>
    <x v="7"/>
    <x v="6"/>
    <x v="2"/>
    <x v="2"/>
    <x v="2"/>
    <x v="2"/>
    <x v="3"/>
    <n v="294214.19129021076"/>
  </r>
  <r>
    <n v="84"/>
    <x v="83"/>
    <x v="3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"/>
    <x v="84"/>
    <x v="6"/>
    <x v="3"/>
    <x v="2"/>
    <x v="3"/>
    <x v="8"/>
    <x v="5"/>
    <x v="5"/>
    <x v="4"/>
    <x v="7"/>
    <x v="6"/>
    <x v="3"/>
    <x v="8"/>
    <x v="2"/>
    <x v="2"/>
    <x v="6"/>
    <x v="3"/>
    <x v="3"/>
    <x v="2"/>
    <x v="3"/>
    <x v="3"/>
    <n v="160468.46674951853"/>
  </r>
  <r>
    <n v="86"/>
    <x v="85"/>
    <x v="6"/>
    <x v="3"/>
    <x v="6"/>
    <x v="6"/>
    <x v="6"/>
    <x v="5"/>
    <x v="5"/>
    <x v="3"/>
    <x v="5"/>
    <x v="6"/>
    <x v="4"/>
    <x v="4"/>
    <x v="3"/>
    <x v="3"/>
    <x v="3"/>
    <x v="3"/>
    <x v="3"/>
    <x v="2"/>
    <x v="3"/>
    <x v="7"/>
    <n v="191456.81810525031"/>
  </r>
  <r>
    <n v="87"/>
    <x v="86"/>
    <x v="2"/>
    <x v="3"/>
    <x v="6"/>
    <x v="2"/>
    <x v="3"/>
    <x v="8"/>
    <x v="4"/>
    <x v="4"/>
    <x v="3"/>
    <x v="3"/>
    <x v="2"/>
    <x v="1"/>
    <x v="1"/>
    <x v="1"/>
    <x v="1"/>
    <x v="1"/>
    <x v="1"/>
    <x v="1"/>
    <x v="1"/>
    <x v="1"/>
    <m/>
  </r>
  <r>
    <n v="88"/>
    <x v="87"/>
    <x v="2"/>
    <x v="7"/>
    <x v="12"/>
    <x v="12"/>
    <x v="11"/>
    <x v="0"/>
    <x v="10"/>
    <x v="0"/>
    <x v="12"/>
    <x v="12"/>
    <x v="12"/>
    <x v="1"/>
    <x v="1"/>
    <x v="1"/>
    <x v="1"/>
    <x v="1"/>
    <x v="1"/>
    <x v="1"/>
    <x v="1"/>
    <x v="1"/>
    <m/>
  </r>
  <r>
    <n v="89"/>
    <x v="88"/>
    <x v="11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"/>
    <x v="89"/>
    <x v="10"/>
    <x v="4"/>
    <x v="10"/>
    <x v="10"/>
    <x v="9"/>
    <x v="4"/>
    <x v="4"/>
    <x v="6"/>
    <x v="7"/>
    <x v="0"/>
    <x v="6"/>
    <x v="6"/>
    <x v="7"/>
    <x v="3"/>
    <x v="3"/>
    <x v="10"/>
    <x v="9"/>
    <x v="1"/>
    <x v="1"/>
    <x v="1"/>
    <m/>
  </r>
  <r>
    <n v="91"/>
    <x v="90"/>
    <x v="11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92"/>
    <x v="91"/>
    <x v="11"/>
    <x v="4"/>
    <x v="1"/>
    <x v="2"/>
    <x v="3"/>
    <x v="3"/>
    <x v="5"/>
    <x v="6"/>
    <x v="4"/>
    <x v="4"/>
    <x v="3"/>
    <x v="2"/>
    <x v="2"/>
    <x v="7"/>
    <x v="6"/>
    <x v="2"/>
    <x v="1"/>
    <x v="1"/>
    <x v="1"/>
    <x v="3"/>
    <n v="155401.8730226467"/>
  </r>
  <r>
    <n v="93"/>
    <x v="92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"/>
    <x v="93"/>
    <x v="6"/>
    <x v="2"/>
    <x v="1"/>
    <x v="2"/>
    <x v="3"/>
    <x v="3"/>
    <x v="5"/>
    <x v="6"/>
    <x v="4"/>
    <x v="4"/>
    <x v="3"/>
    <x v="2"/>
    <x v="2"/>
    <x v="1"/>
    <x v="1"/>
    <x v="1"/>
    <x v="1"/>
    <x v="1"/>
    <x v="1"/>
    <x v="3"/>
    <n v="141299.39356720445"/>
  </r>
  <r>
    <n v="95"/>
    <x v="94"/>
    <x v="6"/>
    <x v="3"/>
    <x v="1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96"/>
    <x v="95"/>
    <x v="11"/>
    <x v="11"/>
    <x v="3"/>
    <x v="4"/>
    <x v="8"/>
    <x v="5"/>
    <x v="11"/>
    <x v="12"/>
    <x v="0"/>
    <x v="6"/>
    <x v="6"/>
    <x v="0"/>
    <x v="8"/>
    <x v="10"/>
    <x v="9"/>
    <x v="11"/>
    <x v="9"/>
    <x v="8"/>
    <x v="8"/>
    <x v="8"/>
    <n v="151969.17234649585"/>
  </r>
  <r>
    <n v="97"/>
    <x v="96"/>
    <x v="0"/>
    <x v="2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98"/>
    <x v="97"/>
    <x v="0"/>
    <x v="0"/>
    <x v="7"/>
    <x v="7"/>
    <x v="8"/>
    <x v="5"/>
    <x v="5"/>
    <x v="6"/>
    <x v="5"/>
    <x v="8"/>
    <x v="0"/>
    <x v="6"/>
    <x v="3"/>
    <x v="3"/>
    <x v="3"/>
    <x v="0"/>
    <x v="0"/>
    <x v="4"/>
    <x v="5"/>
    <x v="5"/>
    <n v="174530.76822260747"/>
  </r>
  <r>
    <n v="99"/>
    <x v="98"/>
    <x v="2"/>
    <x v="12"/>
    <x v="11"/>
    <x v="1"/>
    <x v="7"/>
    <x v="6"/>
    <x v="6"/>
    <x v="5"/>
    <x v="6"/>
    <x v="7"/>
    <x v="5"/>
    <x v="5"/>
    <x v="4"/>
    <x v="4"/>
    <x v="4"/>
    <x v="4"/>
    <x v="4"/>
    <x v="3"/>
    <x v="4"/>
    <x v="4"/>
    <n v="612176.49915642117"/>
  </r>
  <r>
    <n v="100"/>
    <x v="99"/>
    <x v="2"/>
    <x v="2"/>
    <x v="1"/>
    <x v="2"/>
    <x v="4"/>
    <x v="4"/>
    <x v="4"/>
    <x v="4"/>
    <x v="2"/>
    <x v="4"/>
    <x v="3"/>
    <x v="2"/>
    <x v="3"/>
    <x v="7"/>
    <x v="6"/>
    <x v="2"/>
    <x v="3"/>
    <x v="2"/>
    <x v="3"/>
    <x v="7"/>
    <n v="109662.53083970392"/>
  </r>
  <r>
    <n v="101"/>
    <x v="100"/>
    <x v="11"/>
    <x v="4"/>
    <x v="2"/>
    <x v="3"/>
    <x v="5"/>
    <x v="11"/>
    <x v="9"/>
    <x v="10"/>
    <x v="9"/>
    <x v="10"/>
    <x v="0"/>
    <x v="1"/>
    <x v="7"/>
    <x v="8"/>
    <x v="7"/>
    <x v="11"/>
    <x v="10"/>
    <x v="8"/>
    <x v="9"/>
    <x v="8"/>
    <n v="455299.96665969631"/>
  </r>
  <r>
    <n v="102"/>
    <x v="101"/>
    <x v="6"/>
    <x v="2"/>
    <x v="6"/>
    <x v="6"/>
    <x v="9"/>
    <x v="4"/>
    <x v="7"/>
    <x v="13"/>
    <x v="7"/>
    <x v="4"/>
    <x v="3"/>
    <x v="2"/>
    <x v="2"/>
    <x v="7"/>
    <x v="6"/>
    <x v="3"/>
    <x v="3"/>
    <x v="2"/>
    <x v="3"/>
    <x v="3"/>
    <n v="158795.74166617543"/>
  </r>
  <r>
    <n v="103"/>
    <x v="102"/>
    <x v="4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"/>
    <x v="103"/>
    <x v="13"/>
    <x v="12"/>
    <x v="0"/>
    <x v="0"/>
    <x v="0"/>
    <x v="10"/>
    <x v="1"/>
    <x v="2"/>
    <x v="3"/>
    <x v="3"/>
    <x v="2"/>
    <x v="1"/>
    <x v="1"/>
    <x v="1"/>
    <x v="1"/>
    <x v="1"/>
    <x v="1"/>
    <x v="1"/>
    <x v="1"/>
    <x v="1"/>
    <m/>
  </r>
  <r>
    <n v="105"/>
    <x v="104"/>
    <x v="11"/>
    <x v="11"/>
    <x v="2"/>
    <x v="3"/>
    <x v="4"/>
    <x v="5"/>
    <x v="5"/>
    <x v="4"/>
    <x v="4"/>
    <x v="5"/>
    <x v="0"/>
    <x v="0"/>
    <x v="0"/>
    <x v="0"/>
    <x v="10"/>
    <x v="0"/>
    <x v="8"/>
    <x v="0"/>
    <x v="0"/>
    <x v="0"/>
    <n v="932913.6459439185"/>
  </r>
  <r>
    <n v="106"/>
    <x v="105"/>
    <x v="6"/>
    <x v="3"/>
    <x v="10"/>
    <x v="10"/>
    <x v="4"/>
    <x v="4"/>
    <x v="3"/>
    <x v="2"/>
    <x v="3"/>
    <x v="3"/>
    <x v="2"/>
    <x v="1"/>
    <x v="1"/>
    <x v="1"/>
    <x v="1"/>
    <x v="1"/>
    <x v="1"/>
    <x v="1"/>
    <x v="1"/>
    <x v="1"/>
    <m/>
  </r>
  <r>
    <n v="107"/>
    <x v="106"/>
    <x v="6"/>
    <x v="3"/>
    <x v="10"/>
    <x v="10"/>
    <x v="5"/>
    <x v="4"/>
    <x v="4"/>
    <x v="4"/>
    <x v="3"/>
    <x v="3"/>
    <x v="2"/>
    <x v="1"/>
    <x v="1"/>
    <x v="1"/>
    <x v="1"/>
    <x v="1"/>
    <x v="1"/>
    <x v="1"/>
    <x v="1"/>
    <x v="1"/>
    <m/>
  </r>
  <r>
    <n v="108"/>
    <x v="107"/>
    <x v="2"/>
    <x v="3"/>
    <x v="10"/>
    <x v="10"/>
    <x v="6"/>
    <x v="8"/>
    <x v="7"/>
    <x v="2"/>
    <x v="3"/>
    <x v="4"/>
    <x v="3"/>
    <x v="4"/>
    <x v="3"/>
    <x v="3"/>
    <x v="3"/>
    <x v="1"/>
    <x v="1"/>
    <x v="1"/>
    <x v="1"/>
    <x v="1"/>
    <m/>
  </r>
  <r>
    <n v="109"/>
    <x v="108"/>
    <x v="0"/>
    <x v="0"/>
    <x v="2"/>
    <x v="3"/>
    <x v="5"/>
    <x v="2"/>
    <x v="2"/>
    <x v="3"/>
    <x v="2"/>
    <x v="8"/>
    <x v="0"/>
    <x v="3"/>
    <x v="10"/>
    <x v="3"/>
    <x v="3"/>
    <x v="9"/>
    <x v="8"/>
    <x v="1"/>
    <x v="7"/>
    <x v="9"/>
    <n v="133596.58708600831"/>
  </r>
  <r>
    <n v="110"/>
    <x v="109"/>
    <x v="2"/>
    <x v="2"/>
    <x v="1"/>
    <x v="2"/>
    <x v="3"/>
    <x v="4"/>
    <x v="4"/>
    <x v="4"/>
    <x v="4"/>
    <x v="4"/>
    <x v="3"/>
    <x v="2"/>
    <x v="6"/>
    <x v="1"/>
    <x v="1"/>
    <x v="2"/>
    <x v="1"/>
    <x v="1"/>
    <x v="1"/>
    <x v="1"/>
    <m/>
  </r>
  <r>
    <n v="111"/>
    <x v="110"/>
    <x v="6"/>
    <x v="2"/>
    <x v="1"/>
    <x v="3"/>
    <x v="4"/>
    <x v="3"/>
    <x v="3"/>
    <x v="2"/>
    <x v="3"/>
    <x v="3"/>
    <x v="2"/>
    <x v="1"/>
    <x v="1"/>
    <x v="1"/>
    <x v="1"/>
    <x v="1"/>
    <x v="1"/>
    <x v="1"/>
    <x v="1"/>
    <x v="1"/>
    <m/>
  </r>
  <r>
    <n v="112"/>
    <x v="111"/>
    <x v="11"/>
    <x v="11"/>
    <x v="2"/>
    <x v="3"/>
    <x v="4"/>
    <x v="5"/>
    <x v="2"/>
    <x v="1"/>
    <x v="2"/>
    <x v="6"/>
    <x v="8"/>
    <x v="6"/>
    <x v="7"/>
    <x v="3"/>
    <x v="3"/>
    <x v="9"/>
    <x v="0"/>
    <x v="4"/>
    <x v="7"/>
    <x v="0"/>
    <n v="155047.15504618458"/>
  </r>
  <r>
    <n v="113"/>
    <x v="112"/>
    <x v="11"/>
    <x v="4"/>
    <x v="3"/>
    <x v="4"/>
    <x v="8"/>
    <x v="5"/>
    <x v="5"/>
    <x v="6"/>
    <x v="7"/>
    <x v="2"/>
    <x v="3"/>
    <x v="2"/>
    <x v="6"/>
    <x v="7"/>
    <x v="2"/>
    <x v="3"/>
    <x v="3"/>
    <x v="0"/>
    <x v="3"/>
    <x v="3"/>
    <n v="209184.6350835193"/>
  </r>
  <r>
    <n v="114"/>
    <x v="113"/>
    <x v="11"/>
    <x v="11"/>
    <x v="10"/>
    <x v="2"/>
    <x v="4"/>
    <x v="4"/>
    <x v="4"/>
    <x v="4"/>
    <x v="4"/>
    <x v="4"/>
    <x v="3"/>
    <x v="4"/>
    <x v="3"/>
    <x v="7"/>
    <x v="6"/>
    <x v="3"/>
    <x v="3"/>
    <x v="2"/>
    <x v="3"/>
    <x v="3"/>
    <n v="155724.51197623895"/>
  </r>
  <r>
    <n v="115"/>
    <x v="114"/>
    <x v="3"/>
    <x v="0"/>
    <x v="3"/>
    <x v="4"/>
    <x v="8"/>
    <x v="5"/>
    <x v="5"/>
    <x v="6"/>
    <x v="5"/>
    <x v="10"/>
    <x v="9"/>
    <x v="7"/>
    <x v="8"/>
    <x v="6"/>
    <x v="10"/>
    <x v="10"/>
    <x v="8"/>
    <x v="0"/>
    <x v="0"/>
    <x v="7"/>
    <n v="259602.54520666509"/>
  </r>
  <r>
    <n v="116"/>
    <x v="115"/>
    <x v="0"/>
    <x v="7"/>
    <x v="12"/>
    <x v="12"/>
    <x v="3"/>
    <x v="0"/>
    <x v="0"/>
    <x v="7"/>
    <x v="8"/>
    <x v="9"/>
    <x v="10"/>
    <x v="10"/>
    <x v="5"/>
    <x v="0"/>
    <x v="8"/>
    <x v="8"/>
    <x v="7"/>
    <x v="8"/>
    <x v="8"/>
    <x v="8"/>
    <n v="109316.43337146545"/>
  </r>
  <r>
    <n v="117"/>
    <x v="116"/>
    <x v="11"/>
    <x v="4"/>
    <x v="2"/>
    <x v="3"/>
    <x v="8"/>
    <x v="5"/>
    <x v="5"/>
    <x v="2"/>
    <x v="3"/>
    <x v="3"/>
    <x v="2"/>
    <x v="1"/>
    <x v="1"/>
    <x v="1"/>
    <x v="1"/>
    <x v="1"/>
    <x v="1"/>
    <x v="1"/>
    <x v="1"/>
    <x v="1"/>
    <m/>
  </r>
  <r>
    <n v="118"/>
    <x v="117"/>
    <x v="4"/>
    <x v="4"/>
    <x v="2"/>
    <x v="3"/>
    <x v="8"/>
    <x v="0"/>
    <x v="4"/>
    <x v="4"/>
    <x v="4"/>
    <x v="4"/>
    <x v="3"/>
    <x v="2"/>
    <x v="2"/>
    <x v="3"/>
    <x v="3"/>
    <x v="0"/>
    <x v="3"/>
    <x v="2"/>
    <x v="3"/>
    <x v="3"/>
    <n v="131423.32810848366"/>
  </r>
  <r>
    <n v="119"/>
    <x v="118"/>
    <x v="14"/>
    <x v="14"/>
    <x v="13"/>
    <x v="13"/>
    <x v="3"/>
    <x v="3"/>
    <x v="3"/>
    <x v="2"/>
    <x v="3"/>
    <x v="3"/>
    <x v="2"/>
    <x v="1"/>
    <x v="1"/>
    <x v="1"/>
    <x v="1"/>
    <x v="1"/>
    <x v="1"/>
    <x v="1"/>
    <x v="1"/>
    <x v="1"/>
    <m/>
  </r>
  <r>
    <n v="120"/>
    <x v="119"/>
    <x v="11"/>
    <x v="3"/>
    <x v="10"/>
    <x v="10"/>
    <x v="4"/>
    <x v="3"/>
    <x v="3"/>
    <x v="2"/>
    <x v="3"/>
    <x v="3"/>
    <x v="2"/>
    <x v="1"/>
    <x v="1"/>
    <x v="1"/>
    <x v="1"/>
    <x v="1"/>
    <x v="1"/>
    <x v="1"/>
    <x v="1"/>
    <x v="1"/>
    <m/>
  </r>
  <r>
    <n v="121"/>
    <x v="120"/>
    <x v="11"/>
    <x v="4"/>
    <x v="2"/>
    <x v="3"/>
    <x v="5"/>
    <x v="0"/>
    <x v="2"/>
    <x v="6"/>
    <x v="0"/>
    <x v="8"/>
    <x v="8"/>
    <x v="0"/>
    <x v="7"/>
    <x v="3"/>
    <x v="10"/>
    <x v="0"/>
    <x v="0"/>
    <x v="0"/>
    <x v="7"/>
    <x v="7"/>
    <n v="140674.63674431006"/>
  </r>
  <r>
    <n v="122"/>
    <x v="121"/>
    <x v="1"/>
    <x v="7"/>
    <x v="7"/>
    <x v="7"/>
    <x v="5"/>
    <x v="5"/>
    <x v="5"/>
    <x v="6"/>
    <x v="2"/>
    <x v="6"/>
    <x v="4"/>
    <x v="2"/>
    <x v="3"/>
    <x v="3"/>
    <x v="3"/>
    <x v="3"/>
    <x v="3"/>
    <x v="2"/>
    <x v="3"/>
    <x v="3"/>
    <n v="198727.34355967041"/>
  </r>
  <r>
    <n v="123"/>
    <x v="122"/>
    <x v="6"/>
    <x v="9"/>
    <x v="10"/>
    <x v="10"/>
    <x v="5"/>
    <x v="2"/>
    <x v="4"/>
    <x v="4"/>
    <x v="4"/>
    <x v="4"/>
    <x v="2"/>
    <x v="1"/>
    <x v="1"/>
    <x v="1"/>
    <x v="1"/>
    <x v="1"/>
    <x v="1"/>
    <x v="1"/>
    <x v="1"/>
    <x v="1"/>
    <m/>
  </r>
  <r>
    <n v="124"/>
    <x v="123"/>
    <x v="2"/>
    <x v="2"/>
    <x v="10"/>
    <x v="10"/>
    <x v="9"/>
    <x v="13"/>
    <x v="12"/>
    <x v="13"/>
    <x v="7"/>
    <x v="5"/>
    <x v="6"/>
    <x v="0"/>
    <x v="6"/>
    <x v="7"/>
    <x v="6"/>
    <x v="3"/>
    <x v="3"/>
    <x v="4"/>
    <x v="7"/>
    <x v="7"/>
    <n v="114972.88205340815"/>
  </r>
  <r>
    <n v="125"/>
    <x v="124"/>
    <x v="6"/>
    <x v="2"/>
    <x v="1"/>
    <x v="6"/>
    <x v="3"/>
    <x v="8"/>
    <x v="7"/>
    <x v="8"/>
    <x v="3"/>
    <x v="3"/>
    <x v="13"/>
    <x v="8"/>
    <x v="11"/>
    <x v="2"/>
    <x v="2"/>
    <x v="3"/>
    <x v="2"/>
    <x v="5"/>
    <x v="3"/>
    <x v="3"/>
    <n v="582412.58619489707"/>
  </r>
  <r>
    <n v="126"/>
    <x v="125"/>
    <x v="2"/>
    <x v="13"/>
    <x v="9"/>
    <x v="8"/>
    <x v="1"/>
    <x v="3"/>
    <x v="3"/>
    <x v="2"/>
    <x v="3"/>
    <x v="3"/>
    <x v="2"/>
    <x v="1"/>
    <x v="1"/>
    <x v="1"/>
    <x v="1"/>
    <x v="1"/>
    <x v="1"/>
    <x v="1"/>
    <x v="1"/>
    <x v="1"/>
    <m/>
  </r>
  <r>
    <n v="127"/>
    <x v="126"/>
    <x v="6"/>
    <x v="0"/>
    <x v="6"/>
    <x v="6"/>
    <x v="3"/>
    <x v="3"/>
    <x v="3"/>
    <x v="2"/>
    <x v="3"/>
    <x v="2"/>
    <x v="13"/>
    <x v="12"/>
    <x v="1"/>
    <x v="11"/>
    <x v="6"/>
    <x v="3"/>
    <x v="0"/>
    <x v="4"/>
    <x v="0"/>
    <x v="0"/>
    <n v="581471.77253817592"/>
  </r>
  <r>
    <n v="128"/>
    <x v="127"/>
    <x v="2"/>
    <x v="4"/>
    <x v="12"/>
    <x v="12"/>
    <x v="3"/>
    <x v="8"/>
    <x v="4"/>
    <x v="4"/>
    <x v="3"/>
    <x v="3"/>
    <x v="7"/>
    <x v="8"/>
    <x v="1"/>
    <x v="2"/>
    <x v="2"/>
    <x v="3"/>
    <x v="1"/>
    <x v="0"/>
    <x v="7"/>
    <x v="0"/>
    <n v="1050010.2903843494"/>
  </r>
  <r>
    <n v="129"/>
    <x v="128"/>
    <x v="11"/>
    <x v="3"/>
    <x v="6"/>
    <x v="6"/>
    <x v="3"/>
    <x v="8"/>
    <x v="4"/>
    <x v="4"/>
    <x v="3"/>
    <x v="3"/>
    <x v="2"/>
    <x v="1"/>
    <x v="1"/>
    <x v="1"/>
    <x v="1"/>
    <x v="1"/>
    <x v="3"/>
    <x v="0"/>
    <x v="0"/>
    <x v="7"/>
    <n v="193025.71829200225"/>
  </r>
  <r>
    <n v="130"/>
    <x v="129"/>
    <x v="5"/>
    <x v="2"/>
    <x v="1"/>
    <x v="2"/>
    <x v="3"/>
    <x v="13"/>
    <x v="7"/>
    <x v="8"/>
    <x v="3"/>
    <x v="3"/>
    <x v="2"/>
    <x v="1"/>
    <x v="1"/>
    <x v="1"/>
    <x v="1"/>
    <x v="1"/>
    <x v="1"/>
    <x v="1"/>
    <x v="1"/>
    <x v="1"/>
    <m/>
  </r>
  <r>
    <n v="131"/>
    <x v="130"/>
    <x v="11"/>
    <x v="11"/>
    <x v="10"/>
    <x v="10"/>
    <x v="8"/>
    <x v="4"/>
    <x v="4"/>
    <x v="4"/>
    <x v="4"/>
    <x v="4"/>
    <x v="3"/>
    <x v="2"/>
    <x v="1"/>
    <x v="1"/>
    <x v="1"/>
    <x v="1"/>
    <x v="1"/>
    <x v="1"/>
    <x v="1"/>
    <x v="1"/>
    <m/>
  </r>
  <r>
    <n v="132"/>
    <x v="131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3"/>
    <x v="132"/>
    <x v="0"/>
    <x v="11"/>
    <x v="2"/>
    <x v="3"/>
    <x v="4"/>
    <x v="5"/>
    <x v="5"/>
    <x v="6"/>
    <x v="4"/>
    <x v="4"/>
    <x v="8"/>
    <x v="4"/>
    <x v="3"/>
    <x v="7"/>
    <x v="3"/>
    <x v="1"/>
    <x v="1"/>
    <x v="1"/>
    <x v="1"/>
    <x v="1"/>
    <m/>
  </r>
  <r>
    <n v="134"/>
    <x v="133"/>
    <x v="3"/>
    <x v="11"/>
    <x v="3"/>
    <x v="4"/>
    <x v="8"/>
    <x v="0"/>
    <x v="9"/>
    <x v="1"/>
    <x v="0"/>
    <x v="8"/>
    <x v="8"/>
    <x v="6"/>
    <x v="3"/>
    <x v="5"/>
    <x v="3"/>
    <x v="3"/>
    <x v="3"/>
    <x v="0"/>
    <x v="0"/>
    <x v="7"/>
    <n v="342589.94511555915"/>
  </r>
  <r>
    <n v="135"/>
    <x v="134"/>
    <x v="6"/>
    <x v="0"/>
    <x v="3"/>
    <x v="3"/>
    <x v="8"/>
    <x v="2"/>
    <x v="2"/>
    <x v="6"/>
    <x v="2"/>
    <x v="6"/>
    <x v="4"/>
    <x v="6"/>
    <x v="3"/>
    <x v="3"/>
    <x v="1"/>
    <x v="1"/>
    <x v="1"/>
    <x v="1"/>
    <x v="1"/>
    <x v="1"/>
    <m/>
  </r>
  <r>
    <n v="136"/>
    <x v="135"/>
    <x v="11"/>
    <x v="11"/>
    <x v="2"/>
    <x v="3"/>
    <x v="4"/>
    <x v="4"/>
    <x v="4"/>
    <x v="4"/>
    <x v="2"/>
    <x v="4"/>
    <x v="4"/>
    <x v="4"/>
    <x v="3"/>
    <x v="3"/>
    <x v="3"/>
    <x v="0"/>
    <x v="0"/>
    <x v="0"/>
    <x v="0"/>
    <x v="7"/>
    <n v="143699.84565567705"/>
  </r>
  <r>
    <n v="137"/>
    <x v="136"/>
    <x v="6"/>
    <x v="4"/>
    <x v="1"/>
    <x v="2"/>
    <x v="8"/>
    <x v="11"/>
    <x v="11"/>
    <x v="1"/>
    <x v="5"/>
    <x v="8"/>
    <x v="2"/>
    <x v="1"/>
    <x v="1"/>
    <x v="1"/>
    <x v="1"/>
    <x v="1"/>
    <x v="1"/>
    <x v="1"/>
    <x v="1"/>
    <x v="1"/>
    <m/>
  </r>
  <r>
    <n v="138"/>
    <x v="137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9"/>
    <x v="138"/>
    <x v="4"/>
    <x v="12"/>
    <x v="11"/>
    <x v="11"/>
    <x v="0"/>
    <x v="12"/>
    <x v="3"/>
    <x v="2"/>
    <x v="3"/>
    <x v="3"/>
    <x v="2"/>
    <x v="1"/>
    <x v="1"/>
    <x v="1"/>
    <x v="1"/>
    <x v="1"/>
    <x v="1"/>
    <x v="1"/>
    <x v="1"/>
    <x v="1"/>
    <m/>
  </r>
  <r>
    <n v="140"/>
    <x v="139"/>
    <x v="12"/>
    <x v="1"/>
    <x v="8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1"/>
    <x v="140"/>
    <x v="4"/>
    <x v="0"/>
    <x v="0"/>
    <x v="0"/>
    <x v="12"/>
    <x v="7"/>
    <x v="3"/>
    <x v="2"/>
    <x v="3"/>
    <x v="3"/>
    <x v="2"/>
    <x v="1"/>
    <x v="1"/>
    <x v="1"/>
    <x v="1"/>
    <x v="1"/>
    <x v="1"/>
    <x v="1"/>
    <x v="1"/>
    <x v="1"/>
    <m/>
  </r>
  <r>
    <n v="142"/>
    <x v="141"/>
    <x v="11"/>
    <x v="4"/>
    <x v="6"/>
    <x v="6"/>
    <x v="6"/>
    <x v="8"/>
    <x v="12"/>
    <x v="13"/>
    <x v="7"/>
    <x v="13"/>
    <x v="13"/>
    <x v="8"/>
    <x v="6"/>
    <x v="11"/>
    <x v="6"/>
    <x v="0"/>
    <x v="0"/>
    <x v="2"/>
    <x v="0"/>
    <x v="7"/>
    <n v="334838.16574413481"/>
  </r>
  <r>
    <n v="143"/>
    <x v="142"/>
    <x v="1"/>
    <x v="2"/>
    <x v="2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4"/>
    <x v="143"/>
    <x v="6"/>
    <x v="4"/>
    <x v="6"/>
    <x v="6"/>
    <x v="6"/>
    <x v="8"/>
    <x v="7"/>
    <x v="8"/>
    <x v="7"/>
    <x v="2"/>
    <x v="7"/>
    <x v="4"/>
    <x v="3"/>
    <x v="1"/>
    <x v="1"/>
    <x v="1"/>
    <x v="1"/>
    <x v="1"/>
    <x v="1"/>
    <x v="1"/>
    <m/>
  </r>
  <r>
    <n v="145"/>
    <x v="144"/>
    <x v="2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6"/>
    <x v="145"/>
    <x v="3"/>
    <x v="0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7"/>
    <x v="146"/>
    <x v="11"/>
    <x v="4"/>
    <x v="2"/>
    <x v="3"/>
    <x v="5"/>
    <x v="8"/>
    <x v="7"/>
    <x v="2"/>
    <x v="2"/>
    <x v="6"/>
    <x v="12"/>
    <x v="4"/>
    <x v="3"/>
    <x v="3"/>
    <x v="10"/>
    <x v="10"/>
    <x v="9"/>
    <x v="4"/>
    <x v="1"/>
    <x v="1"/>
    <m/>
  </r>
  <r>
    <n v="148"/>
    <x v="147"/>
    <x v="11"/>
    <x v="11"/>
    <x v="3"/>
    <x v="12"/>
    <x v="2"/>
    <x v="9"/>
    <x v="3"/>
    <x v="2"/>
    <x v="3"/>
    <x v="3"/>
    <x v="2"/>
    <x v="1"/>
    <x v="1"/>
    <x v="1"/>
    <x v="1"/>
    <x v="1"/>
    <x v="1"/>
    <x v="1"/>
    <x v="1"/>
    <x v="1"/>
    <m/>
  </r>
  <r>
    <n v="149"/>
    <x v="148"/>
    <x v="11"/>
    <x v="11"/>
    <x v="6"/>
    <x v="6"/>
    <x v="9"/>
    <x v="8"/>
    <x v="3"/>
    <x v="13"/>
    <x v="13"/>
    <x v="2"/>
    <x v="2"/>
    <x v="2"/>
    <x v="1"/>
    <x v="1"/>
    <x v="1"/>
    <x v="1"/>
    <x v="3"/>
    <x v="1"/>
    <x v="1"/>
    <x v="1"/>
    <m/>
  </r>
  <r>
    <n v="150"/>
    <x v="149"/>
    <x v="6"/>
    <x v="3"/>
    <x v="6"/>
    <x v="6"/>
    <x v="8"/>
    <x v="4"/>
    <x v="3"/>
    <x v="1"/>
    <x v="3"/>
    <x v="3"/>
    <x v="2"/>
    <x v="1"/>
    <x v="1"/>
    <x v="1"/>
    <x v="1"/>
    <x v="3"/>
    <x v="3"/>
    <x v="0"/>
    <x v="1"/>
    <x v="3"/>
    <n v="1869100.0419152423"/>
  </r>
  <r>
    <n v="151"/>
    <x v="150"/>
    <x v="6"/>
    <x v="3"/>
    <x v="10"/>
    <x v="10"/>
    <x v="6"/>
    <x v="4"/>
    <x v="4"/>
    <x v="4"/>
    <x v="4"/>
    <x v="2"/>
    <x v="7"/>
    <x v="1"/>
    <x v="1"/>
    <x v="1"/>
    <x v="1"/>
    <x v="1"/>
    <x v="1"/>
    <x v="1"/>
    <x v="1"/>
    <x v="1"/>
    <m/>
  </r>
  <r>
    <n v="152"/>
    <x v="151"/>
    <x v="6"/>
    <x v="11"/>
    <x v="1"/>
    <x v="6"/>
    <x v="6"/>
    <x v="13"/>
    <x v="12"/>
    <x v="3"/>
    <x v="5"/>
    <x v="8"/>
    <x v="8"/>
    <x v="6"/>
    <x v="2"/>
    <x v="7"/>
    <x v="6"/>
    <x v="0"/>
    <x v="0"/>
    <x v="2"/>
    <x v="3"/>
    <x v="3"/>
    <n v="211494.30142322465"/>
  </r>
  <r>
    <n v="153"/>
    <x v="152"/>
    <x v="2"/>
    <x v="2"/>
    <x v="1"/>
    <x v="2"/>
    <x v="3"/>
    <x v="3"/>
    <x v="5"/>
    <x v="6"/>
    <x v="4"/>
    <x v="4"/>
    <x v="3"/>
    <x v="1"/>
    <x v="1"/>
    <x v="1"/>
    <x v="1"/>
    <x v="1"/>
    <x v="1"/>
    <x v="1"/>
    <x v="1"/>
    <x v="1"/>
    <m/>
  </r>
  <r>
    <n v="154"/>
    <x v="153"/>
    <x v="2"/>
    <x v="2"/>
    <x v="1"/>
    <x v="3"/>
    <x v="4"/>
    <x v="3"/>
    <x v="3"/>
    <x v="2"/>
    <x v="3"/>
    <x v="3"/>
    <x v="2"/>
    <x v="1"/>
    <x v="1"/>
    <x v="11"/>
    <x v="1"/>
    <x v="1"/>
    <x v="1"/>
    <x v="1"/>
    <x v="1"/>
    <x v="1"/>
    <m/>
  </r>
  <r>
    <n v="155"/>
    <x v="154"/>
    <x v="1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6"/>
    <x v="155"/>
    <x v="0"/>
    <x v="0"/>
    <x v="10"/>
    <x v="10"/>
    <x v="0"/>
    <x v="0"/>
    <x v="5"/>
    <x v="2"/>
    <x v="3"/>
    <x v="3"/>
    <x v="2"/>
    <x v="1"/>
    <x v="1"/>
    <x v="1"/>
    <x v="1"/>
    <x v="1"/>
    <x v="1"/>
    <x v="1"/>
    <x v="1"/>
    <x v="1"/>
    <m/>
  </r>
  <r>
    <n v="157"/>
    <x v="156"/>
    <x v="2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8"/>
    <x v="157"/>
    <x v="3"/>
    <x v="11"/>
    <x v="7"/>
    <x v="7"/>
    <x v="4"/>
    <x v="4"/>
    <x v="2"/>
    <x v="6"/>
    <x v="2"/>
    <x v="5"/>
    <x v="8"/>
    <x v="0"/>
    <x v="7"/>
    <x v="0"/>
    <x v="0"/>
    <x v="9"/>
    <x v="10"/>
    <x v="6"/>
    <x v="10"/>
    <x v="1"/>
    <m/>
  </r>
  <r>
    <n v="159"/>
    <x v="158"/>
    <x v="2"/>
    <x v="2"/>
    <x v="1"/>
    <x v="3"/>
    <x v="4"/>
    <x v="5"/>
    <x v="2"/>
    <x v="3"/>
    <x v="2"/>
    <x v="6"/>
    <x v="4"/>
    <x v="4"/>
    <x v="2"/>
    <x v="5"/>
    <x v="10"/>
    <x v="10"/>
    <x v="9"/>
    <x v="9"/>
    <x v="5"/>
    <x v="0"/>
    <n v="112455.71634296617"/>
  </r>
  <r>
    <n v="160"/>
    <x v="159"/>
    <x v="10"/>
    <x v="11"/>
    <x v="2"/>
    <x v="3"/>
    <x v="4"/>
    <x v="5"/>
    <x v="9"/>
    <x v="6"/>
    <x v="0"/>
    <x v="0"/>
    <x v="10"/>
    <x v="10"/>
    <x v="1"/>
    <x v="1"/>
    <x v="1"/>
    <x v="1"/>
    <x v="1"/>
    <x v="1"/>
    <x v="1"/>
    <x v="1"/>
    <m/>
  </r>
  <r>
    <n v="161"/>
    <x v="160"/>
    <x v="6"/>
    <x v="3"/>
    <x v="6"/>
    <x v="6"/>
    <x v="6"/>
    <x v="4"/>
    <x v="2"/>
    <x v="6"/>
    <x v="5"/>
    <x v="6"/>
    <x v="4"/>
    <x v="6"/>
    <x v="12"/>
    <x v="10"/>
    <x v="9"/>
    <x v="11"/>
    <x v="10"/>
    <x v="8"/>
    <x v="8"/>
    <x v="5"/>
    <n v="116093.01590387151"/>
  </r>
  <r>
    <n v="162"/>
    <x v="161"/>
    <x v="0"/>
    <x v="3"/>
    <x v="7"/>
    <x v="7"/>
    <x v="5"/>
    <x v="4"/>
    <x v="4"/>
    <x v="2"/>
    <x v="3"/>
    <x v="3"/>
    <x v="2"/>
    <x v="1"/>
    <x v="1"/>
    <x v="1"/>
    <x v="1"/>
    <x v="1"/>
    <x v="1"/>
    <x v="1"/>
    <x v="1"/>
    <x v="1"/>
    <m/>
  </r>
  <r>
    <n v="163"/>
    <x v="162"/>
    <x v="6"/>
    <x v="3"/>
    <x v="10"/>
    <x v="10"/>
    <x v="3"/>
    <x v="3"/>
    <x v="3"/>
    <x v="2"/>
    <x v="2"/>
    <x v="9"/>
    <x v="10"/>
    <x v="10"/>
    <x v="12"/>
    <x v="1"/>
    <x v="1"/>
    <x v="1"/>
    <x v="1"/>
    <x v="1"/>
    <x v="1"/>
    <x v="1"/>
    <m/>
  </r>
  <r>
    <n v="164"/>
    <x v="163"/>
    <x v="4"/>
    <x v="6"/>
    <x v="12"/>
    <x v="12"/>
    <x v="2"/>
    <x v="3"/>
    <x v="3"/>
    <x v="2"/>
    <x v="3"/>
    <x v="3"/>
    <x v="2"/>
    <x v="1"/>
    <x v="1"/>
    <x v="1"/>
    <x v="1"/>
    <x v="1"/>
    <x v="1"/>
    <x v="1"/>
    <x v="1"/>
    <x v="1"/>
    <m/>
  </r>
  <r>
    <n v="165"/>
    <x v="164"/>
    <x v="0"/>
    <x v="11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276820.82477667439"/>
  </r>
  <r>
    <n v="166"/>
    <x v="165"/>
    <x v="10"/>
    <x v="3"/>
    <x v="10"/>
    <x v="10"/>
    <x v="6"/>
    <x v="8"/>
    <x v="7"/>
    <x v="4"/>
    <x v="4"/>
    <x v="4"/>
    <x v="7"/>
    <x v="2"/>
    <x v="2"/>
    <x v="5"/>
    <x v="10"/>
    <x v="9"/>
    <x v="8"/>
    <x v="4"/>
    <x v="7"/>
    <x v="0"/>
    <n v="165577.6714005692"/>
  </r>
  <r>
    <n v="167"/>
    <x v="166"/>
    <x v="0"/>
    <x v="3"/>
    <x v="0"/>
    <x v="0"/>
    <x v="11"/>
    <x v="7"/>
    <x v="9"/>
    <x v="1"/>
    <x v="0"/>
    <x v="6"/>
    <x v="4"/>
    <x v="4"/>
    <x v="3"/>
    <x v="7"/>
    <x v="6"/>
    <x v="2"/>
    <x v="1"/>
    <x v="1"/>
    <x v="1"/>
    <x v="1"/>
    <m/>
  </r>
  <r>
    <n v="168"/>
    <x v="167"/>
    <x v="11"/>
    <x v="11"/>
    <x v="10"/>
    <x v="10"/>
    <x v="4"/>
    <x v="4"/>
    <x v="4"/>
    <x v="4"/>
    <x v="7"/>
    <x v="4"/>
    <x v="2"/>
    <x v="8"/>
    <x v="2"/>
    <x v="2"/>
    <x v="2"/>
    <x v="2"/>
    <x v="2"/>
    <x v="5"/>
    <x v="2"/>
    <x v="3"/>
    <n v="419853.2377272179"/>
  </r>
  <r>
    <n v="169"/>
    <x v="168"/>
    <x v="6"/>
    <x v="2"/>
    <x v="7"/>
    <x v="4"/>
    <x v="8"/>
    <x v="5"/>
    <x v="2"/>
    <x v="2"/>
    <x v="3"/>
    <x v="3"/>
    <x v="2"/>
    <x v="1"/>
    <x v="1"/>
    <x v="1"/>
    <x v="1"/>
    <x v="1"/>
    <x v="1"/>
    <x v="1"/>
    <x v="1"/>
    <x v="1"/>
    <m/>
  </r>
  <r>
    <n v="170"/>
    <x v="169"/>
    <x v="2"/>
    <x v="5"/>
    <x v="7"/>
    <x v="7"/>
    <x v="3"/>
    <x v="3"/>
    <x v="3"/>
    <x v="2"/>
    <x v="3"/>
    <x v="3"/>
    <x v="2"/>
    <x v="1"/>
    <x v="1"/>
    <x v="1"/>
    <x v="1"/>
    <x v="1"/>
    <x v="1"/>
    <x v="1"/>
    <x v="1"/>
    <x v="1"/>
    <m/>
  </r>
  <r>
    <n v="171"/>
    <x v="170"/>
    <x v="2"/>
    <x v="11"/>
    <x v="2"/>
    <x v="3"/>
    <x v="4"/>
    <x v="2"/>
    <x v="5"/>
    <x v="2"/>
    <x v="3"/>
    <x v="3"/>
    <x v="2"/>
    <x v="1"/>
    <x v="1"/>
    <x v="1"/>
    <x v="1"/>
    <x v="1"/>
    <x v="1"/>
    <x v="1"/>
    <x v="1"/>
    <x v="1"/>
    <m/>
  </r>
  <r>
    <n v="172"/>
    <x v="171"/>
    <x v="2"/>
    <x v="11"/>
    <x v="3"/>
    <x v="4"/>
    <x v="5"/>
    <x v="2"/>
    <x v="2"/>
    <x v="3"/>
    <x v="2"/>
    <x v="8"/>
    <x v="8"/>
    <x v="4"/>
    <x v="7"/>
    <x v="3"/>
    <x v="0"/>
    <x v="9"/>
    <x v="0"/>
    <x v="0"/>
    <x v="7"/>
    <x v="0"/>
    <n v="346083.28602882795"/>
  </r>
  <r>
    <n v="173"/>
    <x v="172"/>
    <x v="2"/>
    <x v="2"/>
    <x v="1"/>
    <x v="3"/>
    <x v="4"/>
    <x v="4"/>
    <x v="5"/>
    <x v="6"/>
    <x v="2"/>
    <x v="4"/>
    <x v="3"/>
    <x v="2"/>
    <x v="2"/>
    <x v="2"/>
    <x v="6"/>
    <x v="2"/>
    <x v="2"/>
    <x v="1"/>
    <x v="1"/>
    <x v="1"/>
    <m/>
  </r>
  <r>
    <n v="174"/>
    <x v="173"/>
    <x v="2"/>
    <x v="11"/>
    <x v="3"/>
    <x v="4"/>
    <x v="5"/>
    <x v="5"/>
    <x v="5"/>
    <x v="6"/>
    <x v="4"/>
    <x v="4"/>
    <x v="3"/>
    <x v="4"/>
    <x v="3"/>
    <x v="5"/>
    <x v="0"/>
    <x v="10"/>
    <x v="9"/>
    <x v="9"/>
    <x v="5"/>
    <x v="9"/>
    <n v="118162.88560900597"/>
  </r>
  <r>
    <n v="175"/>
    <x v="174"/>
    <x v="2"/>
    <x v="4"/>
    <x v="0"/>
    <x v="0"/>
    <x v="6"/>
    <x v="5"/>
    <x v="0"/>
    <x v="7"/>
    <x v="3"/>
    <x v="3"/>
    <x v="2"/>
    <x v="1"/>
    <x v="1"/>
    <x v="1"/>
    <x v="1"/>
    <x v="1"/>
    <x v="1"/>
    <x v="1"/>
    <x v="1"/>
    <x v="1"/>
    <m/>
  </r>
  <r>
    <n v="176"/>
    <x v="17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7"/>
    <x v="176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78"/>
    <x v="177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9"/>
    <x v="178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80"/>
    <x v="179"/>
    <x v="2"/>
    <x v="3"/>
    <x v="1"/>
    <x v="2"/>
    <x v="9"/>
    <x v="4"/>
    <x v="3"/>
    <x v="2"/>
    <x v="3"/>
    <x v="3"/>
    <x v="2"/>
    <x v="1"/>
    <x v="1"/>
    <x v="1"/>
    <x v="1"/>
    <x v="1"/>
    <x v="1"/>
    <x v="1"/>
    <x v="1"/>
    <x v="1"/>
    <m/>
  </r>
  <r>
    <n v="181"/>
    <x v="180"/>
    <x v="2"/>
    <x v="2"/>
    <x v="1"/>
    <x v="2"/>
    <x v="9"/>
    <x v="0"/>
    <x v="9"/>
    <x v="2"/>
    <x v="3"/>
    <x v="3"/>
    <x v="2"/>
    <x v="1"/>
    <x v="1"/>
    <x v="1"/>
    <x v="1"/>
    <x v="1"/>
    <x v="1"/>
    <x v="1"/>
    <x v="1"/>
    <x v="1"/>
    <m/>
  </r>
  <r>
    <n v="182"/>
    <x v="181"/>
    <x v="2"/>
    <x v="3"/>
    <x v="1"/>
    <x v="6"/>
    <x v="3"/>
    <x v="3"/>
    <x v="3"/>
    <x v="2"/>
    <x v="3"/>
    <x v="3"/>
    <x v="2"/>
    <x v="1"/>
    <x v="1"/>
    <x v="1"/>
    <x v="1"/>
    <x v="1"/>
    <x v="1"/>
    <x v="1"/>
    <x v="1"/>
    <x v="1"/>
    <m/>
  </r>
  <r>
    <n v="183"/>
    <x v="182"/>
    <x v="2"/>
    <x v="3"/>
    <x v="1"/>
    <x v="6"/>
    <x v="6"/>
    <x v="4"/>
    <x v="4"/>
    <x v="2"/>
    <x v="3"/>
    <x v="3"/>
    <x v="2"/>
    <x v="1"/>
    <x v="1"/>
    <x v="1"/>
    <x v="1"/>
    <x v="1"/>
    <x v="1"/>
    <x v="1"/>
    <x v="1"/>
    <x v="1"/>
    <m/>
  </r>
  <r>
    <n v="184"/>
    <x v="183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185"/>
    <x v="184"/>
    <x v="2"/>
    <x v="2"/>
    <x v="1"/>
    <x v="2"/>
    <x v="9"/>
    <x v="5"/>
    <x v="5"/>
    <x v="2"/>
    <x v="3"/>
    <x v="3"/>
    <x v="2"/>
    <x v="1"/>
    <x v="1"/>
    <x v="1"/>
    <x v="1"/>
    <x v="1"/>
    <x v="1"/>
    <x v="1"/>
    <x v="1"/>
    <x v="1"/>
    <m/>
  </r>
  <r>
    <n v="186"/>
    <x v="18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87"/>
    <x v="186"/>
    <x v="2"/>
    <x v="0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88"/>
    <x v="187"/>
    <x v="2"/>
    <x v="2"/>
    <x v="2"/>
    <x v="2"/>
    <x v="3"/>
    <x v="8"/>
    <x v="3"/>
    <x v="2"/>
    <x v="3"/>
    <x v="3"/>
    <x v="2"/>
    <x v="1"/>
    <x v="1"/>
    <x v="1"/>
    <x v="1"/>
    <x v="1"/>
    <x v="1"/>
    <x v="1"/>
    <x v="1"/>
    <x v="1"/>
    <m/>
  </r>
  <r>
    <n v="189"/>
    <x v="188"/>
    <x v="2"/>
    <x v="4"/>
    <x v="2"/>
    <x v="3"/>
    <x v="4"/>
    <x v="4"/>
    <x v="4"/>
    <x v="4"/>
    <x v="7"/>
    <x v="2"/>
    <x v="7"/>
    <x v="8"/>
    <x v="6"/>
    <x v="2"/>
    <x v="11"/>
    <x v="12"/>
    <x v="2"/>
    <x v="5"/>
    <x v="2"/>
    <x v="3"/>
    <n v="161162.64646927049"/>
  </r>
  <r>
    <n v="190"/>
    <x v="189"/>
    <x v="2"/>
    <x v="11"/>
    <x v="2"/>
    <x v="3"/>
    <x v="4"/>
    <x v="4"/>
    <x v="4"/>
    <x v="8"/>
    <x v="4"/>
    <x v="5"/>
    <x v="8"/>
    <x v="6"/>
    <x v="7"/>
    <x v="5"/>
    <x v="0"/>
    <x v="0"/>
    <x v="0"/>
    <x v="0"/>
    <x v="3"/>
    <x v="7"/>
    <n v="382419.23771066545"/>
  </r>
  <r>
    <n v="191"/>
    <x v="190"/>
    <x v="2"/>
    <x v="4"/>
    <x v="2"/>
    <x v="3"/>
    <x v="6"/>
    <x v="5"/>
    <x v="4"/>
    <x v="4"/>
    <x v="7"/>
    <x v="4"/>
    <x v="7"/>
    <x v="4"/>
    <x v="7"/>
    <x v="1"/>
    <x v="1"/>
    <x v="1"/>
    <x v="1"/>
    <x v="1"/>
    <x v="1"/>
    <x v="1"/>
    <m/>
  </r>
  <r>
    <n v="192"/>
    <x v="191"/>
    <x v="2"/>
    <x v="0"/>
    <x v="2"/>
    <x v="3"/>
    <x v="12"/>
    <x v="3"/>
    <x v="3"/>
    <x v="2"/>
    <x v="3"/>
    <x v="3"/>
    <x v="2"/>
    <x v="1"/>
    <x v="1"/>
    <x v="1"/>
    <x v="1"/>
    <x v="1"/>
    <x v="1"/>
    <x v="1"/>
    <x v="1"/>
    <x v="1"/>
    <m/>
  </r>
  <r>
    <n v="193"/>
    <x v="192"/>
    <x v="2"/>
    <x v="0"/>
    <x v="3"/>
    <x v="4"/>
    <x v="4"/>
    <x v="3"/>
    <x v="3"/>
    <x v="2"/>
    <x v="3"/>
    <x v="3"/>
    <x v="7"/>
    <x v="8"/>
    <x v="2"/>
    <x v="1"/>
    <x v="6"/>
    <x v="3"/>
    <x v="8"/>
    <x v="9"/>
    <x v="5"/>
    <x v="9"/>
    <n v="159953.99913889274"/>
  </r>
  <r>
    <n v="194"/>
    <x v="193"/>
    <x v="2"/>
    <x v="3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95"/>
    <x v="194"/>
    <x v="2"/>
    <x v="11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96"/>
    <x v="195"/>
    <x v="2"/>
    <x v="11"/>
    <x v="3"/>
    <x v="4"/>
    <x v="8"/>
    <x v="5"/>
    <x v="5"/>
    <x v="2"/>
    <x v="3"/>
    <x v="3"/>
    <x v="2"/>
    <x v="1"/>
    <x v="1"/>
    <x v="1"/>
    <x v="1"/>
    <x v="1"/>
    <x v="1"/>
    <x v="1"/>
    <x v="1"/>
    <x v="1"/>
    <m/>
  </r>
  <r>
    <n v="197"/>
    <x v="196"/>
    <x v="2"/>
    <x v="4"/>
    <x v="2"/>
    <x v="3"/>
    <x v="6"/>
    <x v="4"/>
    <x v="5"/>
    <x v="6"/>
    <x v="2"/>
    <x v="3"/>
    <x v="2"/>
    <x v="1"/>
    <x v="1"/>
    <x v="1"/>
    <x v="1"/>
    <x v="1"/>
    <x v="1"/>
    <x v="1"/>
    <x v="1"/>
    <x v="1"/>
    <m/>
  </r>
  <r>
    <n v="198"/>
    <x v="197"/>
    <x v="2"/>
    <x v="2"/>
    <x v="10"/>
    <x v="10"/>
    <x v="6"/>
    <x v="4"/>
    <x v="4"/>
    <x v="4"/>
    <x v="7"/>
    <x v="2"/>
    <x v="3"/>
    <x v="8"/>
    <x v="6"/>
    <x v="7"/>
    <x v="1"/>
    <x v="1"/>
    <x v="1"/>
    <x v="1"/>
    <x v="1"/>
    <x v="1"/>
    <m/>
  </r>
  <r>
    <n v="199"/>
    <x v="198"/>
    <x v="2"/>
    <x v="2"/>
    <x v="2"/>
    <x v="3"/>
    <x v="6"/>
    <x v="5"/>
    <x v="5"/>
    <x v="6"/>
    <x v="5"/>
    <x v="4"/>
    <x v="3"/>
    <x v="4"/>
    <x v="3"/>
    <x v="3"/>
    <x v="3"/>
    <x v="0"/>
    <x v="0"/>
    <x v="0"/>
    <x v="3"/>
    <x v="2"/>
    <n v="148266.93378840157"/>
  </r>
  <r>
    <n v="200"/>
    <x v="199"/>
    <x v="2"/>
    <x v="2"/>
    <x v="10"/>
    <x v="10"/>
    <x v="6"/>
    <x v="11"/>
    <x v="4"/>
    <x v="2"/>
    <x v="3"/>
    <x v="3"/>
    <x v="2"/>
    <x v="1"/>
    <x v="1"/>
    <x v="1"/>
    <x v="1"/>
    <x v="1"/>
    <x v="1"/>
    <x v="1"/>
    <x v="1"/>
    <x v="1"/>
    <m/>
  </r>
  <r>
    <n v="201"/>
    <x v="200"/>
    <x v="2"/>
    <x v="2"/>
    <x v="1"/>
    <x v="3"/>
    <x v="6"/>
    <x v="4"/>
    <x v="3"/>
    <x v="2"/>
    <x v="3"/>
    <x v="3"/>
    <x v="2"/>
    <x v="1"/>
    <x v="1"/>
    <x v="1"/>
    <x v="1"/>
    <x v="1"/>
    <x v="1"/>
    <x v="1"/>
    <x v="1"/>
    <x v="1"/>
    <m/>
  </r>
  <r>
    <n v="202"/>
    <x v="201"/>
    <x v="2"/>
    <x v="2"/>
    <x v="2"/>
    <x v="3"/>
    <x v="8"/>
    <x v="4"/>
    <x v="4"/>
    <x v="4"/>
    <x v="4"/>
    <x v="8"/>
    <x v="3"/>
    <x v="4"/>
    <x v="2"/>
    <x v="2"/>
    <x v="2"/>
    <x v="3"/>
    <x v="8"/>
    <x v="4"/>
    <x v="5"/>
    <x v="0"/>
    <n v="169253.06665606488"/>
  </r>
  <r>
    <n v="203"/>
    <x v="202"/>
    <x v="2"/>
    <x v="2"/>
    <x v="2"/>
    <x v="3"/>
    <x v="6"/>
    <x v="8"/>
    <x v="7"/>
    <x v="8"/>
    <x v="4"/>
    <x v="4"/>
    <x v="3"/>
    <x v="2"/>
    <x v="2"/>
    <x v="2"/>
    <x v="6"/>
    <x v="3"/>
    <x v="3"/>
    <x v="5"/>
    <x v="2"/>
    <x v="2"/>
    <n v="139950.50063911665"/>
  </r>
  <r>
    <n v="204"/>
    <x v="203"/>
    <x v="2"/>
    <x v="2"/>
    <x v="12"/>
    <x v="12"/>
    <x v="12"/>
    <x v="5"/>
    <x v="5"/>
    <x v="4"/>
    <x v="4"/>
    <x v="2"/>
    <x v="3"/>
    <x v="2"/>
    <x v="2"/>
    <x v="7"/>
    <x v="6"/>
    <x v="2"/>
    <x v="1"/>
    <x v="1"/>
    <x v="1"/>
    <x v="1"/>
    <m/>
  </r>
  <r>
    <n v="205"/>
    <x v="204"/>
    <x v="2"/>
    <x v="2"/>
    <x v="7"/>
    <x v="7"/>
    <x v="8"/>
    <x v="5"/>
    <x v="2"/>
    <x v="3"/>
    <x v="2"/>
    <x v="8"/>
    <x v="8"/>
    <x v="3"/>
    <x v="8"/>
    <x v="1"/>
    <x v="1"/>
    <x v="1"/>
    <x v="1"/>
    <x v="1"/>
    <x v="1"/>
    <x v="1"/>
    <m/>
  </r>
  <r>
    <n v="206"/>
    <x v="205"/>
    <x v="2"/>
    <x v="2"/>
    <x v="1"/>
    <x v="2"/>
    <x v="3"/>
    <x v="2"/>
    <x v="3"/>
    <x v="6"/>
    <x v="2"/>
    <x v="8"/>
    <x v="8"/>
    <x v="4"/>
    <x v="7"/>
    <x v="3"/>
    <x v="3"/>
    <x v="3"/>
    <x v="1"/>
    <x v="1"/>
    <x v="3"/>
    <x v="3"/>
    <n v="137660.11674912751"/>
  </r>
  <r>
    <n v="207"/>
    <x v="206"/>
    <x v="2"/>
    <x v="2"/>
    <x v="2"/>
    <x v="3"/>
    <x v="4"/>
    <x v="5"/>
    <x v="5"/>
    <x v="6"/>
    <x v="4"/>
    <x v="4"/>
    <x v="3"/>
    <x v="8"/>
    <x v="6"/>
    <x v="2"/>
    <x v="2"/>
    <x v="2"/>
    <x v="3"/>
    <x v="5"/>
    <x v="2"/>
    <x v="2"/>
    <n v="192439.16573999412"/>
  </r>
  <r>
    <n v="208"/>
    <x v="207"/>
    <x v="2"/>
    <x v="2"/>
    <x v="12"/>
    <x v="12"/>
    <x v="12"/>
    <x v="7"/>
    <x v="0"/>
    <x v="7"/>
    <x v="0"/>
    <x v="9"/>
    <x v="6"/>
    <x v="0"/>
    <x v="7"/>
    <x v="0"/>
    <x v="0"/>
    <x v="0"/>
    <x v="0"/>
    <x v="4"/>
    <x v="0"/>
    <x v="0"/>
    <n v="115245.73391442419"/>
  </r>
  <r>
    <n v="209"/>
    <x v="208"/>
    <x v="2"/>
    <x v="2"/>
    <x v="10"/>
    <x v="10"/>
    <x v="6"/>
    <x v="4"/>
    <x v="4"/>
    <x v="6"/>
    <x v="2"/>
    <x v="6"/>
    <x v="2"/>
    <x v="1"/>
    <x v="10"/>
    <x v="0"/>
    <x v="10"/>
    <x v="3"/>
    <x v="8"/>
    <x v="0"/>
    <x v="0"/>
    <x v="7"/>
    <n v="168037.52724375762"/>
  </r>
  <r>
    <n v="210"/>
    <x v="209"/>
    <x v="2"/>
    <x v="2"/>
    <x v="2"/>
    <x v="3"/>
    <x v="4"/>
    <x v="5"/>
    <x v="2"/>
    <x v="6"/>
    <x v="4"/>
    <x v="2"/>
    <x v="3"/>
    <x v="4"/>
    <x v="3"/>
    <x v="2"/>
    <x v="6"/>
    <x v="3"/>
    <x v="3"/>
    <x v="5"/>
    <x v="3"/>
    <x v="3"/>
    <n v="261307.22567898213"/>
  </r>
  <r>
    <n v="211"/>
    <x v="210"/>
    <x v="2"/>
    <x v="2"/>
    <x v="2"/>
    <x v="3"/>
    <x v="6"/>
    <x v="8"/>
    <x v="3"/>
    <x v="8"/>
    <x v="7"/>
    <x v="13"/>
    <x v="7"/>
    <x v="8"/>
    <x v="6"/>
    <x v="2"/>
    <x v="2"/>
    <x v="2"/>
    <x v="2"/>
    <x v="5"/>
    <x v="2"/>
    <x v="2"/>
    <n v="204515.26200769609"/>
  </r>
  <r>
    <n v="212"/>
    <x v="211"/>
    <x v="2"/>
    <x v="2"/>
    <x v="2"/>
    <x v="3"/>
    <x v="4"/>
    <x v="2"/>
    <x v="4"/>
    <x v="4"/>
    <x v="2"/>
    <x v="6"/>
    <x v="8"/>
    <x v="4"/>
    <x v="0"/>
    <x v="3"/>
    <x v="0"/>
    <x v="1"/>
    <x v="1"/>
    <x v="1"/>
    <x v="1"/>
    <x v="1"/>
    <m/>
  </r>
  <r>
    <n v="213"/>
    <x v="212"/>
    <x v="2"/>
    <x v="2"/>
    <x v="2"/>
    <x v="3"/>
    <x v="5"/>
    <x v="12"/>
    <x v="8"/>
    <x v="0"/>
    <x v="9"/>
    <x v="10"/>
    <x v="9"/>
    <x v="7"/>
    <x v="10"/>
    <x v="3"/>
    <x v="3"/>
    <x v="3"/>
    <x v="0"/>
    <x v="2"/>
    <x v="3"/>
    <x v="3"/>
    <n v="176737.66117794023"/>
  </r>
  <r>
    <n v="214"/>
    <x v="213"/>
    <x v="2"/>
    <x v="2"/>
    <x v="2"/>
    <x v="3"/>
    <x v="6"/>
    <x v="2"/>
    <x v="5"/>
    <x v="6"/>
    <x v="2"/>
    <x v="8"/>
    <x v="0"/>
    <x v="3"/>
    <x v="0"/>
    <x v="10"/>
    <x v="0"/>
    <x v="0"/>
    <x v="0"/>
    <x v="0"/>
    <x v="0"/>
    <x v="7"/>
    <n v="578257.04425213218"/>
  </r>
  <r>
    <n v="215"/>
    <x v="214"/>
    <x v="2"/>
    <x v="2"/>
    <x v="2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16"/>
    <x v="215"/>
    <x v="2"/>
    <x v="2"/>
    <x v="10"/>
    <x v="10"/>
    <x v="7"/>
    <x v="6"/>
    <x v="6"/>
    <x v="5"/>
    <x v="6"/>
    <x v="7"/>
    <x v="5"/>
    <x v="5"/>
    <x v="4"/>
    <x v="4"/>
    <x v="4"/>
    <x v="4"/>
    <x v="4"/>
    <x v="3"/>
    <x v="4"/>
    <x v="4"/>
    <n v="135730.27082463674"/>
  </r>
  <r>
    <n v="217"/>
    <x v="216"/>
    <x v="2"/>
    <x v="2"/>
    <x v="7"/>
    <x v="7"/>
    <x v="0"/>
    <x v="3"/>
    <x v="3"/>
    <x v="2"/>
    <x v="3"/>
    <x v="3"/>
    <x v="2"/>
    <x v="1"/>
    <x v="1"/>
    <x v="1"/>
    <x v="1"/>
    <x v="1"/>
    <x v="1"/>
    <x v="1"/>
    <x v="1"/>
    <x v="1"/>
    <m/>
  </r>
  <r>
    <n v="218"/>
    <x v="217"/>
    <x v="2"/>
    <x v="2"/>
    <x v="10"/>
    <x v="10"/>
    <x v="8"/>
    <x v="7"/>
    <x v="0"/>
    <x v="10"/>
    <x v="2"/>
    <x v="9"/>
    <x v="8"/>
    <x v="0"/>
    <x v="10"/>
    <x v="10"/>
    <x v="9"/>
    <x v="11"/>
    <x v="9"/>
    <x v="9"/>
    <x v="5"/>
    <x v="1"/>
    <m/>
  </r>
  <r>
    <n v="219"/>
    <x v="218"/>
    <x v="2"/>
    <x v="2"/>
    <x v="2"/>
    <x v="3"/>
    <x v="4"/>
    <x v="5"/>
    <x v="5"/>
    <x v="6"/>
    <x v="2"/>
    <x v="6"/>
    <x v="8"/>
    <x v="6"/>
    <x v="7"/>
    <x v="5"/>
    <x v="0"/>
    <x v="0"/>
    <x v="0"/>
    <x v="0"/>
    <x v="5"/>
    <x v="5"/>
    <n v="926114.0433361649"/>
  </r>
  <r>
    <n v="220"/>
    <x v="219"/>
    <x v="2"/>
    <x v="2"/>
    <x v="14"/>
    <x v="14"/>
    <x v="13"/>
    <x v="13"/>
    <x v="12"/>
    <x v="13"/>
    <x v="13"/>
    <x v="3"/>
    <x v="2"/>
    <x v="1"/>
    <x v="1"/>
    <x v="1"/>
    <x v="1"/>
    <x v="1"/>
    <x v="1"/>
    <x v="9"/>
    <x v="5"/>
    <x v="9"/>
    <n v="137865.28556784408"/>
  </r>
  <r>
    <n v="221"/>
    <x v="220"/>
    <x v="2"/>
    <x v="2"/>
    <x v="10"/>
    <x v="10"/>
    <x v="6"/>
    <x v="8"/>
    <x v="7"/>
    <x v="8"/>
    <x v="3"/>
    <x v="3"/>
    <x v="2"/>
    <x v="1"/>
    <x v="1"/>
    <x v="1"/>
    <x v="1"/>
    <x v="1"/>
    <x v="1"/>
    <x v="1"/>
    <x v="1"/>
    <x v="1"/>
    <m/>
  </r>
  <r>
    <n v="222"/>
    <x v="221"/>
    <x v="2"/>
    <x v="2"/>
    <x v="2"/>
    <x v="3"/>
    <x v="4"/>
    <x v="4"/>
    <x v="4"/>
    <x v="1"/>
    <x v="3"/>
    <x v="3"/>
    <x v="2"/>
    <x v="1"/>
    <x v="1"/>
    <x v="1"/>
    <x v="1"/>
    <x v="1"/>
    <x v="1"/>
    <x v="1"/>
    <x v="1"/>
    <x v="1"/>
    <m/>
  </r>
  <r>
    <n v="223"/>
    <x v="222"/>
    <x v="2"/>
    <x v="2"/>
    <x v="2"/>
    <x v="3"/>
    <x v="12"/>
    <x v="2"/>
    <x v="2"/>
    <x v="3"/>
    <x v="3"/>
    <x v="6"/>
    <x v="2"/>
    <x v="1"/>
    <x v="3"/>
    <x v="7"/>
    <x v="6"/>
    <x v="3"/>
    <x v="3"/>
    <x v="2"/>
    <x v="3"/>
    <x v="1"/>
    <m/>
  </r>
  <r>
    <n v="224"/>
    <x v="223"/>
    <x v="2"/>
    <x v="2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225"/>
    <x v="224"/>
    <x v="2"/>
    <x v="2"/>
    <x v="2"/>
    <x v="10"/>
    <x v="6"/>
    <x v="5"/>
    <x v="7"/>
    <x v="4"/>
    <x v="7"/>
    <x v="5"/>
    <x v="4"/>
    <x v="2"/>
    <x v="0"/>
    <x v="5"/>
    <x v="10"/>
    <x v="10"/>
    <x v="9"/>
    <x v="4"/>
    <x v="0"/>
    <x v="7"/>
    <n v="309323.39001765306"/>
  </r>
  <r>
    <n v="226"/>
    <x v="225"/>
    <x v="2"/>
    <x v="2"/>
    <x v="10"/>
    <x v="10"/>
    <x v="6"/>
    <x v="8"/>
    <x v="7"/>
    <x v="4"/>
    <x v="4"/>
    <x v="8"/>
    <x v="8"/>
    <x v="2"/>
    <x v="2"/>
    <x v="3"/>
    <x v="3"/>
    <x v="0"/>
    <x v="0"/>
    <x v="0"/>
    <x v="0"/>
    <x v="7"/>
    <n v="2687843.4383520251"/>
  </r>
  <r>
    <n v="227"/>
    <x v="226"/>
    <x v="2"/>
    <x v="2"/>
    <x v="3"/>
    <x v="4"/>
    <x v="12"/>
    <x v="11"/>
    <x v="9"/>
    <x v="1"/>
    <x v="2"/>
    <x v="8"/>
    <x v="2"/>
    <x v="1"/>
    <x v="1"/>
    <x v="1"/>
    <x v="1"/>
    <x v="1"/>
    <x v="3"/>
    <x v="0"/>
    <x v="7"/>
    <x v="9"/>
    <n v="600335.58677953039"/>
  </r>
  <r>
    <n v="228"/>
    <x v="227"/>
    <x v="2"/>
    <x v="2"/>
    <x v="1"/>
    <x v="3"/>
    <x v="6"/>
    <x v="8"/>
    <x v="7"/>
    <x v="13"/>
    <x v="3"/>
    <x v="2"/>
    <x v="2"/>
    <x v="1"/>
    <x v="1"/>
    <x v="1"/>
    <x v="1"/>
    <x v="1"/>
    <x v="1"/>
    <x v="1"/>
    <x v="1"/>
    <x v="1"/>
    <m/>
  </r>
  <r>
    <n v="229"/>
    <x v="228"/>
    <x v="2"/>
    <x v="2"/>
    <x v="1"/>
    <x v="10"/>
    <x v="9"/>
    <x v="3"/>
    <x v="3"/>
    <x v="6"/>
    <x v="3"/>
    <x v="6"/>
    <x v="2"/>
    <x v="1"/>
    <x v="1"/>
    <x v="1"/>
    <x v="1"/>
    <x v="1"/>
    <x v="1"/>
    <x v="1"/>
    <x v="1"/>
    <x v="1"/>
    <m/>
  </r>
  <r>
    <n v="230"/>
    <x v="229"/>
    <x v="2"/>
    <x v="2"/>
    <x v="1"/>
    <x v="6"/>
    <x v="3"/>
    <x v="8"/>
    <x v="3"/>
    <x v="4"/>
    <x v="3"/>
    <x v="4"/>
    <x v="3"/>
    <x v="1"/>
    <x v="1"/>
    <x v="1"/>
    <x v="1"/>
    <x v="1"/>
    <x v="1"/>
    <x v="1"/>
    <x v="1"/>
    <x v="1"/>
    <m/>
  </r>
  <r>
    <n v="231"/>
    <x v="230"/>
    <x v="2"/>
    <x v="2"/>
    <x v="1"/>
    <x v="10"/>
    <x v="6"/>
    <x v="8"/>
    <x v="3"/>
    <x v="2"/>
    <x v="3"/>
    <x v="3"/>
    <x v="2"/>
    <x v="1"/>
    <x v="1"/>
    <x v="1"/>
    <x v="1"/>
    <x v="1"/>
    <x v="1"/>
    <x v="1"/>
    <x v="1"/>
    <x v="1"/>
    <m/>
  </r>
  <r>
    <n v="232"/>
    <x v="231"/>
    <x v="2"/>
    <x v="2"/>
    <x v="1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33"/>
    <x v="232"/>
    <x v="2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234"/>
    <x v="233"/>
    <x v="2"/>
    <x v="2"/>
    <x v="1"/>
    <x v="3"/>
    <x v="6"/>
    <x v="8"/>
    <x v="4"/>
    <x v="12"/>
    <x v="3"/>
    <x v="3"/>
    <x v="2"/>
    <x v="1"/>
    <x v="1"/>
    <x v="1"/>
    <x v="1"/>
    <x v="1"/>
    <x v="1"/>
    <x v="1"/>
    <x v="1"/>
    <x v="1"/>
    <m/>
  </r>
  <r>
    <n v="235"/>
    <x v="234"/>
    <x v="2"/>
    <x v="2"/>
    <x v="1"/>
    <x v="2"/>
    <x v="4"/>
    <x v="4"/>
    <x v="3"/>
    <x v="13"/>
    <x v="13"/>
    <x v="2"/>
    <x v="7"/>
    <x v="8"/>
    <x v="6"/>
    <x v="11"/>
    <x v="11"/>
    <x v="3"/>
    <x v="3"/>
    <x v="2"/>
    <x v="3"/>
    <x v="1"/>
    <m/>
  </r>
  <r>
    <n v="236"/>
    <x v="235"/>
    <x v="2"/>
    <x v="2"/>
    <x v="1"/>
    <x v="2"/>
    <x v="9"/>
    <x v="2"/>
    <x v="11"/>
    <x v="2"/>
    <x v="3"/>
    <x v="3"/>
    <x v="2"/>
    <x v="1"/>
    <x v="1"/>
    <x v="1"/>
    <x v="1"/>
    <x v="1"/>
    <x v="1"/>
    <x v="1"/>
    <x v="1"/>
    <x v="1"/>
    <m/>
  </r>
  <r>
    <n v="237"/>
    <x v="236"/>
    <x v="2"/>
    <x v="2"/>
    <x v="1"/>
    <x v="6"/>
    <x v="3"/>
    <x v="8"/>
    <x v="3"/>
    <x v="2"/>
    <x v="4"/>
    <x v="4"/>
    <x v="3"/>
    <x v="1"/>
    <x v="1"/>
    <x v="1"/>
    <x v="1"/>
    <x v="1"/>
    <x v="1"/>
    <x v="1"/>
    <x v="1"/>
    <x v="1"/>
    <m/>
  </r>
  <r>
    <n v="238"/>
    <x v="23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39"/>
    <x v="238"/>
    <x v="2"/>
    <x v="2"/>
    <x v="1"/>
    <x v="2"/>
    <x v="4"/>
    <x v="4"/>
    <x v="4"/>
    <x v="4"/>
    <x v="4"/>
    <x v="6"/>
    <x v="4"/>
    <x v="2"/>
    <x v="2"/>
    <x v="7"/>
    <x v="6"/>
    <x v="2"/>
    <x v="2"/>
    <x v="2"/>
    <x v="2"/>
    <x v="1"/>
    <m/>
  </r>
  <r>
    <n v="240"/>
    <x v="239"/>
    <x v="2"/>
    <x v="2"/>
    <x v="1"/>
    <x v="3"/>
    <x v="8"/>
    <x v="0"/>
    <x v="5"/>
    <x v="2"/>
    <x v="3"/>
    <x v="3"/>
    <x v="2"/>
    <x v="1"/>
    <x v="1"/>
    <x v="1"/>
    <x v="1"/>
    <x v="1"/>
    <x v="1"/>
    <x v="1"/>
    <x v="1"/>
    <x v="1"/>
    <m/>
  </r>
  <r>
    <n v="241"/>
    <x v="240"/>
    <x v="2"/>
    <x v="2"/>
    <x v="1"/>
    <x v="3"/>
    <x v="4"/>
    <x v="5"/>
    <x v="2"/>
    <x v="1"/>
    <x v="5"/>
    <x v="0"/>
    <x v="6"/>
    <x v="1"/>
    <x v="1"/>
    <x v="1"/>
    <x v="1"/>
    <x v="1"/>
    <x v="1"/>
    <x v="1"/>
    <x v="1"/>
    <x v="1"/>
    <m/>
  </r>
  <r>
    <n v="242"/>
    <x v="241"/>
    <x v="2"/>
    <x v="2"/>
    <x v="1"/>
    <x v="4"/>
    <x v="8"/>
    <x v="0"/>
    <x v="9"/>
    <x v="3"/>
    <x v="5"/>
    <x v="4"/>
    <x v="4"/>
    <x v="4"/>
    <x v="3"/>
    <x v="3"/>
    <x v="3"/>
    <x v="3"/>
    <x v="3"/>
    <x v="2"/>
    <x v="3"/>
    <x v="7"/>
    <n v="165015.30256284392"/>
  </r>
  <r>
    <n v="243"/>
    <x v="242"/>
    <x v="2"/>
    <x v="2"/>
    <x v="1"/>
    <x v="7"/>
    <x v="5"/>
    <x v="0"/>
    <x v="2"/>
    <x v="3"/>
    <x v="0"/>
    <x v="10"/>
    <x v="9"/>
    <x v="9"/>
    <x v="12"/>
    <x v="10"/>
    <x v="9"/>
    <x v="11"/>
    <x v="10"/>
    <x v="1"/>
    <x v="1"/>
    <x v="1"/>
    <m/>
  </r>
  <r>
    <n v="244"/>
    <x v="243"/>
    <x v="2"/>
    <x v="2"/>
    <x v="1"/>
    <x v="10"/>
    <x v="6"/>
    <x v="5"/>
    <x v="4"/>
    <x v="2"/>
    <x v="7"/>
    <x v="2"/>
    <x v="7"/>
    <x v="8"/>
    <x v="11"/>
    <x v="1"/>
    <x v="1"/>
    <x v="1"/>
    <x v="1"/>
    <x v="1"/>
    <x v="1"/>
    <x v="1"/>
    <m/>
  </r>
  <r>
    <n v="245"/>
    <x v="244"/>
    <x v="2"/>
    <x v="2"/>
    <x v="1"/>
    <x v="7"/>
    <x v="8"/>
    <x v="5"/>
    <x v="5"/>
    <x v="6"/>
    <x v="2"/>
    <x v="4"/>
    <x v="4"/>
    <x v="4"/>
    <x v="3"/>
    <x v="7"/>
    <x v="3"/>
    <x v="3"/>
    <x v="0"/>
    <x v="2"/>
    <x v="3"/>
    <x v="3"/>
    <n v="109092.93496124816"/>
  </r>
  <r>
    <n v="246"/>
    <x v="245"/>
    <x v="2"/>
    <x v="2"/>
    <x v="1"/>
    <x v="3"/>
    <x v="6"/>
    <x v="3"/>
    <x v="4"/>
    <x v="4"/>
    <x v="4"/>
    <x v="13"/>
    <x v="7"/>
    <x v="8"/>
    <x v="2"/>
    <x v="2"/>
    <x v="6"/>
    <x v="2"/>
    <x v="2"/>
    <x v="5"/>
    <x v="2"/>
    <x v="2"/>
    <n v="447998.250512055"/>
  </r>
  <r>
    <n v="247"/>
    <x v="246"/>
    <x v="2"/>
    <x v="2"/>
    <x v="1"/>
    <x v="10"/>
    <x v="9"/>
    <x v="8"/>
    <x v="3"/>
    <x v="8"/>
    <x v="7"/>
    <x v="2"/>
    <x v="13"/>
    <x v="2"/>
    <x v="6"/>
    <x v="2"/>
    <x v="2"/>
    <x v="2"/>
    <x v="2"/>
    <x v="5"/>
    <x v="2"/>
    <x v="2"/>
    <n v="517272.17725114315"/>
  </r>
  <r>
    <n v="248"/>
    <x v="24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49"/>
    <x v="248"/>
    <x v="2"/>
    <x v="2"/>
    <x v="1"/>
    <x v="3"/>
    <x v="12"/>
    <x v="8"/>
    <x v="7"/>
    <x v="4"/>
    <x v="4"/>
    <x v="8"/>
    <x v="8"/>
    <x v="4"/>
    <x v="3"/>
    <x v="3"/>
    <x v="3"/>
    <x v="2"/>
    <x v="3"/>
    <x v="2"/>
    <x v="3"/>
    <x v="3"/>
    <n v="112109.9937617078"/>
  </r>
  <r>
    <n v="250"/>
    <x v="249"/>
    <x v="2"/>
    <x v="2"/>
    <x v="1"/>
    <x v="7"/>
    <x v="5"/>
    <x v="5"/>
    <x v="5"/>
    <x v="4"/>
    <x v="5"/>
    <x v="5"/>
    <x v="4"/>
    <x v="4"/>
    <x v="0"/>
    <x v="0"/>
    <x v="3"/>
    <x v="0"/>
    <x v="0"/>
    <x v="0"/>
    <x v="0"/>
    <x v="7"/>
    <n v="227980.72619857971"/>
  </r>
  <r>
    <n v="251"/>
    <x v="250"/>
    <x v="2"/>
    <x v="2"/>
    <x v="1"/>
    <x v="3"/>
    <x v="4"/>
    <x v="5"/>
    <x v="11"/>
    <x v="12"/>
    <x v="11"/>
    <x v="5"/>
    <x v="4"/>
    <x v="4"/>
    <x v="0"/>
    <x v="0"/>
    <x v="0"/>
    <x v="1"/>
    <x v="1"/>
    <x v="1"/>
    <x v="1"/>
    <x v="1"/>
    <m/>
  </r>
  <r>
    <n v="252"/>
    <x v="251"/>
    <x v="2"/>
    <x v="2"/>
    <x v="1"/>
    <x v="7"/>
    <x v="12"/>
    <x v="0"/>
    <x v="2"/>
    <x v="1"/>
    <x v="11"/>
    <x v="5"/>
    <x v="2"/>
    <x v="1"/>
    <x v="1"/>
    <x v="1"/>
    <x v="1"/>
    <x v="1"/>
    <x v="1"/>
    <x v="1"/>
    <x v="1"/>
    <x v="1"/>
    <m/>
  </r>
  <r>
    <n v="253"/>
    <x v="252"/>
    <x v="2"/>
    <x v="2"/>
    <x v="1"/>
    <x v="7"/>
    <x v="5"/>
    <x v="4"/>
    <x v="5"/>
    <x v="6"/>
    <x v="4"/>
    <x v="4"/>
    <x v="4"/>
    <x v="2"/>
    <x v="3"/>
    <x v="3"/>
    <x v="6"/>
    <x v="0"/>
    <x v="0"/>
    <x v="0"/>
    <x v="3"/>
    <x v="2"/>
    <n v="1164845.373217786"/>
  </r>
  <r>
    <n v="254"/>
    <x v="253"/>
    <x v="2"/>
    <x v="2"/>
    <x v="1"/>
    <x v="2"/>
    <x v="6"/>
    <x v="8"/>
    <x v="7"/>
    <x v="8"/>
    <x v="4"/>
    <x v="4"/>
    <x v="3"/>
    <x v="2"/>
    <x v="2"/>
    <x v="7"/>
    <x v="6"/>
    <x v="3"/>
    <x v="0"/>
    <x v="2"/>
    <x v="2"/>
    <x v="2"/>
    <n v="113665.04269655797"/>
  </r>
  <r>
    <n v="255"/>
    <x v="254"/>
    <x v="2"/>
    <x v="2"/>
    <x v="1"/>
    <x v="2"/>
    <x v="6"/>
    <x v="4"/>
    <x v="4"/>
    <x v="6"/>
    <x v="4"/>
    <x v="4"/>
    <x v="4"/>
    <x v="2"/>
    <x v="2"/>
    <x v="7"/>
    <x v="6"/>
    <x v="1"/>
    <x v="1"/>
    <x v="1"/>
    <x v="1"/>
    <x v="1"/>
    <m/>
  </r>
  <r>
    <n v="256"/>
    <x v="255"/>
    <x v="2"/>
    <x v="2"/>
    <x v="1"/>
    <x v="2"/>
    <x v="8"/>
    <x v="8"/>
    <x v="4"/>
    <x v="4"/>
    <x v="2"/>
    <x v="4"/>
    <x v="4"/>
    <x v="6"/>
    <x v="3"/>
    <x v="3"/>
    <x v="3"/>
    <x v="3"/>
    <x v="3"/>
    <x v="2"/>
    <x v="3"/>
    <x v="7"/>
    <n v="282679.03111010313"/>
  </r>
  <r>
    <n v="257"/>
    <x v="256"/>
    <x v="2"/>
    <x v="2"/>
    <x v="1"/>
    <x v="2"/>
    <x v="4"/>
    <x v="4"/>
    <x v="5"/>
    <x v="6"/>
    <x v="2"/>
    <x v="4"/>
    <x v="3"/>
    <x v="2"/>
    <x v="2"/>
    <x v="1"/>
    <x v="1"/>
    <x v="1"/>
    <x v="1"/>
    <x v="1"/>
    <x v="1"/>
    <x v="1"/>
    <m/>
  </r>
  <r>
    <n v="258"/>
    <x v="257"/>
    <x v="2"/>
    <x v="2"/>
    <x v="1"/>
    <x v="2"/>
    <x v="4"/>
    <x v="5"/>
    <x v="4"/>
    <x v="8"/>
    <x v="2"/>
    <x v="10"/>
    <x v="9"/>
    <x v="0"/>
    <x v="7"/>
    <x v="5"/>
    <x v="0"/>
    <x v="0"/>
    <x v="0"/>
    <x v="2"/>
    <x v="2"/>
    <x v="7"/>
    <n v="190356.2692985723"/>
  </r>
  <r>
    <n v="259"/>
    <x v="258"/>
    <x v="2"/>
    <x v="2"/>
    <x v="1"/>
    <x v="2"/>
    <x v="9"/>
    <x v="8"/>
    <x v="7"/>
    <x v="4"/>
    <x v="3"/>
    <x v="3"/>
    <x v="2"/>
    <x v="1"/>
    <x v="1"/>
    <x v="1"/>
    <x v="1"/>
    <x v="1"/>
    <x v="1"/>
    <x v="1"/>
    <x v="1"/>
    <x v="1"/>
    <m/>
  </r>
  <r>
    <n v="260"/>
    <x v="259"/>
    <x v="2"/>
    <x v="2"/>
    <x v="1"/>
    <x v="2"/>
    <x v="5"/>
    <x v="11"/>
    <x v="0"/>
    <x v="7"/>
    <x v="8"/>
    <x v="1"/>
    <x v="9"/>
    <x v="7"/>
    <x v="12"/>
    <x v="1"/>
    <x v="1"/>
    <x v="1"/>
    <x v="1"/>
    <x v="1"/>
    <x v="1"/>
    <x v="1"/>
    <m/>
  </r>
  <r>
    <n v="261"/>
    <x v="260"/>
    <x v="2"/>
    <x v="2"/>
    <x v="1"/>
    <x v="2"/>
    <x v="4"/>
    <x v="4"/>
    <x v="4"/>
    <x v="4"/>
    <x v="7"/>
    <x v="4"/>
    <x v="7"/>
    <x v="2"/>
    <x v="6"/>
    <x v="2"/>
    <x v="2"/>
    <x v="12"/>
    <x v="11"/>
    <x v="10"/>
    <x v="11"/>
    <x v="10"/>
    <n v="152054.51828967099"/>
  </r>
  <r>
    <n v="262"/>
    <x v="261"/>
    <x v="2"/>
    <x v="2"/>
    <x v="1"/>
    <x v="2"/>
    <x v="3"/>
    <x v="4"/>
    <x v="4"/>
    <x v="6"/>
    <x v="2"/>
    <x v="8"/>
    <x v="3"/>
    <x v="2"/>
    <x v="3"/>
    <x v="5"/>
    <x v="3"/>
    <x v="2"/>
    <x v="0"/>
    <x v="0"/>
    <x v="0"/>
    <x v="7"/>
    <n v="3258924.4213032755"/>
  </r>
  <r>
    <n v="263"/>
    <x v="262"/>
    <x v="2"/>
    <x v="2"/>
    <x v="1"/>
    <x v="2"/>
    <x v="3"/>
    <x v="4"/>
    <x v="4"/>
    <x v="4"/>
    <x v="7"/>
    <x v="4"/>
    <x v="4"/>
    <x v="10"/>
    <x v="3"/>
    <x v="0"/>
    <x v="0"/>
    <x v="10"/>
    <x v="8"/>
    <x v="4"/>
    <x v="7"/>
    <x v="0"/>
    <n v="149184.44710605097"/>
  </r>
  <r>
    <n v="264"/>
    <x v="263"/>
    <x v="2"/>
    <x v="2"/>
    <x v="1"/>
    <x v="2"/>
    <x v="3"/>
    <x v="4"/>
    <x v="5"/>
    <x v="4"/>
    <x v="3"/>
    <x v="2"/>
    <x v="3"/>
    <x v="4"/>
    <x v="1"/>
    <x v="7"/>
    <x v="6"/>
    <x v="1"/>
    <x v="3"/>
    <x v="4"/>
    <x v="1"/>
    <x v="1"/>
    <m/>
  </r>
  <r>
    <n v="265"/>
    <x v="264"/>
    <x v="2"/>
    <x v="2"/>
    <x v="1"/>
    <x v="2"/>
    <x v="3"/>
    <x v="5"/>
    <x v="4"/>
    <x v="4"/>
    <x v="4"/>
    <x v="4"/>
    <x v="7"/>
    <x v="8"/>
    <x v="6"/>
    <x v="2"/>
    <x v="2"/>
    <x v="2"/>
    <x v="2"/>
    <x v="2"/>
    <x v="3"/>
    <x v="7"/>
    <n v="218413.21498326416"/>
  </r>
  <r>
    <n v="266"/>
    <x v="265"/>
    <x v="2"/>
    <x v="2"/>
    <x v="1"/>
    <x v="2"/>
    <x v="3"/>
    <x v="4"/>
    <x v="11"/>
    <x v="4"/>
    <x v="4"/>
    <x v="6"/>
    <x v="4"/>
    <x v="6"/>
    <x v="7"/>
    <x v="5"/>
    <x v="0"/>
    <x v="9"/>
    <x v="9"/>
    <x v="9"/>
    <x v="5"/>
    <x v="9"/>
    <n v="209060.80560107535"/>
  </r>
  <r>
    <n v="267"/>
    <x v="266"/>
    <x v="2"/>
    <x v="2"/>
    <x v="1"/>
    <x v="2"/>
    <x v="3"/>
    <x v="4"/>
    <x v="3"/>
    <x v="2"/>
    <x v="3"/>
    <x v="3"/>
    <x v="2"/>
    <x v="1"/>
    <x v="1"/>
    <x v="1"/>
    <x v="1"/>
    <x v="1"/>
    <x v="1"/>
    <x v="1"/>
    <x v="1"/>
    <x v="1"/>
    <m/>
  </r>
  <r>
    <n v="268"/>
    <x v="267"/>
    <x v="2"/>
    <x v="2"/>
    <x v="1"/>
    <x v="2"/>
    <x v="3"/>
    <x v="11"/>
    <x v="2"/>
    <x v="1"/>
    <x v="3"/>
    <x v="3"/>
    <x v="2"/>
    <x v="1"/>
    <x v="1"/>
    <x v="1"/>
    <x v="3"/>
    <x v="0"/>
    <x v="0"/>
    <x v="0"/>
    <x v="3"/>
    <x v="3"/>
    <n v="119996.79613578222"/>
  </r>
  <r>
    <n v="269"/>
    <x v="268"/>
    <x v="2"/>
    <x v="2"/>
    <x v="1"/>
    <x v="2"/>
    <x v="3"/>
    <x v="5"/>
    <x v="5"/>
    <x v="6"/>
    <x v="3"/>
    <x v="3"/>
    <x v="2"/>
    <x v="1"/>
    <x v="1"/>
    <x v="1"/>
    <x v="1"/>
    <x v="1"/>
    <x v="1"/>
    <x v="1"/>
    <x v="1"/>
    <x v="1"/>
    <m/>
  </r>
  <r>
    <n v="270"/>
    <x v="269"/>
    <x v="2"/>
    <x v="2"/>
    <x v="1"/>
    <x v="2"/>
    <x v="3"/>
    <x v="4"/>
    <x v="5"/>
    <x v="6"/>
    <x v="5"/>
    <x v="5"/>
    <x v="8"/>
    <x v="4"/>
    <x v="3"/>
    <x v="3"/>
    <x v="3"/>
    <x v="0"/>
    <x v="0"/>
    <x v="0"/>
    <x v="3"/>
    <x v="7"/>
    <n v="163724.08864627228"/>
  </r>
  <r>
    <n v="271"/>
    <x v="270"/>
    <x v="2"/>
    <x v="2"/>
    <x v="1"/>
    <x v="2"/>
    <x v="3"/>
    <x v="5"/>
    <x v="5"/>
    <x v="2"/>
    <x v="3"/>
    <x v="3"/>
    <x v="2"/>
    <x v="1"/>
    <x v="1"/>
    <x v="1"/>
    <x v="1"/>
    <x v="1"/>
    <x v="1"/>
    <x v="1"/>
    <x v="1"/>
    <x v="1"/>
    <m/>
  </r>
  <r>
    <n v="272"/>
    <x v="271"/>
    <x v="2"/>
    <x v="2"/>
    <x v="1"/>
    <x v="2"/>
    <x v="3"/>
    <x v="4"/>
    <x v="7"/>
    <x v="4"/>
    <x v="7"/>
    <x v="2"/>
    <x v="7"/>
    <x v="1"/>
    <x v="1"/>
    <x v="2"/>
    <x v="1"/>
    <x v="1"/>
    <x v="1"/>
    <x v="1"/>
    <x v="1"/>
    <x v="1"/>
    <m/>
  </r>
  <r>
    <n v="273"/>
    <x v="272"/>
    <x v="2"/>
    <x v="2"/>
    <x v="1"/>
    <x v="2"/>
    <x v="3"/>
    <x v="5"/>
    <x v="3"/>
    <x v="6"/>
    <x v="4"/>
    <x v="6"/>
    <x v="4"/>
    <x v="2"/>
    <x v="6"/>
    <x v="2"/>
    <x v="2"/>
    <x v="1"/>
    <x v="1"/>
    <x v="5"/>
    <x v="1"/>
    <x v="2"/>
    <n v="157889.06990943212"/>
  </r>
  <r>
    <n v="274"/>
    <x v="273"/>
    <x v="2"/>
    <x v="2"/>
    <x v="1"/>
    <x v="2"/>
    <x v="3"/>
    <x v="3"/>
    <x v="3"/>
    <x v="4"/>
    <x v="3"/>
    <x v="3"/>
    <x v="2"/>
    <x v="2"/>
    <x v="3"/>
    <x v="1"/>
    <x v="1"/>
    <x v="1"/>
    <x v="1"/>
    <x v="1"/>
    <x v="1"/>
    <x v="1"/>
    <m/>
  </r>
  <r>
    <n v="275"/>
    <x v="274"/>
    <x v="2"/>
    <x v="2"/>
    <x v="1"/>
    <x v="2"/>
    <x v="3"/>
    <x v="3"/>
    <x v="5"/>
    <x v="4"/>
    <x v="4"/>
    <x v="8"/>
    <x v="4"/>
    <x v="4"/>
    <x v="2"/>
    <x v="7"/>
    <x v="6"/>
    <x v="1"/>
    <x v="1"/>
    <x v="1"/>
    <x v="1"/>
    <x v="1"/>
    <m/>
  </r>
  <r>
    <n v="276"/>
    <x v="275"/>
    <x v="2"/>
    <x v="2"/>
    <x v="1"/>
    <x v="2"/>
    <x v="3"/>
    <x v="3"/>
    <x v="3"/>
    <x v="6"/>
    <x v="3"/>
    <x v="6"/>
    <x v="2"/>
    <x v="4"/>
    <x v="1"/>
    <x v="1"/>
    <x v="1"/>
    <x v="1"/>
    <x v="1"/>
    <x v="1"/>
    <x v="1"/>
    <x v="1"/>
    <m/>
  </r>
  <r>
    <n v="277"/>
    <x v="276"/>
    <x v="2"/>
    <x v="2"/>
    <x v="1"/>
    <x v="2"/>
    <x v="3"/>
    <x v="4"/>
    <x v="4"/>
    <x v="8"/>
    <x v="3"/>
    <x v="3"/>
    <x v="3"/>
    <x v="2"/>
    <x v="3"/>
    <x v="3"/>
    <x v="6"/>
    <x v="2"/>
    <x v="2"/>
    <x v="0"/>
    <x v="1"/>
    <x v="1"/>
    <m/>
  </r>
  <r>
    <n v="278"/>
    <x v="277"/>
    <x v="2"/>
    <x v="2"/>
    <x v="1"/>
    <x v="2"/>
    <x v="3"/>
    <x v="5"/>
    <x v="4"/>
    <x v="4"/>
    <x v="7"/>
    <x v="2"/>
    <x v="7"/>
    <x v="2"/>
    <x v="6"/>
    <x v="2"/>
    <x v="2"/>
    <x v="2"/>
    <x v="3"/>
    <x v="2"/>
    <x v="2"/>
    <x v="2"/>
    <n v="140829.63815900142"/>
  </r>
  <r>
    <n v="279"/>
    <x v="278"/>
    <x v="2"/>
    <x v="2"/>
    <x v="1"/>
    <x v="2"/>
    <x v="3"/>
    <x v="3"/>
    <x v="8"/>
    <x v="10"/>
    <x v="1"/>
    <x v="8"/>
    <x v="2"/>
    <x v="1"/>
    <x v="1"/>
    <x v="1"/>
    <x v="1"/>
    <x v="1"/>
    <x v="1"/>
    <x v="1"/>
    <x v="1"/>
    <x v="1"/>
    <m/>
  </r>
  <r>
    <n v="280"/>
    <x v="279"/>
    <x v="2"/>
    <x v="2"/>
    <x v="1"/>
    <x v="2"/>
    <x v="3"/>
    <x v="3"/>
    <x v="3"/>
    <x v="6"/>
    <x v="7"/>
    <x v="2"/>
    <x v="4"/>
    <x v="4"/>
    <x v="7"/>
    <x v="3"/>
    <x v="0"/>
    <x v="0"/>
    <x v="1"/>
    <x v="0"/>
    <x v="3"/>
    <x v="3"/>
    <n v="558759.86585060367"/>
  </r>
  <r>
    <n v="281"/>
    <x v="280"/>
    <x v="2"/>
    <x v="2"/>
    <x v="1"/>
    <x v="2"/>
    <x v="3"/>
    <x v="3"/>
    <x v="3"/>
    <x v="6"/>
    <x v="4"/>
    <x v="4"/>
    <x v="3"/>
    <x v="4"/>
    <x v="1"/>
    <x v="7"/>
    <x v="1"/>
    <x v="2"/>
    <x v="2"/>
    <x v="2"/>
    <x v="3"/>
    <x v="3"/>
    <n v="223774.24258479074"/>
  </r>
  <r>
    <n v="282"/>
    <x v="281"/>
    <x v="2"/>
    <x v="2"/>
    <x v="1"/>
    <x v="2"/>
    <x v="3"/>
    <x v="2"/>
    <x v="2"/>
    <x v="6"/>
    <x v="4"/>
    <x v="4"/>
    <x v="4"/>
    <x v="4"/>
    <x v="2"/>
    <x v="3"/>
    <x v="3"/>
    <x v="0"/>
    <x v="0"/>
    <x v="4"/>
    <x v="7"/>
    <x v="9"/>
    <n v="746973.87841469434"/>
  </r>
  <r>
    <n v="283"/>
    <x v="282"/>
    <x v="2"/>
    <x v="2"/>
    <x v="1"/>
    <x v="2"/>
    <x v="3"/>
    <x v="3"/>
    <x v="4"/>
    <x v="4"/>
    <x v="7"/>
    <x v="4"/>
    <x v="3"/>
    <x v="2"/>
    <x v="2"/>
    <x v="3"/>
    <x v="3"/>
    <x v="1"/>
    <x v="1"/>
    <x v="1"/>
    <x v="1"/>
    <x v="1"/>
    <m/>
  </r>
  <r>
    <n v="284"/>
    <x v="283"/>
    <x v="2"/>
    <x v="2"/>
    <x v="1"/>
    <x v="2"/>
    <x v="3"/>
    <x v="4"/>
    <x v="4"/>
    <x v="4"/>
    <x v="4"/>
    <x v="4"/>
    <x v="3"/>
    <x v="2"/>
    <x v="2"/>
    <x v="3"/>
    <x v="6"/>
    <x v="3"/>
    <x v="3"/>
    <x v="2"/>
    <x v="0"/>
    <x v="7"/>
    <n v="111821.94078423221"/>
  </r>
  <r>
    <n v="285"/>
    <x v="284"/>
    <x v="2"/>
    <x v="2"/>
    <x v="1"/>
    <x v="2"/>
    <x v="3"/>
    <x v="3"/>
    <x v="12"/>
    <x v="13"/>
    <x v="13"/>
    <x v="6"/>
    <x v="3"/>
    <x v="2"/>
    <x v="2"/>
    <x v="7"/>
    <x v="2"/>
    <x v="2"/>
    <x v="2"/>
    <x v="5"/>
    <x v="2"/>
    <x v="0"/>
    <n v="474811.72378733964"/>
  </r>
  <r>
    <n v="286"/>
    <x v="285"/>
    <x v="2"/>
    <x v="2"/>
    <x v="1"/>
    <x v="2"/>
    <x v="3"/>
    <x v="8"/>
    <x v="7"/>
    <x v="8"/>
    <x v="4"/>
    <x v="3"/>
    <x v="2"/>
    <x v="1"/>
    <x v="1"/>
    <x v="1"/>
    <x v="1"/>
    <x v="1"/>
    <x v="1"/>
    <x v="1"/>
    <x v="1"/>
    <x v="1"/>
    <m/>
  </r>
  <r>
    <n v="287"/>
    <x v="286"/>
    <x v="2"/>
    <x v="2"/>
    <x v="1"/>
    <x v="2"/>
    <x v="3"/>
    <x v="3"/>
    <x v="3"/>
    <x v="4"/>
    <x v="4"/>
    <x v="8"/>
    <x v="10"/>
    <x v="3"/>
    <x v="8"/>
    <x v="1"/>
    <x v="1"/>
    <x v="9"/>
    <x v="8"/>
    <x v="4"/>
    <x v="7"/>
    <x v="0"/>
    <n v="262385.21777972154"/>
  </r>
  <r>
    <n v="288"/>
    <x v="287"/>
    <x v="2"/>
    <x v="2"/>
    <x v="1"/>
    <x v="2"/>
    <x v="3"/>
    <x v="3"/>
    <x v="3"/>
    <x v="4"/>
    <x v="4"/>
    <x v="4"/>
    <x v="8"/>
    <x v="4"/>
    <x v="2"/>
    <x v="3"/>
    <x v="3"/>
    <x v="0"/>
    <x v="0"/>
    <x v="0"/>
    <x v="0"/>
    <x v="7"/>
    <n v="112597.06242265257"/>
  </r>
  <r>
    <n v="289"/>
    <x v="288"/>
    <x v="2"/>
    <x v="2"/>
    <x v="1"/>
    <x v="2"/>
    <x v="3"/>
    <x v="3"/>
    <x v="3"/>
    <x v="6"/>
    <x v="2"/>
    <x v="8"/>
    <x v="8"/>
    <x v="4"/>
    <x v="7"/>
    <x v="5"/>
    <x v="0"/>
    <x v="9"/>
    <x v="8"/>
    <x v="4"/>
    <x v="7"/>
    <x v="0"/>
    <n v="326195.26613518415"/>
  </r>
  <r>
    <n v="290"/>
    <x v="289"/>
    <x v="2"/>
    <x v="2"/>
    <x v="1"/>
    <x v="2"/>
    <x v="3"/>
    <x v="3"/>
    <x v="4"/>
    <x v="4"/>
    <x v="4"/>
    <x v="6"/>
    <x v="4"/>
    <x v="2"/>
    <x v="2"/>
    <x v="7"/>
    <x v="2"/>
    <x v="2"/>
    <x v="2"/>
    <x v="5"/>
    <x v="2"/>
    <x v="2"/>
    <n v="2987278.1196249356"/>
  </r>
  <r>
    <n v="291"/>
    <x v="290"/>
    <x v="2"/>
    <x v="2"/>
    <x v="1"/>
    <x v="2"/>
    <x v="3"/>
    <x v="3"/>
    <x v="7"/>
    <x v="8"/>
    <x v="2"/>
    <x v="6"/>
    <x v="4"/>
    <x v="0"/>
    <x v="3"/>
    <x v="3"/>
    <x v="1"/>
    <x v="1"/>
    <x v="1"/>
    <x v="1"/>
    <x v="1"/>
    <x v="1"/>
    <m/>
  </r>
  <r>
    <n v="292"/>
    <x v="291"/>
    <x v="2"/>
    <x v="2"/>
    <x v="1"/>
    <x v="2"/>
    <x v="3"/>
    <x v="3"/>
    <x v="4"/>
    <x v="6"/>
    <x v="9"/>
    <x v="1"/>
    <x v="2"/>
    <x v="1"/>
    <x v="1"/>
    <x v="1"/>
    <x v="1"/>
    <x v="1"/>
    <x v="1"/>
    <x v="1"/>
    <x v="1"/>
    <x v="1"/>
    <m/>
  </r>
  <r>
    <n v="293"/>
    <x v="292"/>
    <x v="2"/>
    <x v="2"/>
    <x v="1"/>
    <x v="2"/>
    <x v="3"/>
    <x v="3"/>
    <x v="3"/>
    <x v="2"/>
    <x v="4"/>
    <x v="8"/>
    <x v="8"/>
    <x v="4"/>
    <x v="3"/>
    <x v="2"/>
    <x v="6"/>
    <x v="3"/>
    <x v="3"/>
    <x v="2"/>
    <x v="3"/>
    <x v="7"/>
    <n v="249369.54315655341"/>
  </r>
  <r>
    <n v="294"/>
    <x v="293"/>
    <x v="2"/>
    <x v="2"/>
    <x v="1"/>
    <x v="2"/>
    <x v="3"/>
    <x v="3"/>
    <x v="2"/>
    <x v="6"/>
    <x v="2"/>
    <x v="0"/>
    <x v="8"/>
    <x v="6"/>
    <x v="7"/>
    <x v="3"/>
    <x v="3"/>
    <x v="0"/>
    <x v="0"/>
    <x v="0"/>
    <x v="0"/>
    <x v="7"/>
    <n v="146113.9964714993"/>
  </r>
  <r>
    <n v="295"/>
    <x v="294"/>
    <x v="2"/>
    <x v="2"/>
    <x v="1"/>
    <x v="2"/>
    <x v="3"/>
    <x v="3"/>
    <x v="4"/>
    <x v="4"/>
    <x v="2"/>
    <x v="6"/>
    <x v="2"/>
    <x v="1"/>
    <x v="1"/>
    <x v="1"/>
    <x v="1"/>
    <x v="1"/>
    <x v="1"/>
    <x v="1"/>
    <x v="1"/>
    <x v="1"/>
    <m/>
  </r>
  <r>
    <n v="296"/>
    <x v="295"/>
    <x v="2"/>
    <x v="2"/>
    <x v="1"/>
    <x v="2"/>
    <x v="3"/>
    <x v="3"/>
    <x v="3"/>
    <x v="8"/>
    <x v="13"/>
    <x v="4"/>
    <x v="7"/>
    <x v="2"/>
    <x v="2"/>
    <x v="2"/>
    <x v="2"/>
    <x v="2"/>
    <x v="2"/>
    <x v="2"/>
    <x v="3"/>
    <x v="3"/>
    <n v="122861.9293875923"/>
  </r>
  <r>
    <n v="297"/>
    <x v="296"/>
    <x v="2"/>
    <x v="2"/>
    <x v="1"/>
    <x v="2"/>
    <x v="3"/>
    <x v="3"/>
    <x v="4"/>
    <x v="4"/>
    <x v="3"/>
    <x v="8"/>
    <x v="8"/>
    <x v="1"/>
    <x v="0"/>
    <x v="1"/>
    <x v="1"/>
    <x v="1"/>
    <x v="1"/>
    <x v="4"/>
    <x v="7"/>
    <x v="0"/>
    <n v="300691.95056632767"/>
  </r>
  <r>
    <n v="298"/>
    <x v="297"/>
    <x v="2"/>
    <x v="2"/>
    <x v="1"/>
    <x v="2"/>
    <x v="3"/>
    <x v="3"/>
    <x v="9"/>
    <x v="12"/>
    <x v="5"/>
    <x v="6"/>
    <x v="4"/>
    <x v="4"/>
    <x v="3"/>
    <x v="1"/>
    <x v="1"/>
    <x v="3"/>
    <x v="3"/>
    <x v="2"/>
    <x v="3"/>
    <x v="3"/>
    <n v="144566.45812232641"/>
  </r>
  <r>
    <n v="299"/>
    <x v="298"/>
    <x v="2"/>
    <x v="2"/>
    <x v="1"/>
    <x v="2"/>
    <x v="3"/>
    <x v="3"/>
    <x v="3"/>
    <x v="6"/>
    <x v="3"/>
    <x v="3"/>
    <x v="2"/>
    <x v="4"/>
    <x v="1"/>
    <x v="1"/>
    <x v="1"/>
    <x v="1"/>
    <x v="1"/>
    <x v="1"/>
    <x v="1"/>
    <x v="1"/>
    <m/>
  </r>
  <r>
    <n v="300"/>
    <x v="299"/>
    <x v="2"/>
    <x v="2"/>
    <x v="1"/>
    <x v="2"/>
    <x v="3"/>
    <x v="3"/>
    <x v="3"/>
    <x v="6"/>
    <x v="2"/>
    <x v="4"/>
    <x v="4"/>
    <x v="6"/>
    <x v="1"/>
    <x v="1"/>
    <x v="1"/>
    <x v="1"/>
    <x v="1"/>
    <x v="1"/>
    <x v="1"/>
    <x v="1"/>
    <m/>
  </r>
  <r>
    <n v="301"/>
    <x v="300"/>
    <x v="2"/>
    <x v="2"/>
    <x v="1"/>
    <x v="2"/>
    <x v="3"/>
    <x v="3"/>
    <x v="3"/>
    <x v="4"/>
    <x v="4"/>
    <x v="3"/>
    <x v="3"/>
    <x v="2"/>
    <x v="1"/>
    <x v="1"/>
    <x v="1"/>
    <x v="1"/>
    <x v="1"/>
    <x v="1"/>
    <x v="1"/>
    <x v="1"/>
    <m/>
  </r>
  <r>
    <n v="302"/>
    <x v="301"/>
    <x v="2"/>
    <x v="2"/>
    <x v="1"/>
    <x v="2"/>
    <x v="3"/>
    <x v="3"/>
    <x v="3"/>
    <x v="6"/>
    <x v="2"/>
    <x v="6"/>
    <x v="4"/>
    <x v="4"/>
    <x v="1"/>
    <x v="1"/>
    <x v="1"/>
    <x v="1"/>
    <x v="1"/>
    <x v="1"/>
    <x v="1"/>
    <x v="1"/>
    <m/>
  </r>
  <r>
    <n v="303"/>
    <x v="302"/>
    <x v="2"/>
    <x v="2"/>
    <x v="1"/>
    <x v="2"/>
    <x v="3"/>
    <x v="3"/>
    <x v="3"/>
    <x v="6"/>
    <x v="3"/>
    <x v="3"/>
    <x v="3"/>
    <x v="1"/>
    <x v="1"/>
    <x v="1"/>
    <x v="1"/>
    <x v="1"/>
    <x v="1"/>
    <x v="1"/>
    <x v="1"/>
    <x v="1"/>
    <m/>
  </r>
  <r>
    <n v="304"/>
    <x v="303"/>
    <x v="2"/>
    <x v="2"/>
    <x v="1"/>
    <x v="2"/>
    <x v="3"/>
    <x v="3"/>
    <x v="3"/>
    <x v="6"/>
    <x v="2"/>
    <x v="8"/>
    <x v="8"/>
    <x v="6"/>
    <x v="1"/>
    <x v="1"/>
    <x v="1"/>
    <x v="1"/>
    <x v="1"/>
    <x v="1"/>
    <x v="1"/>
    <x v="1"/>
    <m/>
  </r>
  <r>
    <n v="305"/>
    <x v="304"/>
    <x v="2"/>
    <x v="2"/>
    <x v="1"/>
    <x v="2"/>
    <x v="3"/>
    <x v="3"/>
    <x v="2"/>
    <x v="1"/>
    <x v="0"/>
    <x v="8"/>
    <x v="3"/>
    <x v="4"/>
    <x v="3"/>
    <x v="5"/>
    <x v="10"/>
    <x v="0"/>
    <x v="0"/>
    <x v="2"/>
    <x v="3"/>
    <x v="7"/>
    <n v="130062.16114531962"/>
  </r>
  <r>
    <n v="306"/>
    <x v="305"/>
    <x v="2"/>
    <x v="2"/>
    <x v="1"/>
    <x v="2"/>
    <x v="3"/>
    <x v="3"/>
    <x v="11"/>
    <x v="12"/>
    <x v="0"/>
    <x v="8"/>
    <x v="8"/>
    <x v="1"/>
    <x v="1"/>
    <x v="1"/>
    <x v="1"/>
    <x v="1"/>
    <x v="1"/>
    <x v="1"/>
    <x v="1"/>
    <x v="1"/>
    <m/>
  </r>
  <r>
    <n v="307"/>
    <x v="306"/>
    <x v="2"/>
    <x v="2"/>
    <x v="1"/>
    <x v="2"/>
    <x v="3"/>
    <x v="3"/>
    <x v="4"/>
    <x v="4"/>
    <x v="2"/>
    <x v="9"/>
    <x v="9"/>
    <x v="7"/>
    <x v="8"/>
    <x v="8"/>
    <x v="7"/>
    <x v="11"/>
    <x v="7"/>
    <x v="8"/>
    <x v="8"/>
    <x v="8"/>
    <n v="120097.62032345652"/>
  </r>
  <r>
    <n v="308"/>
    <x v="307"/>
    <x v="2"/>
    <x v="2"/>
    <x v="1"/>
    <x v="2"/>
    <x v="3"/>
    <x v="3"/>
    <x v="3"/>
    <x v="4"/>
    <x v="2"/>
    <x v="8"/>
    <x v="4"/>
    <x v="6"/>
    <x v="5"/>
    <x v="9"/>
    <x v="9"/>
    <x v="10"/>
    <x v="9"/>
    <x v="11"/>
    <x v="5"/>
    <x v="5"/>
    <n v="115829.61048146979"/>
  </r>
  <r>
    <n v="309"/>
    <x v="308"/>
    <x v="2"/>
    <x v="2"/>
    <x v="1"/>
    <x v="2"/>
    <x v="3"/>
    <x v="3"/>
    <x v="3"/>
    <x v="4"/>
    <x v="2"/>
    <x v="6"/>
    <x v="4"/>
    <x v="4"/>
    <x v="2"/>
    <x v="7"/>
    <x v="6"/>
    <x v="2"/>
    <x v="2"/>
    <x v="5"/>
    <x v="2"/>
    <x v="2"/>
    <n v="493408.10589139932"/>
  </r>
  <r>
    <n v="310"/>
    <x v="309"/>
    <x v="2"/>
    <x v="2"/>
    <x v="1"/>
    <x v="2"/>
    <x v="3"/>
    <x v="3"/>
    <x v="4"/>
    <x v="4"/>
    <x v="11"/>
    <x v="10"/>
    <x v="6"/>
    <x v="0"/>
    <x v="0"/>
    <x v="5"/>
    <x v="0"/>
    <x v="9"/>
    <x v="9"/>
    <x v="11"/>
    <x v="8"/>
    <x v="8"/>
    <n v="159659.52215496131"/>
  </r>
  <r>
    <n v="311"/>
    <x v="310"/>
    <x v="2"/>
    <x v="2"/>
    <x v="1"/>
    <x v="2"/>
    <x v="3"/>
    <x v="3"/>
    <x v="7"/>
    <x v="8"/>
    <x v="11"/>
    <x v="5"/>
    <x v="6"/>
    <x v="0"/>
    <x v="0"/>
    <x v="5"/>
    <x v="0"/>
    <x v="9"/>
    <x v="9"/>
    <x v="11"/>
    <x v="8"/>
    <x v="8"/>
    <n v="115389.93503772892"/>
  </r>
  <r>
    <n v="312"/>
    <x v="311"/>
    <x v="2"/>
    <x v="2"/>
    <x v="1"/>
    <x v="2"/>
    <x v="3"/>
    <x v="3"/>
    <x v="4"/>
    <x v="4"/>
    <x v="5"/>
    <x v="8"/>
    <x v="0"/>
    <x v="6"/>
    <x v="7"/>
    <x v="3"/>
    <x v="3"/>
    <x v="9"/>
    <x v="9"/>
    <x v="11"/>
    <x v="8"/>
    <x v="8"/>
    <n v="2507664.2536530406"/>
  </r>
  <r>
    <n v="313"/>
    <x v="312"/>
    <x v="2"/>
    <x v="2"/>
    <x v="1"/>
    <x v="2"/>
    <x v="3"/>
    <x v="3"/>
    <x v="3"/>
    <x v="2"/>
    <x v="13"/>
    <x v="2"/>
    <x v="7"/>
    <x v="12"/>
    <x v="6"/>
    <x v="11"/>
    <x v="11"/>
    <x v="12"/>
    <x v="11"/>
    <x v="5"/>
    <x v="2"/>
    <x v="2"/>
    <n v="137967.5675987569"/>
  </r>
  <r>
    <n v="314"/>
    <x v="313"/>
    <x v="2"/>
    <x v="2"/>
    <x v="1"/>
    <x v="2"/>
    <x v="3"/>
    <x v="3"/>
    <x v="4"/>
    <x v="4"/>
    <x v="2"/>
    <x v="4"/>
    <x v="4"/>
    <x v="4"/>
    <x v="3"/>
    <x v="7"/>
    <x v="1"/>
    <x v="2"/>
    <x v="1"/>
    <x v="1"/>
    <x v="1"/>
    <x v="1"/>
    <m/>
  </r>
  <r>
    <n v="315"/>
    <x v="314"/>
    <x v="2"/>
    <x v="2"/>
    <x v="1"/>
    <x v="2"/>
    <x v="3"/>
    <x v="3"/>
    <x v="3"/>
    <x v="4"/>
    <x v="4"/>
    <x v="4"/>
    <x v="4"/>
    <x v="4"/>
    <x v="2"/>
    <x v="7"/>
    <x v="6"/>
    <x v="2"/>
    <x v="2"/>
    <x v="2"/>
    <x v="3"/>
    <x v="2"/>
    <n v="528455.02611458686"/>
  </r>
  <r>
    <n v="316"/>
    <x v="315"/>
    <x v="2"/>
    <x v="2"/>
    <x v="1"/>
    <x v="2"/>
    <x v="3"/>
    <x v="3"/>
    <x v="3"/>
    <x v="8"/>
    <x v="5"/>
    <x v="2"/>
    <x v="7"/>
    <x v="2"/>
    <x v="2"/>
    <x v="7"/>
    <x v="10"/>
    <x v="1"/>
    <x v="1"/>
    <x v="1"/>
    <x v="1"/>
    <x v="1"/>
    <m/>
  </r>
  <r>
    <n v="317"/>
    <x v="316"/>
    <x v="2"/>
    <x v="2"/>
    <x v="1"/>
    <x v="2"/>
    <x v="3"/>
    <x v="3"/>
    <x v="3"/>
    <x v="2"/>
    <x v="2"/>
    <x v="4"/>
    <x v="3"/>
    <x v="2"/>
    <x v="7"/>
    <x v="3"/>
    <x v="3"/>
    <x v="0"/>
    <x v="0"/>
    <x v="0"/>
    <x v="0"/>
    <x v="7"/>
    <n v="111908.33712765222"/>
  </r>
  <r>
    <n v="318"/>
    <x v="317"/>
    <x v="2"/>
    <x v="2"/>
    <x v="1"/>
    <x v="2"/>
    <x v="3"/>
    <x v="3"/>
    <x v="3"/>
    <x v="2"/>
    <x v="3"/>
    <x v="2"/>
    <x v="3"/>
    <x v="8"/>
    <x v="6"/>
    <x v="2"/>
    <x v="2"/>
    <x v="2"/>
    <x v="2"/>
    <x v="5"/>
    <x v="2"/>
    <x v="2"/>
    <n v="137815.31483641113"/>
  </r>
  <r>
    <n v="319"/>
    <x v="318"/>
    <x v="2"/>
    <x v="2"/>
    <x v="1"/>
    <x v="2"/>
    <x v="3"/>
    <x v="3"/>
    <x v="3"/>
    <x v="4"/>
    <x v="4"/>
    <x v="6"/>
    <x v="4"/>
    <x v="4"/>
    <x v="3"/>
    <x v="1"/>
    <x v="1"/>
    <x v="1"/>
    <x v="1"/>
    <x v="1"/>
    <x v="1"/>
    <x v="1"/>
    <m/>
  </r>
  <r>
    <n v="320"/>
    <x v="319"/>
    <x v="2"/>
    <x v="2"/>
    <x v="1"/>
    <x v="2"/>
    <x v="3"/>
    <x v="3"/>
    <x v="3"/>
    <x v="3"/>
    <x v="11"/>
    <x v="9"/>
    <x v="6"/>
    <x v="0"/>
    <x v="10"/>
    <x v="0"/>
    <x v="0"/>
    <x v="9"/>
    <x v="8"/>
    <x v="9"/>
    <x v="7"/>
    <x v="7"/>
    <n v="143816.65604772931"/>
  </r>
  <r>
    <n v="321"/>
    <x v="320"/>
    <x v="2"/>
    <x v="2"/>
    <x v="1"/>
    <x v="2"/>
    <x v="3"/>
    <x v="3"/>
    <x v="3"/>
    <x v="1"/>
    <x v="7"/>
    <x v="4"/>
    <x v="3"/>
    <x v="1"/>
    <x v="1"/>
    <x v="1"/>
    <x v="1"/>
    <x v="1"/>
    <x v="1"/>
    <x v="1"/>
    <x v="1"/>
    <x v="1"/>
    <m/>
  </r>
  <r>
    <n v="322"/>
    <x v="321"/>
    <x v="2"/>
    <x v="2"/>
    <x v="1"/>
    <x v="2"/>
    <x v="3"/>
    <x v="3"/>
    <x v="3"/>
    <x v="2"/>
    <x v="1"/>
    <x v="10"/>
    <x v="1"/>
    <x v="9"/>
    <x v="12"/>
    <x v="9"/>
    <x v="1"/>
    <x v="1"/>
    <x v="1"/>
    <x v="1"/>
    <x v="1"/>
    <x v="1"/>
    <m/>
  </r>
  <r>
    <n v="323"/>
    <x v="322"/>
    <x v="2"/>
    <x v="2"/>
    <x v="1"/>
    <x v="2"/>
    <x v="3"/>
    <x v="3"/>
    <x v="3"/>
    <x v="6"/>
    <x v="0"/>
    <x v="4"/>
    <x v="4"/>
    <x v="4"/>
    <x v="3"/>
    <x v="7"/>
    <x v="6"/>
    <x v="3"/>
    <x v="3"/>
    <x v="2"/>
    <x v="3"/>
    <x v="3"/>
    <n v="151189.56441699612"/>
  </r>
  <r>
    <n v="324"/>
    <x v="323"/>
    <x v="2"/>
    <x v="2"/>
    <x v="1"/>
    <x v="2"/>
    <x v="3"/>
    <x v="3"/>
    <x v="3"/>
    <x v="3"/>
    <x v="11"/>
    <x v="4"/>
    <x v="7"/>
    <x v="4"/>
    <x v="7"/>
    <x v="0"/>
    <x v="10"/>
    <x v="9"/>
    <x v="8"/>
    <x v="4"/>
    <x v="7"/>
    <x v="0"/>
    <n v="161190.69866835442"/>
  </r>
  <r>
    <n v="325"/>
    <x v="324"/>
    <x v="2"/>
    <x v="2"/>
    <x v="1"/>
    <x v="2"/>
    <x v="3"/>
    <x v="3"/>
    <x v="3"/>
    <x v="2"/>
    <x v="2"/>
    <x v="8"/>
    <x v="1"/>
    <x v="6"/>
    <x v="1"/>
    <x v="1"/>
    <x v="1"/>
    <x v="1"/>
    <x v="1"/>
    <x v="1"/>
    <x v="1"/>
    <x v="1"/>
    <m/>
  </r>
  <r>
    <n v="326"/>
    <x v="325"/>
    <x v="2"/>
    <x v="2"/>
    <x v="1"/>
    <x v="2"/>
    <x v="3"/>
    <x v="3"/>
    <x v="3"/>
    <x v="1"/>
    <x v="2"/>
    <x v="5"/>
    <x v="6"/>
    <x v="3"/>
    <x v="10"/>
    <x v="0"/>
    <x v="10"/>
    <x v="0"/>
    <x v="8"/>
    <x v="9"/>
    <x v="7"/>
    <x v="1"/>
    <m/>
  </r>
  <r>
    <n v="327"/>
    <x v="326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328"/>
    <x v="327"/>
    <x v="2"/>
    <x v="2"/>
    <x v="1"/>
    <x v="2"/>
    <x v="3"/>
    <x v="3"/>
    <x v="3"/>
    <x v="2"/>
    <x v="3"/>
    <x v="4"/>
    <x v="4"/>
    <x v="4"/>
    <x v="3"/>
    <x v="7"/>
    <x v="6"/>
    <x v="2"/>
    <x v="2"/>
    <x v="2"/>
    <x v="2"/>
    <x v="2"/>
    <n v="272495.09668512928"/>
  </r>
  <r>
    <n v="329"/>
    <x v="328"/>
    <x v="2"/>
    <x v="2"/>
    <x v="1"/>
    <x v="2"/>
    <x v="3"/>
    <x v="3"/>
    <x v="3"/>
    <x v="3"/>
    <x v="5"/>
    <x v="10"/>
    <x v="9"/>
    <x v="9"/>
    <x v="5"/>
    <x v="6"/>
    <x v="5"/>
    <x v="1"/>
    <x v="1"/>
    <x v="1"/>
    <x v="1"/>
    <x v="1"/>
    <m/>
  </r>
  <r>
    <n v="330"/>
    <x v="329"/>
    <x v="2"/>
    <x v="2"/>
    <x v="1"/>
    <x v="2"/>
    <x v="3"/>
    <x v="3"/>
    <x v="3"/>
    <x v="2"/>
    <x v="7"/>
    <x v="4"/>
    <x v="3"/>
    <x v="2"/>
    <x v="3"/>
    <x v="7"/>
    <x v="6"/>
    <x v="3"/>
    <x v="3"/>
    <x v="2"/>
    <x v="3"/>
    <x v="3"/>
    <n v="109505.84857547509"/>
  </r>
  <r>
    <n v="331"/>
    <x v="330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568581.05268744065"/>
  </r>
  <r>
    <n v="332"/>
    <x v="331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0632745.772065587"/>
  </r>
  <r>
    <n v="333"/>
    <x v="332"/>
    <x v="2"/>
    <x v="2"/>
    <x v="1"/>
    <x v="2"/>
    <x v="3"/>
    <x v="3"/>
    <x v="3"/>
    <x v="4"/>
    <x v="5"/>
    <x v="9"/>
    <x v="10"/>
    <x v="10"/>
    <x v="8"/>
    <x v="6"/>
    <x v="7"/>
    <x v="1"/>
    <x v="7"/>
    <x v="1"/>
    <x v="1"/>
    <x v="1"/>
    <m/>
  </r>
  <r>
    <n v="334"/>
    <x v="333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35"/>
    <x v="334"/>
    <x v="2"/>
    <x v="2"/>
    <x v="1"/>
    <x v="2"/>
    <x v="3"/>
    <x v="3"/>
    <x v="3"/>
    <x v="2"/>
    <x v="4"/>
    <x v="5"/>
    <x v="6"/>
    <x v="3"/>
    <x v="8"/>
    <x v="1"/>
    <x v="1"/>
    <x v="1"/>
    <x v="1"/>
    <x v="1"/>
    <x v="1"/>
    <x v="1"/>
    <m/>
  </r>
  <r>
    <n v="336"/>
    <x v="335"/>
    <x v="2"/>
    <x v="2"/>
    <x v="1"/>
    <x v="2"/>
    <x v="3"/>
    <x v="3"/>
    <x v="3"/>
    <x v="2"/>
    <x v="7"/>
    <x v="3"/>
    <x v="2"/>
    <x v="1"/>
    <x v="1"/>
    <x v="1"/>
    <x v="1"/>
    <x v="1"/>
    <x v="1"/>
    <x v="1"/>
    <x v="1"/>
    <x v="1"/>
    <m/>
  </r>
  <r>
    <n v="337"/>
    <x v="336"/>
    <x v="2"/>
    <x v="2"/>
    <x v="1"/>
    <x v="2"/>
    <x v="3"/>
    <x v="3"/>
    <x v="3"/>
    <x v="2"/>
    <x v="4"/>
    <x v="4"/>
    <x v="3"/>
    <x v="4"/>
    <x v="2"/>
    <x v="7"/>
    <x v="6"/>
    <x v="1"/>
    <x v="1"/>
    <x v="1"/>
    <x v="1"/>
    <x v="1"/>
    <m/>
  </r>
  <r>
    <n v="338"/>
    <x v="337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39"/>
    <x v="338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0"/>
    <x v="339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1"/>
    <x v="340"/>
    <x v="2"/>
    <x v="2"/>
    <x v="1"/>
    <x v="2"/>
    <x v="3"/>
    <x v="3"/>
    <x v="3"/>
    <x v="2"/>
    <x v="3"/>
    <x v="3"/>
    <x v="3"/>
    <x v="6"/>
    <x v="7"/>
    <x v="7"/>
    <x v="6"/>
    <x v="1"/>
    <x v="1"/>
    <x v="1"/>
    <x v="1"/>
    <x v="1"/>
    <m/>
  </r>
  <r>
    <n v="342"/>
    <x v="341"/>
    <x v="2"/>
    <x v="2"/>
    <x v="1"/>
    <x v="2"/>
    <x v="3"/>
    <x v="3"/>
    <x v="3"/>
    <x v="2"/>
    <x v="7"/>
    <x v="6"/>
    <x v="7"/>
    <x v="4"/>
    <x v="3"/>
    <x v="3"/>
    <x v="3"/>
    <x v="1"/>
    <x v="1"/>
    <x v="1"/>
    <x v="1"/>
    <x v="1"/>
    <m/>
  </r>
  <r>
    <n v="343"/>
    <x v="342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44"/>
    <x v="343"/>
    <x v="2"/>
    <x v="2"/>
    <x v="1"/>
    <x v="2"/>
    <x v="3"/>
    <x v="3"/>
    <x v="3"/>
    <x v="2"/>
    <x v="3"/>
    <x v="6"/>
    <x v="4"/>
    <x v="4"/>
    <x v="3"/>
    <x v="5"/>
    <x v="1"/>
    <x v="1"/>
    <x v="1"/>
    <x v="1"/>
    <x v="1"/>
    <x v="1"/>
    <m/>
  </r>
  <r>
    <n v="345"/>
    <x v="344"/>
    <x v="2"/>
    <x v="2"/>
    <x v="1"/>
    <x v="2"/>
    <x v="3"/>
    <x v="3"/>
    <x v="3"/>
    <x v="2"/>
    <x v="2"/>
    <x v="4"/>
    <x v="4"/>
    <x v="4"/>
    <x v="3"/>
    <x v="3"/>
    <x v="6"/>
    <x v="0"/>
    <x v="0"/>
    <x v="0"/>
    <x v="7"/>
    <x v="1"/>
    <m/>
  </r>
  <r>
    <n v="346"/>
    <x v="345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347"/>
    <x v="346"/>
    <x v="2"/>
    <x v="2"/>
    <x v="1"/>
    <x v="2"/>
    <x v="3"/>
    <x v="3"/>
    <x v="3"/>
    <x v="2"/>
    <x v="3"/>
    <x v="3"/>
    <x v="2"/>
    <x v="0"/>
    <x v="3"/>
    <x v="0"/>
    <x v="0"/>
    <x v="0"/>
    <x v="0"/>
    <x v="4"/>
    <x v="7"/>
    <x v="9"/>
    <n v="240265.82992155809"/>
  </r>
  <r>
    <n v="348"/>
    <x v="347"/>
    <x v="2"/>
    <x v="2"/>
    <x v="1"/>
    <x v="2"/>
    <x v="3"/>
    <x v="3"/>
    <x v="3"/>
    <x v="2"/>
    <x v="4"/>
    <x v="0"/>
    <x v="6"/>
    <x v="3"/>
    <x v="1"/>
    <x v="1"/>
    <x v="1"/>
    <x v="1"/>
    <x v="1"/>
    <x v="1"/>
    <x v="1"/>
    <x v="1"/>
    <m/>
  </r>
  <r>
    <n v="349"/>
    <x v="348"/>
    <x v="2"/>
    <x v="2"/>
    <x v="1"/>
    <x v="2"/>
    <x v="3"/>
    <x v="3"/>
    <x v="3"/>
    <x v="2"/>
    <x v="3"/>
    <x v="2"/>
    <x v="3"/>
    <x v="2"/>
    <x v="2"/>
    <x v="7"/>
    <x v="6"/>
    <x v="3"/>
    <x v="3"/>
    <x v="2"/>
    <x v="3"/>
    <x v="3"/>
    <n v="135282.40376604284"/>
  </r>
  <r>
    <n v="350"/>
    <x v="349"/>
    <x v="2"/>
    <x v="2"/>
    <x v="1"/>
    <x v="2"/>
    <x v="3"/>
    <x v="3"/>
    <x v="3"/>
    <x v="2"/>
    <x v="3"/>
    <x v="3"/>
    <x v="0"/>
    <x v="6"/>
    <x v="0"/>
    <x v="7"/>
    <x v="3"/>
    <x v="0"/>
    <x v="0"/>
    <x v="0"/>
    <x v="0"/>
    <x v="7"/>
    <n v="133585.6549339726"/>
  </r>
  <r>
    <n v="351"/>
    <x v="350"/>
    <x v="2"/>
    <x v="2"/>
    <x v="1"/>
    <x v="2"/>
    <x v="3"/>
    <x v="3"/>
    <x v="3"/>
    <x v="2"/>
    <x v="3"/>
    <x v="5"/>
    <x v="0"/>
    <x v="0"/>
    <x v="7"/>
    <x v="5"/>
    <x v="3"/>
    <x v="0"/>
    <x v="0"/>
    <x v="0"/>
    <x v="0"/>
    <x v="7"/>
    <n v="242584.9943667718"/>
  </r>
  <r>
    <n v="352"/>
    <x v="351"/>
    <x v="2"/>
    <x v="2"/>
    <x v="1"/>
    <x v="2"/>
    <x v="3"/>
    <x v="3"/>
    <x v="3"/>
    <x v="2"/>
    <x v="2"/>
    <x v="6"/>
    <x v="3"/>
    <x v="4"/>
    <x v="2"/>
    <x v="7"/>
    <x v="2"/>
    <x v="1"/>
    <x v="1"/>
    <x v="1"/>
    <x v="1"/>
    <x v="1"/>
    <m/>
  </r>
  <r>
    <n v="353"/>
    <x v="352"/>
    <x v="2"/>
    <x v="2"/>
    <x v="1"/>
    <x v="2"/>
    <x v="3"/>
    <x v="3"/>
    <x v="3"/>
    <x v="2"/>
    <x v="0"/>
    <x v="8"/>
    <x v="4"/>
    <x v="2"/>
    <x v="0"/>
    <x v="5"/>
    <x v="0"/>
    <x v="9"/>
    <x v="9"/>
    <x v="4"/>
    <x v="7"/>
    <x v="0"/>
    <n v="1154582.5703450362"/>
  </r>
  <r>
    <n v="354"/>
    <x v="353"/>
    <x v="2"/>
    <x v="2"/>
    <x v="1"/>
    <x v="2"/>
    <x v="3"/>
    <x v="3"/>
    <x v="3"/>
    <x v="2"/>
    <x v="3"/>
    <x v="4"/>
    <x v="3"/>
    <x v="2"/>
    <x v="1"/>
    <x v="3"/>
    <x v="3"/>
    <x v="0"/>
    <x v="0"/>
    <x v="1"/>
    <x v="1"/>
    <x v="1"/>
    <m/>
  </r>
  <r>
    <n v="355"/>
    <x v="354"/>
    <x v="2"/>
    <x v="2"/>
    <x v="1"/>
    <x v="2"/>
    <x v="3"/>
    <x v="3"/>
    <x v="3"/>
    <x v="2"/>
    <x v="3"/>
    <x v="6"/>
    <x v="6"/>
    <x v="2"/>
    <x v="2"/>
    <x v="7"/>
    <x v="1"/>
    <x v="2"/>
    <x v="2"/>
    <x v="5"/>
    <x v="2"/>
    <x v="1"/>
    <m/>
  </r>
  <r>
    <n v="356"/>
    <x v="355"/>
    <x v="2"/>
    <x v="2"/>
    <x v="1"/>
    <x v="2"/>
    <x v="3"/>
    <x v="3"/>
    <x v="3"/>
    <x v="2"/>
    <x v="3"/>
    <x v="3"/>
    <x v="2"/>
    <x v="2"/>
    <x v="6"/>
    <x v="7"/>
    <x v="6"/>
    <x v="3"/>
    <x v="3"/>
    <x v="2"/>
    <x v="3"/>
    <x v="3"/>
    <n v="212838.52047721631"/>
  </r>
  <r>
    <n v="357"/>
    <x v="356"/>
    <x v="2"/>
    <x v="2"/>
    <x v="1"/>
    <x v="2"/>
    <x v="3"/>
    <x v="3"/>
    <x v="3"/>
    <x v="2"/>
    <x v="3"/>
    <x v="5"/>
    <x v="9"/>
    <x v="10"/>
    <x v="12"/>
    <x v="8"/>
    <x v="7"/>
    <x v="11"/>
    <x v="10"/>
    <x v="8"/>
    <x v="8"/>
    <x v="8"/>
    <n v="111910.56485909376"/>
  </r>
  <r>
    <n v="358"/>
    <x v="357"/>
    <x v="2"/>
    <x v="2"/>
    <x v="1"/>
    <x v="2"/>
    <x v="3"/>
    <x v="3"/>
    <x v="3"/>
    <x v="2"/>
    <x v="3"/>
    <x v="8"/>
    <x v="0"/>
    <x v="0"/>
    <x v="0"/>
    <x v="10"/>
    <x v="10"/>
    <x v="1"/>
    <x v="1"/>
    <x v="1"/>
    <x v="1"/>
    <x v="1"/>
    <m/>
  </r>
  <r>
    <n v="359"/>
    <x v="358"/>
    <x v="2"/>
    <x v="2"/>
    <x v="1"/>
    <x v="2"/>
    <x v="3"/>
    <x v="3"/>
    <x v="3"/>
    <x v="2"/>
    <x v="3"/>
    <x v="0"/>
    <x v="6"/>
    <x v="1"/>
    <x v="2"/>
    <x v="2"/>
    <x v="1"/>
    <x v="2"/>
    <x v="2"/>
    <x v="5"/>
    <x v="1"/>
    <x v="2"/>
    <n v="125886.2414831963"/>
  </r>
  <r>
    <n v="360"/>
    <x v="359"/>
    <x v="2"/>
    <x v="2"/>
    <x v="1"/>
    <x v="2"/>
    <x v="3"/>
    <x v="3"/>
    <x v="3"/>
    <x v="2"/>
    <x v="3"/>
    <x v="0"/>
    <x v="4"/>
    <x v="4"/>
    <x v="2"/>
    <x v="7"/>
    <x v="6"/>
    <x v="3"/>
    <x v="3"/>
    <x v="2"/>
    <x v="3"/>
    <x v="7"/>
    <n v="189865.8699003357"/>
  </r>
  <r>
    <n v="361"/>
    <x v="360"/>
    <x v="2"/>
    <x v="2"/>
    <x v="1"/>
    <x v="2"/>
    <x v="3"/>
    <x v="3"/>
    <x v="3"/>
    <x v="2"/>
    <x v="3"/>
    <x v="4"/>
    <x v="3"/>
    <x v="2"/>
    <x v="2"/>
    <x v="5"/>
    <x v="6"/>
    <x v="3"/>
    <x v="0"/>
    <x v="1"/>
    <x v="1"/>
    <x v="1"/>
    <m/>
  </r>
  <r>
    <n v="362"/>
    <x v="361"/>
    <x v="2"/>
    <x v="2"/>
    <x v="1"/>
    <x v="2"/>
    <x v="3"/>
    <x v="3"/>
    <x v="3"/>
    <x v="2"/>
    <x v="3"/>
    <x v="3"/>
    <x v="6"/>
    <x v="4"/>
    <x v="3"/>
    <x v="1"/>
    <x v="3"/>
    <x v="0"/>
    <x v="0"/>
    <x v="2"/>
    <x v="7"/>
    <x v="7"/>
    <n v="2605447.1756888498"/>
  </r>
  <r>
    <n v="363"/>
    <x v="362"/>
    <x v="2"/>
    <x v="2"/>
    <x v="1"/>
    <x v="2"/>
    <x v="3"/>
    <x v="3"/>
    <x v="3"/>
    <x v="2"/>
    <x v="3"/>
    <x v="8"/>
    <x v="8"/>
    <x v="8"/>
    <x v="2"/>
    <x v="2"/>
    <x v="2"/>
    <x v="2"/>
    <x v="2"/>
    <x v="5"/>
    <x v="2"/>
    <x v="3"/>
    <n v="1442486.7149781112"/>
  </r>
  <r>
    <n v="364"/>
    <x v="363"/>
    <x v="2"/>
    <x v="2"/>
    <x v="1"/>
    <x v="2"/>
    <x v="3"/>
    <x v="3"/>
    <x v="3"/>
    <x v="2"/>
    <x v="3"/>
    <x v="4"/>
    <x v="3"/>
    <x v="2"/>
    <x v="1"/>
    <x v="1"/>
    <x v="1"/>
    <x v="1"/>
    <x v="1"/>
    <x v="1"/>
    <x v="1"/>
    <x v="1"/>
    <m/>
  </r>
  <r>
    <n v="365"/>
    <x v="364"/>
    <x v="2"/>
    <x v="2"/>
    <x v="1"/>
    <x v="2"/>
    <x v="3"/>
    <x v="3"/>
    <x v="3"/>
    <x v="2"/>
    <x v="3"/>
    <x v="2"/>
    <x v="7"/>
    <x v="8"/>
    <x v="6"/>
    <x v="2"/>
    <x v="2"/>
    <x v="12"/>
    <x v="11"/>
    <x v="5"/>
    <x v="2"/>
    <x v="2"/>
    <n v="249127.70523891321"/>
  </r>
  <r>
    <n v="366"/>
    <x v="365"/>
    <x v="2"/>
    <x v="2"/>
    <x v="1"/>
    <x v="2"/>
    <x v="3"/>
    <x v="3"/>
    <x v="3"/>
    <x v="2"/>
    <x v="3"/>
    <x v="3"/>
    <x v="4"/>
    <x v="4"/>
    <x v="12"/>
    <x v="4"/>
    <x v="4"/>
    <x v="4"/>
    <x v="4"/>
    <x v="3"/>
    <x v="4"/>
    <x v="4"/>
    <n v="205515.51152424375"/>
  </r>
  <r>
    <n v="367"/>
    <x v="366"/>
    <x v="2"/>
    <x v="2"/>
    <x v="1"/>
    <x v="2"/>
    <x v="3"/>
    <x v="3"/>
    <x v="3"/>
    <x v="2"/>
    <x v="3"/>
    <x v="4"/>
    <x v="8"/>
    <x v="4"/>
    <x v="2"/>
    <x v="3"/>
    <x v="6"/>
    <x v="3"/>
    <x v="0"/>
    <x v="4"/>
    <x v="0"/>
    <x v="0"/>
    <n v="180690.23345621998"/>
  </r>
  <r>
    <n v="368"/>
    <x v="367"/>
    <x v="2"/>
    <x v="2"/>
    <x v="1"/>
    <x v="2"/>
    <x v="3"/>
    <x v="3"/>
    <x v="3"/>
    <x v="2"/>
    <x v="3"/>
    <x v="4"/>
    <x v="4"/>
    <x v="9"/>
    <x v="5"/>
    <x v="1"/>
    <x v="1"/>
    <x v="1"/>
    <x v="1"/>
    <x v="1"/>
    <x v="1"/>
    <x v="1"/>
    <m/>
  </r>
  <r>
    <n v="369"/>
    <x v="368"/>
    <x v="2"/>
    <x v="2"/>
    <x v="1"/>
    <x v="2"/>
    <x v="3"/>
    <x v="3"/>
    <x v="3"/>
    <x v="2"/>
    <x v="3"/>
    <x v="5"/>
    <x v="0"/>
    <x v="0"/>
    <x v="8"/>
    <x v="5"/>
    <x v="10"/>
    <x v="1"/>
    <x v="1"/>
    <x v="1"/>
    <x v="1"/>
    <x v="1"/>
    <m/>
  </r>
  <r>
    <n v="370"/>
    <x v="369"/>
    <x v="2"/>
    <x v="2"/>
    <x v="1"/>
    <x v="2"/>
    <x v="3"/>
    <x v="3"/>
    <x v="3"/>
    <x v="2"/>
    <x v="3"/>
    <x v="4"/>
    <x v="8"/>
    <x v="6"/>
    <x v="1"/>
    <x v="1"/>
    <x v="1"/>
    <x v="1"/>
    <x v="1"/>
    <x v="1"/>
    <x v="1"/>
    <x v="1"/>
    <m/>
  </r>
  <r>
    <n v="371"/>
    <x v="370"/>
    <x v="2"/>
    <x v="2"/>
    <x v="1"/>
    <x v="2"/>
    <x v="3"/>
    <x v="3"/>
    <x v="3"/>
    <x v="2"/>
    <x v="3"/>
    <x v="3"/>
    <x v="4"/>
    <x v="2"/>
    <x v="3"/>
    <x v="7"/>
    <x v="6"/>
    <x v="2"/>
    <x v="3"/>
    <x v="0"/>
    <x v="0"/>
    <x v="7"/>
    <n v="314789.62491264811"/>
  </r>
  <r>
    <n v="372"/>
    <x v="371"/>
    <x v="2"/>
    <x v="2"/>
    <x v="1"/>
    <x v="2"/>
    <x v="3"/>
    <x v="3"/>
    <x v="3"/>
    <x v="2"/>
    <x v="3"/>
    <x v="2"/>
    <x v="7"/>
    <x v="8"/>
    <x v="6"/>
    <x v="2"/>
    <x v="1"/>
    <x v="1"/>
    <x v="1"/>
    <x v="1"/>
    <x v="1"/>
    <x v="1"/>
    <m/>
  </r>
  <r>
    <n v="373"/>
    <x v="372"/>
    <x v="2"/>
    <x v="2"/>
    <x v="1"/>
    <x v="2"/>
    <x v="3"/>
    <x v="3"/>
    <x v="3"/>
    <x v="2"/>
    <x v="3"/>
    <x v="6"/>
    <x v="4"/>
    <x v="4"/>
    <x v="3"/>
    <x v="3"/>
    <x v="3"/>
    <x v="1"/>
    <x v="1"/>
    <x v="1"/>
    <x v="1"/>
    <x v="1"/>
    <m/>
  </r>
  <r>
    <n v="374"/>
    <x v="373"/>
    <x v="2"/>
    <x v="2"/>
    <x v="1"/>
    <x v="2"/>
    <x v="3"/>
    <x v="3"/>
    <x v="3"/>
    <x v="2"/>
    <x v="3"/>
    <x v="3"/>
    <x v="3"/>
    <x v="4"/>
    <x v="7"/>
    <x v="10"/>
    <x v="0"/>
    <x v="0"/>
    <x v="8"/>
    <x v="0"/>
    <x v="0"/>
    <x v="7"/>
    <n v="722891.57512973913"/>
  </r>
  <r>
    <n v="375"/>
    <x v="374"/>
    <x v="2"/>
    <x v="2"/>
    <x v="1"/>
    <x v="2"/>
    <x v="3"/>
    <x v="3"/>
    <x v="3"/>
    <x v="2"/>
    <x v="3"/>
    <x v="3"/>
    <x v="6"/>
    <x v="3"/>
    <x v="7"/>
    <x v="3"/>
    <x v="6"/>
    <x v="3"/>
    <x v="2"/>
    <x v="5"/>
    <x v="2"/>
    <x v="2"/>
    <n v="229949.46365372388"/>
  </r>
  <r>
    <n v="376"/>
    <x v="375"/>
    <x v="2"/>
    <x v="2"/>
    <x v="1"/>
    <x v="2"/>
    <x v="3"/>
    <x v="3"/>
    <x v="3"/>
    <x v="2"/>
    <x v="3"/>
    <x v="3"/>
    <x v="8"/>
    <x v="6"/>
    <x v="3"/>
    <x v="7"/>
    <x v="3"/>
    <x v="10"/>
    <x v="9"/>
    <x v="9"/>
    <x v="7"/>
    <x v="0"/>
    <n v="1163865.0024541086"/>
  </r>
  <r>
    <n v="377"/>
    <x v="376"/>
    <x v="2"/>
    <x v="2"/>
    <x v="1"/>
    <x v="2"/>
    <x v="3"/>
    <x v="3"/>
    <x v="3"/>
    <x v="2"/>
    <x v="3"/>
    <x v="0"/>
    <x v="4"/>
    <x v="2"/>
    <x v="1"/>
    <x v="1"/>
    <x v="1"/>
    <x v="1"/>
    <x v="1"/>
    <x v="1"/>
    <x v="1"/>
    <x v="1"/>
    <m/>
  </r>
  <r>
    <n v="378"/>
    <x v="377"/>
    <x v="2"/>
    <x v="2"/>
    <x v="1"/>
    <x v="2"/>
    <x v="3"/>
    <x v="3"/>
    <x v="3"/>
    <x v="2"/>
    <x v="3"/>
    <x v="3"/>
    <x v="2"/>
    <x v="4"/>
    <x v="3"/>
    <x v="3"/>
    <x v="3"/>
    <x v="3"/>
    <x v="3"/>
    <x v="2"/>
    <x v="3"/>
    <x v="3"/>
    <n v="149578.21994988425"/>
  </r>
  <r>
    <n v="379"/>
    <x v="378"/>
    <x v="2"/>
    <x v="2"/>
    <x v="1"/>
    <x v="2"/>
    <x v="3"/>
    <x v="3"/>
    <x v="3"/>
    <x v="2"/>
    <x v="3"/>
    <x v="2"/>
    <x v="2"/>
    <x v="1"/>
    <x v="1"/>
    <x v="2"/>
    <x v="1"/>
    <x v="12"/>
    <x v="2"/>
    <x v="5"/>
    <x v="1"/>
    <x v="2"/>
    <n v="385088.86472248397"/>
  </r>
  <r>
    <n v="380"/>
    <x v="379"/>
    <x v="2"/>
    <x v="2"/>
    <x v="1"/>
    <x v="2"/>
    <x v="3"/>
    <x v="3"/>
    <x v="3"/>
    <x v="2"/>
    <x v="3"/>
    <x v="3"/>
    <x v="8"/>
    <x v="6"/>
    <x v="7"/>
    <x v="3"/>
    <x v="3"/>
    <x v="9"/>
    <x v="8"/>
    <x v="0"/>
    <x v="0"/>
    <x v="7"/>
    <n v="498756.07385259576"/>
  </r>
  <r>
    <n v="381"/>
    <x v="380"/>
    <x v="2"/>
    <x v="2"/>
    <x v="1"/>
    <x v="2"/>
    <x v="3"/>
    <x v="3"/>
    <x v="3"/>
    <x v="2"/>
    <x v="3"/>
    <x v="3"/>
    <x v="3"/>
    <x v="2"/>
    <x v="2"/>
    <x v="2"/>
    <x v="2"/>
    <x v="2"/>
    <x v="2"/>
    <x v="5"/>
    <x v="2"/>
    <x v="0"/>
    <n v="356525.53999712254"/>
  </r>
  <r>
    <n v="382"/>
    <x v="381"/>
    <x v="2"/>
    <x v="2"/>
    <x v="1"/>
    <x v="2"/>
    <x v="3"/>
    <x v="3"/>
    <x v="3"/>
    <x v="2"/>
    <x v="3"/>
    <x v="3"/>
    <x v="3"/>
    <x v="2"/>
    <x v="2"/>
    <x v="2"/>
    <x v="1"/>
    <x v="1"/>
    <x v="1"/>
    <x v="1"/>
    <x v="1"/>
    <x v="1"/>
    <m/>
  </r>
  <r>
    <n v="383"/>
    <x v="382"/>
    <x v="2"/>
    <x v="2"/>
    <x v="1"/>
    <x v="2"/>
    <x v="3"/>
    <x v="3"/>
    <x v="3"/>
    <x v="2"/>
    <x v="3"/>
    <x v="3"/>
    <x v="3"/>
    <x v="2"/>
    <x v="2"/>
    <x v="2"/>
    <x v="6"/>
    <x v="3"/>
    <x v="0"/>
    <x v="2"/>
    <x v="2"/>
    <x v="2"/>
    <n v="115210.10134868599"/>
  </r>
  <r>
    <n v="384"/>
    <x v="383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997602.92749458482"/>
  </r>
  <r>
    <n v="385"/>
    <x v="384"/>
    <x v="2"/>
    <x v="2"/>
    <x v="1"/>
    <x v="2"/>
    <x v="3"/>
    <x v="3"/>
    <x v="3"/>
    <x v="2"/>
    <x v="3"/>
    <x v="3"/>
    <x v="2"/>
    <x v="2"/>
    <x v="3"/>
    <x v="3"/>
    <x v="3"/>
    <x v="3"/>
    <x v="0"/>
    <x v="2"/>
    <x v="0"/>
    <x v="7"/>
    <n v="471915.51189906505"/>
  </r>
  <r>
    <n v="386"/>
    <x v="385"/>
    <x v="2"/>
    <x v="2"/>
    <x v="1"/>
    <x v="2"/>
    <x v="3"/>
    <x v="3"/>
    <x v="3"/>
    <x v="2"/>
    <x v="3"/>
    <x v="3"/>
    <x v="6"/>
    <x v="4"/>
    <x v="3"/>
    <x v="3"/>
    <x v="2"/>
    <x v="1"/>
    <x v="1"/>
    <x v="1"/>
    <x v="1"/>
    <x v="1"/>
    <m/>
  </r>
  <r>
    <n v="387"/>
    <x v="386"/>
    <x v="2"/>
    <x v="2"/>
    <x v="1"/>
    <x v="2"/>
    <x v="3"/>
    <x v="3"/>
    <x v="3"/>
    <x v="2"/>
    <x v="3"/>
    <x v="3"/>
    <x v="2"/>
    <x v="4"/>
    <x v="2"/>
    <x v="1"/>
    <x v="6"/>
    <x v="2"/>
    <x v="1"/>
    <x v="2"/>
    <x v="2"/>
    <x v="0"/>
    <n v="228004.77218320029"/>
  </r>
  <r>
    <n v="388"/>
    <x v="387"/>
    <x v="2"/>
    <x v="2"/>
    <x v="1"/>
    <x v="2"/>
    <x v="3"/>
    <x v="3"/>
    <x v="3"/>
    <x v="2"/>
    <x v="3"/>
    <x v="3"/>
    <x v="4"/>
    <x v="2"/>
    <x v="7"/>
    <x v="3"/>
    <x v="0"/>
    <x v="1"/>
    <x v="1"/>
    <x v="1"/>
    <x v="1"/>
    <x v="1"/>
    <m/>
  </r>
  <r>
    <n v="389"/>
    <x v="388"/>
    <x v="2"/>
    <x v="2"/>
    <x v="1"/>
    <x v="2"/>
    <x v="3"/>
    <x v="3"/>
    <x v="3"/>
    <x v="2"/>
    <x v="3"/>
    <x v="3"/>
    <x v="8"/>
    <x v="1"/>
    <x v="1"/>
    <x v="1"/>
    <x v="1"/>
    <x v="1"/>
    <x v="1"/>
    <x v="1"/>
    <x v="1"/>
    <x v="1"/>
    <m/>
  </r>
  <r>
    <n v="390"/>
    <x v="389"/>
    <x v="2"/>
    <x v="2"/>
    <x v="1"/>
    <x v="2"/>
    <x v="3"/>
    <x v="3"/>
    <x v="3"/>
    <x v="2"/>
    <x v="3"/>
    <x v="3"/>
    <x v="2"/>
    <x v="4"/>
    <x v="3"/>
    <x v="3"/>
    <x v="3"/>
    <x v="0"/>
    <x v="3"/>
    <x v="0"/>
    <x v="3"/>
    <x v="3"/>
    <n v="1752678.7848761652"/>
  </r>
  <r>
    <n v="391"/>
    <x v="390"/>
    <x v="2"/>
    <x v="2"/>
    <x v="1"/>
    <x v="2"/>
    <x v="3"/>
    <x v="3"/>
    <x v="3"/>
    <x v="2"/>
    <x v="3"/>
    <x v="3"/>
    <x v="3"/>
    <x v="8"/>
    <x v="2"/>
    <x v="7"/>
    <x v="6"/>
    <x v="3"/>
    <x v="3"/>
    <x v="0"/>
    <x v="3"/>
    <x v="7"/>
    <n v="137431.16771936114"/>
  </r>
  <r>
    <n v="392"/>
    <x v="391"/>
    <x v="2"/>
    <x v="2"/>
    <x v="1"/>
    <x v="2"/>
    <x v="3"/>
    <x v="3"/>
    <x v="3"/>
    <x v="2"/>
    <x v="3"/>
    <x v="3"/>
    <x v="3"/>
    <x v="8"/>
    <x v="2"/>
    <x v="2"/>
    <x v="2"/>
    <x v="2"/>
    <x v="1"/>
    <x v="1"/>
    <x v="1"/>
    <x v="1"/>
    <m/>
  </r>
  <r>
    <n v="393"/>
    <x v="392"/>
    <x v="2"/>
    <x v="2"/>
    <x v="1"/>
    <x v="2"/>
    <x v="3"/>
    <x v="3"/>
    <x v="3"/>
    <x v="2"/>
    <x v="3"/>
    <x v="3"/>
    <x v="2"/>
    <x v="8"/>
    <x v="2"/>
    <x v="7"/>
    <x v="2"/>
    <x v="2"/>
    <x v="2"/>
    <x v="5"/>
    <x v="2"/>
    <x v="2"/>
    <n v="232547.50425731871"/>
  </r>
  <r>
    <n v="394"/>
    <x v="393"/>
    <x v="2"/>
    <x v="2"/>
    <x v="1"/>
    <x v="2"/>
    <x v="3"/>
    <x v="3"/>
    <x v="3"/>
    <x v="2"/>
    <x v="3"/>
    <x v="3"/>
    <x v="13"/>
    <x v="8"/>
    <x v="1"/>
    <x v="1"/>
    <x v="11"/>
    <x v="2"/>
    <x v="11"/>
    <x v="10"/>
    <x v="11"/>
    <x v="10"/>
    <n v="185761.17014377611"/>
  </r>
  <r>
    <n v="395"/>
    <x v="394"/>
    <x v="2"/>
    <x v="2"/>
    <x v="1"/>
    <x v="2"/>
    <x v="3"/>
    <x v="3"/>
    <x v="3"/>
    <x v="2"/>
    <x v="3"/>
    <x v="3"/>
    <x v="4"/>
    <x v="2"/>
    <x v="7"/>
    <x v="3"/>
    <x v="3"/>
    <x v="3"/>
    <x v="3"/>
    <x v="2"/>
    <x v="3"/>
    <x v="3"/>
    <n v="190011.57581542691"/>
  </r>
  <r>
    <n v="396"/>
    <x v="395"/>
    <x v="2"/>
    <x v="2"/>
    <x v="1"/>
    <x v="2"/>
    <x v="3"/>
    <x v="3"/>
    <x v="3"/>
    <x v="2"/>
    <x v="3"/>
    <x v="3"/>
    <x v="3"/>
    <x v="8"/>
    <x v="2"/>
    <x v="7"/>
    <x v="6"/>
    <x v="2"/>
    <x v="1"/>
    <x v="1"/>
    <x v="1"/>
    <x v="1"/>
    <m/>
  </r>
  <r>
    <n v="397"/>
    <x v="396"/>
    <x v="2"/>
    <x v="2"/>
    <x v="1"/>
    <x v="2"/>
    <x v="3"/>
    <x v="3"/>
    <x v="3"/>
    <x v="2"/>
    <x v="3"/>
    <x v="3"/>
    <x v="2"/>
    <x v="3"/>
    <x v="3"/>
    <x v="7"/>
    <x v="6"/>
    <x v="3"/>
    <x v="3"/>
    <x v="2"/>
    <x v="3"/>
    <x v="3"/>
    <n v="259856.65623402453"/>
  </r>
  <r>
    <n v="398"/>
    <x v="397"/>
    <x v="2"/>
    <x v="2"/>
    <x v="1"/>
    <x v="2"/>
    <x v="3"/>
    <x v="3"/>
    <x v="3"/>
    <x v="2"/>
    <x v="3"/>
    <x v="3"/>
    <x v="3"/>
    <x v="2"/>
    <x v="2"/>
    <x v="7"/>
    <x v="6"/>
    <x v="3"/>
    <x v="3"/>
    <x v="2"/>
    <x v="3"/>
    <x v="3"/>
    <n v="570256.69104460895"/>
  </r>
  <r>
    <n v="399"/>
    <x v="398"/>
    <x v="2"/>
    <x v="2"/>
    <x v="1"/>
    <x v="2"/>
    <x v="3"/>
    <x v="3"/>
    <x v="3"/>
    <x v="2"/>
    <x v="3"/>
    <x v="3"/>
    <x v="2"/>
    <x v="4"/>
    <x v="7"/>
    <x v="3"/>
    <x v="0"/>
    <x v="3"/>
    <x v="3"/>
    <x v="2"/>
    <x v="0"/>
    <x v="3"/>
    <n v="154982.24712583993"/>
  </r>
  <r>
    <n v="400"/>
    <x v="399"/>
    <x v="2"/>
    <x v="2"/>
    <x v="1"/>
    <x v="2"/>
    <x v="3"/>
    <x v="3"/>
    <x v="3"/>
    <x v="2"/>
    <x v="3"/>
    <x v="3"/>
    <x v="2"/>
    <x v="4"/>
    <x v="3"/>
    <x v="7"/>
    <x v="6"/>
    <x v="3"/>
    <x v="0"/>
    <x v="0"/>
    <x v="7"/>
    <x v="9"/>
    <n v="275013.46076481527"/>
  </r>
  <r>
    <n v="401"/>
    <x v="400"/>
    <x v="2"/>
    <x v="2"/>
    <x v="1"/>
    <x v="2"/>
    <x v="3"/>
    <x v="3"/>
    <x v="3"/>
    <x v="2"/>
    <x v="3"/>
    <x v="3"/>
    <x v="2"/>
    <x v="4"/>
    <x v="3"/>
    <x v="3"/>
    <x v="3"/>
    <x v="0"/>
    <x v="0"/>
    <x v="2"/>
    <x v="3"/>
    <x v="7"/>
    <n v="145885.71408866864"/>
  </r>
  <r>
    <n v="402"/>
    <x v="401"/>
    <x v="2"/>
    <x v="2"/>
    <x v="1"/>
    <x v="2"/>
    <x v="3"/>
    <x v="3"/>
    <x v="3"/>
    <x v="2"/>
    <x v="3"/>
    <x v="3"/>
    <x v="2"/>
    <x v="3"/>
    <x v="10"/>
    <x v="10"/>
    <x v="1"/>
    <x v="1"/>
    <x v="1"/>
    <x v="1"/>
    <x v="1"/>
    <x v="1"/>
    <m/>
  </r>
  <r>
    <n v="403"/>
    <x v="40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163193.71270007518"/>
  </r>
  <r>
    <n v="404"/>
    <x v="403"/>
    <x v="2"/>
    <x v="2"/>
    <x v="1"/>
    <x v="2"/>
    <x v="3"/>
    <x v="3"/>
    <x v="3"/>
    <x v="2"/>
    <x v="3"/>
    <x v="3"/>
    <x v="2"/>
    <x v="4"/>
    <x v="8"/>
    <x v="9"/>
    <x v="8"/>
    <x v="1"/>
    <x v="1"/>
    <x v="1"/>
    <x v="1"/>
    <x v="1"/>
    <m/>
  </r>
  <r>
    <n v="405"/>
    <x v="404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4096.86431197735"/>
  </r>
  <r>
    <n v="406"/>
    <x v="405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4424.50952980074"/>
  </r>
  <r>
    <n v="407"/>
    <x v="406"/>
    <x v="2"/>
    <x v="2"/>
    <x v="1"/>
    <x v="2"/>
    <x v="3"/>
    <x v="3"/>
    <x v="3"/>
    <x v="2"/>
    <x v="3"/>
    <x v="3"/>
    <x v="2"/>
    <x v="4"/>
    <x v="1"/>
    <x v="1"/>
    <x v="1"/>
    <x v="1"/>
    <x v="1"/>
    <x v="1"/>
    <x v="1"/>
    <x v="1"/>
    <m/>
  </r>
  <r>
    <n v="408"/>
    <x v="40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37823.42714023913"/>
  </r>
  <r>
    <n v="409"/>
    <x v="408"/>
    <x v="2"/>
    <x v="2"/>
    <x v="1"/>
    <x v="2"/>
    <x v="3"/>
    <x v="3"/>
    <x v="3"/>
    <x v="2"/>
    <x v="3"/>
    <x v="3"/>
    <x v="2"/>
    <x v="2"/>
    <x v="2"/>
    <x v="7"/>
    <x v="6"/>
    <x v="2"/>
    <x v="2"/>
    <x v="5"/>
    <x v="2"/>
    <x v="2"/>
    <n v="318939.89652042504"/>
  </r>
  <r>
    <n v="410"/>
    <x v="409"/>
    <x v="2"/>
    <x v="2"/>
    <x v="1"/>
    <x v="2"/>
    <x v="3"/>
    <x v="3"/>
    <x v="3"/>
    <x v="2"/>
    <x v="3"/>
    <x v="3"/>
    <x v="2"/>
    <x v="0"/>
    <x v="7"/>
    <x v="3"/>
    <x v="0"/>
    <x v="0"/>
    <x v="0"/>
    <x v="4"/>
    <x v="7"/>
    <x v="0"/>
    <n v="352251.71010326373"/>
  </r>
  <r>
    <n v="411"/>
    <x v="410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647420.59954186389"/>
  </r>
  <r>
    <n v="412"/>
    <x v="411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722051.60060496547"/>
  </r>
  <r>
    <n v="413"/>
    <x v="41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31071.5014969513"/>
  </r>
  <r>
    <n v="414"/>
    <x v="413"/>
    <x v="2"/>
    <x v="2"/>
    <x v="1"/>
    <x v="2"/>
    <x v="3"/>
    <x v="3"/>
    <x v="3"/>
    <x v="2"/>
    <x v="3"/>
    <x v="3"/>
    <x v="2"/>
    <x v="6"/>
    <x v="3"/>
    <x v="7"/>
    <x v="3"/>
    <x v="3"/>
    <x v="3"/>
    <x v="2"/>
    <x v="3"/>
    <x v="3"/>
    <n v="226302.45868353522"/>
  </r>
  <r>
    <n v="415"/>
    <x v="414"/>
    <x v="2"/>
    <x v="2"/>
    <x v="1"/>
    <x v="2"/>
    <x v="3"/>
    <x v="3"/>
    <x v="3"/>
    <x v="2"/>
    <x v="3"/>
    <x v="3"/>
    <x v="2"/>
    <x v="4"/>
    <x v="7"/>
    <x v="3"/>
    <x v="3"/>
    <x v="3"/>
    <x v="3"/>
    <x v="0"/>
    <x v="1"/>
    <x v="1"/>
    <m/>
  </r>
  <r>
    <n v="416"/>
    <x v="415"/>
    <x v="2"/>
    <x v="2"/>
    <x v="1"/>
    <x v="2"/>
    <x v="3"/>
    <x v="3"/>
    <x v="3"/>
    <x v="2"/>
    <x v="3"/>
    <x v="3"/>
    <x v="2"/>
    <x v="0"/>
    <x v="10"/>
    <x v="0"/>
    <x v="10"/>
    <x v="10"/>
    <x v="9"/>
    <x v="4"/>
    <x v="9"/>
    <x v="1"/>
    <m/>
  </r>
  <r>
    <n v="417"/>
    <x v="416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9780.72847551596"/>
  </r>
  <r>
    <n v="418"/>
    <x v="41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8988.25463239511"/>
  </r>
  <r>
    <n v="419"/>
    <x v="418"/>
    <x v="2"/>
    <x v="2"/>
    <x v="1"/>
    <x v="2"/>
    <x v="3"/>
    <x v="3"/>
    <x v="3"/>
    <x v="2"/>
    <x v="3"/>
    <x v="3"/>
    <x v="2"/>
    <x v="6"/>
    <x v="3"/>
    <x v="1"/>
    <x v="6"/>
    <x v="3"/>
    <x v="0"/>
    <x v="1"/>
    <x v="1"/>
    <x v="0"/>
    <n v="1421788.9016984415"/>
  </r>
  <r>
    <n v="420"/>
    <x v="419"/>
    <x v="1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1"/>
    <x v="420"/>
    <x v="0"/>
    <x v="4"/>
    <x v="12"/>
    <x v="12"/>
    <x v="12"/>
    <x v="11"/>
    <x v="3"/>
    <x v="2"/>
    <x v="3"/>
    <x v="3"/>
    <x v="2"/>
    <x v="1"/>
    <x v="1"/>
    <x v="1"/>
    <x v="1"/>
    <x v="1"/>
    <x v="1"/>
    <x v="1"/>
    <x v="1"/>
    <x v="1"/>
    <m/>
  </r>
  <r>
    <n v="422"/>
    <x v="421"/>
    <x v="11"/>
    <x v="3"/>
    <x v="6"/>
    <x v="6"/>
    <x v="9"/>
    <x v="8"/>
    <x v="12"/>
    <x v="2"/>
    <x v="3"/>
    <x v="3"/>
    <x v="2"/>
    <x v="1"/>
    <x v="1"/>
    <x v="1"/>
    <x v="1"/>
    <x v="1"/>
    <x v="1"/>
    <x v="1"/>
    <x v="1"/>
    <x v="1"/>
    <m/>
  </r>
  <r>
    <n v="423"/>
    <x v="422"/>
    <x v="6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24"/>
    <x v="423"/>
    <x v="11"/>
    <x v="4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25"/>
    <x v="424"/>
    <x v="4"/>
    <x v="0"/>
    <x v="7"/>
    <x v="7"/>
    <x v="5"/>
    <x v="2"/>
    <x v="2"/>
    <x v="2"/>
    <x v="3"/>
    <x v="3"/>
    <x v="2"/>
    <x v="1"/>
    <x v="1"/>
    <x v="1"/>
    <x v="1"/>
    <x v="1"/>
    <x v="1"/>
    <x v="1"/>
    <x v="1"/>
    <x v="1"/>
    <m/>
  </r>
  <r>
    <n v="426"/>
    <x v="425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27"/>
    <x v="426"/>
    <x v="0"/>
    <x v="11"/>
    <x v="3"/>
    <x v="4"/>
    <x v="4"/>
    <x v="2"/>
    <x v="3"/>
    <x v="2"/>
    <x v="3"/>
    <x v="3"/>
    <x v="2"/>
    <x v="1"/>
    <x v="1"/>
    <x v="1"/>
    <x v="1"/>
    <x v="1"/>
    <x v="1"/>
    <x v="1"/>
    <x v="1"/>
    <x v="1"/>
    <m/>
  </r>
  <r>
    <n v="428"/>
    <x v="427"/>
    <x v="9"/>
    <x v="12"/>
    <x v="9"/>
    <x v="1"/>
    <x v="12"/>
    <x v="3"/>
    <x v="3"/>
    <x v="2"/>
    <x v="3"/>
    <x v="3"/>
    <x v="2"/>
    <x v="1"/>
    <x v="1"/>
    <x v="1"/>
    <x v="1"/>
    <x v="1"/>
    <x v="1"/>
    <x v="1"/>
    <x v="1"/>
    <x v="1"/>
    <m/>
  </r>
  <r>
    <n v="429"/>
    <x v="428"/>
    <x v="2"/>
    <x v="2"/>
    <x v="1"/>
    <x v="2"/>
    <x v="3"/>
    <x v="3"/>
    <x v="3"/>
    <x v="4"/>
    <x v="4"/>
    <x v="3"/>
    <x v="2"/>
    <x v="1"/>
    <x v="1"/>
    <x v="1"/>
    <x v="1"/>
    <x v="1"/>
    <x v="1"/>
    <x v="1"/>
    <x v="1"/>
    <x v="1"/>
    <m/>
  </r>
  <r>
    <n v="430"/>
    <x v="429"/>
    <x v="0"/>
    <x v="4"/>
    <x v="2"/>
    <x v="3"/>
    <x v="4"/>
    <x v="5"/>
    <x v="5"/>
    <x v="3"/>
    <x v="5"/>
    <x v="4"/>
    <x v="4"/>
    <x v="4"/>
    <x v="7"/>
    <x v="5"/>
    <x v="3"/>
    <x v="0"/>
    <x v="3"/>
    <x v="2"/>
    <x v="3"/>
    <x v="3"/>
    <n v="207027.33995989521"/>
  </r>
  <r>
    <n v="431"/>
    <x v="430"/>
    <x v="6"/>
    <x v="4"/>
    <x v="2"/>
    <x v="3"/>
    <x v="8"/>
    <x v="5"/>
    <x v="5"/>
    <x v="2"/>
    <x v="2"/>
    <x v="8"/>
    <x v="8"/>
    <x v="6"/>
    <x v="10"/>
    <x v="1"/>
    <x v="1"/>
    <x v="9"/>
    <x v="9"/>
    <x v="9"/>
    <x v="5"/>
    <x v="9"/>
    <n v="116878.3940199864"/>
  </r>
  <r>
    <n v="432"/>
    <x v="43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08015.91243388399"/>
  </r>
  <r>
    <n v="433"/>
    <x v="432"/>
    <x v="1"/>
    <x v="5"/>
    <x v="7"/>
    <x v="7"/>
    <x v="8"/>
    <x v="4"/>
    <x v="2"/>
    <x v="2"/>
    <x v="4"/>
    <x v="8"/>
    <x v="10"/>
    <x v="10"/>
    <x v="5"/>
    <x v="1"/>
    <x v="1"/>
    <x v="1"/>
    <x v="1"/>
    <x v="1"/>
    <x v="1"/>
    <x v="1"/>
    <m/>
  </r>
  <r>
    <n v="434"/>
    <x v="433"/>
    <x v="2"/>
    <x v="13"/>
    <x v="11"/>
    <x v="11"/>
    <x v="11"/>
    <x v="3"/>
    <x v="3"/>
    <x v="2"/>
    <x v="3"/>
    <x v="3"/>
    <x v="2"/>
    <x v="1"/>
    <x v="1"/>
    <x v="1"/>
    <x v="1"/>
    <x v="1"/>
    <x v="1"/>
    <x v="1"/>
    <x v="1"/>
    <x v="1"/>
    <m/>
  </r>
  <r>
    <n v="435"/>
    <x v="434"/>
    <x v="13"/>
    <x v="13"/>
    <x v="8"/>
    <x v="9"/>
    <x v="2"/>
    <x v="10"/>
    <x v="1"/>
    <x v="0"/>
    <x v="9"/>
    <x v="1"/>
    <x v="2"/>
    <x v="1"/>
    <x v="1"/>
    <x v="1"/>
    <x v="1"/>
    <x v="1"/>
    <x v="1"/>
    <x v="1"/>
    <x v="1"/>
    <x v="1"/>
    <m/>
  </r>
  <r>
    <n v="436"/>
    <x v="435"/>
    <x v="0"/>
    <x v="5"/>
    <x v="12"/>
    <x v="12"/>
    <x v="5"/>
    <x v="3"/>
    <x v="3"/>
    <x v="2"/>
    <x v="3"/>
    <x v="3"/>
    <x v="2"/>
    <x v="1"/>
    <x v="1"/>
    <x v="1"/>
    <x v="1"/>
    <x v="1"/>
    <x v="1"/>
    <x v="1"/>
    <x v="1"/>
    <x v="1"/>
    <m/>
  </r>
  <r>
    <n v="437"/>
    <x v="436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38"/>
    <x v="437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439"/>
    <x v="438"/>
    <x v="0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40"/>
    <x v="439"/>
    <x v="6"/>
    <x v="3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41"/>
    <x v="440"/>
    <x v="12"/>
    <x v="6"/>
    <x v="0"/>
    <x v="0"/>
    <x v="12"/>
    <x v="7"/>
    <x v="0"/>
    <x v="7"/>
    <x v="1"/>
    <x v="1"/>
    <x v="1"/>
    <x v="11"/>
    <x v="9"/>
    <x v="9"/>
    <x v="5"/>
    <x v="4"/>
    <x v="4"/>
    <x v="3"/>
    <x v="4"/>
    <x v="4"/>
    <n v="1043299.5869952884"/>
  </r>
  <r>
    <n v="442"/>
    <x v="441"/>
    <x v="2"/>
    <x v="2"/>
    <x v="1"/>
    <x v="2"/>
    <x v="3"/>
    <x v="3"/>
    <x v="3"/>
    <x v="2"/>
    <x v="3"/>
    <x v="1"/>
    <x v="10"/>
    <x v="10"/>
    <x v="8"/>
    <x v="10"/>
    <x v="7"/>
    <x v="8"/>
    <x v="10"/>
    <x v="1"/>
    <x v="1"/>
    <x v="1"/>
    <m/>
  </r>
  <r>
    <n v="443"/>
    <x v="442"/>
    <x v="2"/>
    <x v="2"/>
    <x v="1"/>
    <x v="2"/>
    <x v="3"/>
    <x v="3"/>
    <x v="3"/>
    <x v="2"/>
    <x v="3"/>
    <x v="0"/>
    <x v="10"/>
    <x v="1"/>
    <x v="7"/>
    <x v="5"/>
    <x v="1"/>
    <x v="9"/>
    <x v="0"/>
    <x v="4"/>
    <x v="5"/>
    <x v="9"/>
    <n v="291867.90064153908"/>
  </r>
  <r>
    <n v="444"/>
    <x v="443"/>
    <x v="3"/>
    <x v="13"/>
    <x v="4"/>
    <x v="1"/>
    <x v="11"/>
    <x v="3"/>
    <x v="3"/>
    <x v="2"/>
    <x v="3"/>
    <x v="3"/>
    <x v="2"/>
    <x v="1"/>
    <x v="1"/>
    <x v="1"/>
    <x v="1"/>
    <x v="1"/>
    <x v="1"/>
    <x v="1"/>
    <x v="1"/>
    <x v="1"/>
    <m/>
  </r>
  <r>
    <n v="445"/>
    <x v="444"/>
    <x v="6"/>
    <x v="3"/>
    <x v="1"/>
    <x v="4"/>
    <x v="8"/>
    <x v="2"/>
    <x v="9"/>
    <x v="1"/>
    <x v="5"/>
    <x v="8"/>
    <x v="8"/>
    <x v="6"/>
    <x v="5"/>
    <x v="9"/>
    <x v="8"/>
    <x v="1"/>
    <x v="1"/>
    <x v="1"/>
    <x v="1"/>
    <x v="1"/>
    <m/>
  </r>
  <r>
    <n v="446"/>
    <x v="445"/>
    <x v="2"/>
    <x v="2"/>
    <x v="1"/>
    <x v="2"/>
    <x v="3"/>
    <x v="3"/>
    <x v="3"/>
    <x v="2"/>
    <x v="3"/>
    <x v="8"/>
    <x v="8"/>
    <x v="6"/>
    <x v="1"/>
    <x v="1"/>
    <x v="1"/>
    <x v="1"/>
    <x v="1"/>
    <x v="1"/>
    <x v="7"/>
    <x v="1"/>
    <m/>
  </r>
  <r>
    <n v="447"/>
    <x v="446"/>
    <x v="0"/>
    <x v="11"/>
    <x v="2"/>
    <x v="3"/>
    <x v="6"/>
    <x v="4"/>
    <x v="4"/>
    <x v="4"/>
    <x v="4"/>
    <x v="4"/>
    <x v="4"/>
    <x v="4"/>
    <x v="13"/>
    <x v="3"/>
    <x v="6"/>
    <x v="2"/>
    <x v="3"/>
    <x v="2"/>
    <x v="3"/>
    <x v="3"/>
    <n v="808414.45750011387"/>
  </r>
  <r>
    <n v="448"/>
    <x v="447"/>
    <x v="11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49"/>
    <x v="448"/>
    <x v="10"/>
    <x v="9"/>
    <x v="10"/>
    <x v="10"/>
    <x v="6"/>
    <x v="5"/>
    <x v="5"/>
    <x v="4"/>
    <x v="7"/>
    <x v="4"/>
    <x v="3"/>
    <x v="8"/>
    <x v="1"/>
    <x v="1"/>
    <x v="1"/>
    <x v="1"/>
    <x v="1"/>
    <x v="1"/>
    <x v="1"/>
    <x v="1"/>
    <m/>
  </r>
  <r>
    <n v="450"/>
    <x v="449"/>
    <x v="4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1"/>
    <x v="450"/>
    <x v="4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2"/>
    <x v="451"/>
    <x v="0"/>
    <x v="4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3"/>
    <x v="452"/>
    <x v="4"/>
    <x v="11"/>
    <x v="2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454"/>
    <x v="453"/>
    <x v="1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5"/>
    <x v="454"/>
    <x v="10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6"/>
    <x v="455"/>
    <x v="2"/>
    <x v="2"/>
    <x v="1"/>
    <x v="3"/>
    <x v="3"/>
    <x v="4"/>
    <x v="5"/>
    <x v="1"/>
    <x v="3"/>
    <x v="3"/>
    <x v="2"/>
    <x v="1"/>
    <x v="1"/>
    <x v="1"/>
    <x v="1"/>
    <x v="1"/>
    <x v="1"/>
    <x v="1"/>
    <x v="1"/>
    <x v="1"/>
    <m/>
  </r>
  <r>
    <n v="457"/>
    <x v="456"/>
    <x v="6"/>
    <x v="11"/>
    <x v="2"/>
    <x v="3"/>
    <x v="4"/>
    <x v="4"/>
    <x v="4"/>
    <x v="6"/>
    <x v="2"/>
    <x v="6"/>
    <x v="4"/>
    <x v="6"/>
    <x v="7"/>
    <x v="10"/>
    <x v="0"/>
    <x v="0"/>
    <x v="3"/>
    <x v="0"/>
    <x v="3"/>
    <x v="0"/>
    <n v="397124.46651750873"/>
  </r>
  <r>
    <n v="458"/>
    <x v="457"/>
    <x v="0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9"/>
    <x v="458"/>
    <x v="2"/>
    <x v="3"/>
    <x v="1"/>
    <x v="6"/>
    <x v="3"/>
    <x v="2"/>
    <x v="3"/>
    <x v="2"/>
    <x v="3"/>
    <x v="3"/>
    <x v="2"/>
    <x v="1"/>
    <x v="1"/>
    <x v="1"/>
    <x v="1"/>
    <x v="1"/>
    <x v="1"/>
    <x v="1"/>
    <x v="1"/>
    <x v="1"/>
    <m/>
  </r>
  <r>
    <n v="460"/>
    <x v="459"/>
    <x v="10"/>
    <x v="9"/>
    <x v="10"/>
    <x v="10"/>
    <x v="6"/>
    <x v="4"/>
    <x v="4"/>
    <x v="8"/>
    <x v="7"/>
    <x v="2"/>
    <x v="7"/>
    <x v="12"/>
    <x v="3"/>
    <x v="3"/>
    <x v="3"/>
    <x v="6"/>
    <x v="3"/>
    <x v="1"/>
    <x v="1"/>
    <x v="1"/>
    <m/>
  </r>
  <r>
    <n v="461"/>
    <x v="460"/>
    <x v="6"/>
    <x v="3"/>
    <x v="10"/>
    <x v="10"/>
    <x v="3"/>
    <x v="8"/>
    <x v="7"/>
    <x v="8"/>
    <x v="3"/>
    <x v="2"/>
    <x v="7"/>
    <x v="4"/>
    <x v="1"/>
    <x v="1"/>
    <x v="1"/>
    <x v="1"/>
    <x v="8"/>
    <x v="0"/>
    <x v="0"/>
    <x v="1"/>
    <m/>
  </r>
  <r>
    <n v="462"/>
    <x v="461"/>
    <x v="6"/>
    <x v="4"/>
    <x v="10"/>
    <x v="10"/>
    <x v="9"/>
    <x v="4"/>
    <x v="5"/>
    <x v="3"/>
    <x v="2"/>
    <x v="8"/>
    <x v="4"/>
    <x v="6"/>
    <x v="3"/>
    <x v="5"/>
    <x v="1"/>
    <x v="0"/>
    <x v="1"/>
    <x v="0"/>
    <x v="1"/>
    <x v="1"/>
    <m/>
  </r>
  <r>
    <n v="463"/>
    <x v="462"/>
    <x v="5"/>
    <x v="2"/>
    <x v="12"/>
    <x v="2"/>
    <x v="5"/>
    <x v="11"/>
    <x v="3"/>
    <x v="2"/>
    <x v="3"/>
    <x v="3"/>
    <x v="2"/>
    <x v="1"/>
    <x v="1"/>
    <x v="1"/>
    <x v="1"/>
    <x v="1"/>
    <x v="1"/>
    <x v="1"/>
    <x v="1"/>
    <x v="1"/>
    <m/>
  </r>
  <r>
    <n v="464"/>
    <x v="463"/>
    <x v="3"/>
    <x v="4"/>
    <x v="10"/>
    <x v="10"/>
    <x v="4"/>
    <x v="4"/>
    <x v="4"/>
    <x v="2"/>
    <x v="3"/>
    <x v="3"/>
    <x v="2"/>
    <x v="1"/>
    <x v="1"/>
    <x v="1"/>
    <x v="1"/>
    <x v="1"/>
    <x v="1"/>
    <x v="1"/>
    <x v="1"/>
    <x v="1"/>
    <m/>
  </r>
  <r>
    <n v="465"/>
    <x v="464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66"/>
    <x v="465"/>
    <x v="2"/>
    <x v="2"/>
    <x v="1"/>
    <x v="2"/>
    <x v="4"/>
    <x v="4"/>
    <x v="4"/>
    <x v="2"/>
    <x v="3"/>
    <x v="3"/>
    <x v="2"/>
    <x v="1"/>
    <x v="1"/>
    <x v="1"/>
    <x v="1"/>
    <x v="1"/>
    <x v="1"/>
    <x v="1"/>
    <x v="1"/>
    <x v="1"/>
    <m/>
  </r>
  <r>
    <n v="467"/>
    <x v="466"/>
    <x v="6"/>
    <x v="4"/>
    <x v="10"/>
    <x v="10"/>
    <x v="5"/>
    <x v="12"/>
    <x v="8"/>
    <x v="12"/>
    <x v="5"/>
    <x v="8"/>
    <x v="3"/>
    <x v="2"/>
    <x v="2"/>
    <x v="9"/>
    <x v="8"/>
    <x v="8"/>
    <x v="10"/>
    <x v="8"/>
    <x v="8"/>
    <x v="5"/>
    <n v="117339.62307236424"/>
  </r>
  <r>
    <n v="468"/>
    <x v="467"/>
    <x v="2"/>
    <x v="2"/>
    <x v="7"/>
    <x v="7"/>
    <x v="0"/>
    <x v="3"/>
    <x v="3"/>
    <x v="2"/>
    <x v="11"/>
    <x v="3"/>
    <x v="2"/>
    <x v="1"/>
    <x v="10"/>
    <x v="1"/>
    <x v="1"/>
    <x v="1"/>
    <x v="1"/>
    <x v="1"/>
    <x v="1"/>
    <x v="1"/>
    <m/>
  </r>
  <r>
    <n v="469"/>
    <x v="468"/>
    <x v="11"/>
    <x v="0"/>
    <x v="1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0"/>
    <x v="469"/>
    <x v="3"/>
    <x v="0"/>
    <x v="7"/>
    <x v="7"/>
    <x v="11"/>
    <x v="12"/>
    <x v="0"/>
    <x v="7"/>
    <x v="8"/>
    <x v="0"/>
    <x v="6"/>
    <x v="10"/>
    <x v="10"/>
    <x v="8"/>
    <x v="1"/>
    <x v="1"/>
    <x v="1"/>
    <x v="1"/>
    <x v="1"/>
    <x v="1"/>
    <m/>
  </r>
  <r>
    <n v="471"/>
    <x v="470"/>
    <x v="11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2"/>
    <x v="471"/>
    <x v="3"/>
    <x v="0"/>
    <x v="7"/>
    <x v="7"/>
    <x v="5"/>
    <x v="2"/>
    <x v="5"/>
    <x v="3"/>
    <x v="5"/>
    <x v="6"/>
    <x v="8"/>
    <x v="6"/>
    <x v="7"/>
    <x v="0"/>
    <x v="1"/>
    <x v="1"/>
    <x v="1"/>
    <x v="1"/>
    <x v="1"/>
    <x v="1"/>
    <m/>
  </r>
  <r>
    <n v="473"/>
    <x v="472"/>
    <x v="3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4"/>
    <x v="473"/>
    <x v="2"/>
    <x v="0"/>
    <x v="3"/>
    <x v="4"/>
    <x v="0"/>
    <x v="11"/>
    <x v="1"/>
    <x v="7"/>
    <x v="8"/>
    <x v="8"/>
    <x v="0"/>
    <x v="10"/>
    <x v="5"/>
    <x v="1"/>
    <x v="3"/>
    <x v="0"/>
    <x v="0"/>
    <x v="0"/>
    <x v="0"/>
    <x v="7"/>
    <n v="111683.28192943755"/>
  </r>
  <r>
    <n v="475"/>
    <x v="474"/>
    <x v="2"/>
    <x v="4"/>
    <x v="2"/>
    <x v="3"/>
    <x v="4"/>
    <x v="4"/>
    <x v="4"/>
    <x v="6"/>
    <x v="3"/>
    <x v="4"/>
    <x v="0"/>
    <x v="2"/>
    <x v="7"/>
    <x v="3"/>
    <x v="1"/>
    <x v="1"/>
    <x v="1"/>
    <x v="1"/>
    <x v="1"/>
    <x v="1"/>
    <m/>
  </r>
  <r>
    <n v="476"/>
    <x v="475"/>
    <x v="2"/>
    <x v="3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77"/>
    <x v="476"/>
    <x v="2"/>
    <x v="2"/>
    <x v="0"/>
    <x v="0"/>
    <x v="0"/>
    <x v="12"/>
    <x v="11"/>
    <x v="7"/>
    <x v="3"/>
    <x v="3"/>
    <x v="2"/>
    <x v="1"/>
    <x v="1"/>
    <x v="1"/>
    <x v="1"/>
    <x v="1"/>
    <x v="1"/>
    <x v="1"/>
    <x v="1"/>
    <x v="1"/>
    <m/>
  </r>
  <r>
    <n v="478"/>
    <x v="477"/>
    <x v="2"/>
    <x v="2"/>
    <x v="13"/>
    <x v="13"/>
    <x v="3"/>
    <x v="3"/>
    <x v="3"/>
    <x v="2"/>
    <x v="3"/>
    <x v="13"/>
    <x v="2"/>
    <x v="1"/>
    <x v="1"/>
    <x v="2"/>
    <x v="1"/>
    <x v="1"/>
    <x v="1"/>
    <x v="1"/>
    <x v="1"/>
    <x v="1"/>
    <m/>
  </r>
  <r>
    <n v="479"/>
    <x v="478"/>
    <x v="2"/>
    <x v="2"/>
    <x v="3"/>
    <x v="4"/>
    <x v="8"/>
    <x v="11"/>
    <x v="11"/>
    <x v="1"/>
    <x v="2"/>
    <x v="8"/>
    <x v="8"/>
    <x v="6"/>
    <x v="0"/>
    <x v="1"/>
    <x v="1"/>
    <x v="1"/>
    <x v="1"/>
    <x v="1"/>
    <x v="1"/>
    <x v="1"/>
    <m/>
  </r>
  <r>
    <n v="480"/>
    <x v="479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1"/>
    <x v="480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2"/>
    <x v="481"/>
    <x v="2"/>
    <x v="2"/>
    <x v="0"/>
    <x v="0"/>
    <x v="12"/>
    <x v="11"/>
    <x v="0"/>
    <x v="7"/>
    <x v="8"/>
    <x v="9"/>
    <x v="10"/>
    <x v="10"/>
    <x v="10"/>
    <x v="10"/>
    <x v="10"/>
    <x v="10"/>
    <x v="9"/>
    <x v="4"/>
    <x v="9"/>
    <x v="9"/>
    <n v="420484.44659484189"/>
  </r>
  <r>
    <n v="483"/>
    <x v="482"/>
    <x v="2"/>
    <x v="2"/>
    <x v="10"/>
    <x v="10"/>
    <x v="4"/>
    <x v="5"/>
    <x v="7"/>
    <x v="4"/>
    <x v="3"/>
    <x v="3"/>
    <x v="2"/>
    <x v="1"/>
    <x v="1"/>
    <x v="1"/>
    <x v="1"/>
    <x v="1"/>
    <x v="1"/>
    <x v="1"/>
    <x v="1"/>
    <x v="1"/>
    <m/>
  </r>
  <r>
    <n v="484"/>
    <x v="483"/>
    <x v="2"/>
    <x v="2"/>
    <x v="3"/>
    <x v="4"/>
    <x v="8"/>
    <x v="5"/>
    <x v="5"/>
    <x v="6"/>
    <x v="2"/>
    <x v="8"/>
    <x v="2"/>
    <x v="1"/>
    <x v="1"/>
    <x v="1"/>
    <x v="1"/>
    <x v="1"/>
    <x v="1"/>
    <x v="1"/>
    <x v="1"/>
    <x v="1"/>
    <m/>
  </r>
  <r>
    <n v="485"/>
    <x v="484"/>
    <x v="2"/>
    <x v="2"/>
    <x v="2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86"/>
    <x v="485"/>
    <x v="2"/>
    <x v="2"/>
    <x v="0"/>
    <x v="2"/>
    <x v="3"/>
    <x v="3"/>
    <x v="3"/>
    <x v="2"/>
    <x v="3"/>
    <x v="3"/>
    <x v="2"/>
    <x v="1"/>
    <x v="1"/>
    <x v="1"/>
    <x v="1"/>
    <x v="3"/>
    <x v="3"/>
    <x v="2"/>
    <x v="3"/>
    <x v="3"/>
    <n v="111322.59523404448"/>
  </r>
  <r>
    <n v="487"/>
    <x v="486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1"/>
    <x v="1"/>
    <m/>
  </r>
  <r>
    <n v="488"/>
    <x v="487"/>
    <x v="2"/>
    <x v="2"/>
    <x v="1"/>
    <x v="10"/>
    <x v="6"/>
    <x v="4"/>
    <x v="2"/>
    <x v="4"/>
    <x v="4"/>
    <x v="0"/>
    <x v="4"/>
    <x v="4"/>
    <x v="3"/>
    <x v="3"/>
    <x v="6"/>
    <x v="3"/>
    <x v="3"/>
    <x v="11"/>
    <x v="9"/>
    <x v="1"/>
    <m/>
  </r>
  <r>
    <n v="489"/>
    <x v="488"/>
    <x v="2"/>
    <x v="2"/>
    <x v="1"/>
    <x v="10"/>
    <x v="4"/>
    <x v="5"/>
    <x v="5"/>
    <x v="4"/>
    <x v="4"/>
    <x v="4"/>
    <x v="4"/>
    <x v="2"/>
    <x v="0"/>
    <x v="5"/>
    <x v="0"/>
    <x v="0"/>
    <x v="0"/>
    <x v="0"/>
    <x v="0"/>
    <x v="7"/>
    <n v="187923.38240465301"/>
  </r>
  <r>
    <n v="490"/>
    <x v="489"/>
    <x v="2"/>
    <x v="2"/>
    <x v="1"/>
    <x v="3"/>
    <x v="4"/>
    <x v="5"/>
    <x v="5"/>
    <x v="6"/>
    <x v="2"/>
    <x v="4"/>
    <x v="3"/>
    <x v="4"/>
    <x v="3"/>
    <x v="3"/>
    <x v="3"/>
    <x v="0"/>
    <x v="0"/>
    <x v="0"/>
    <x v="0"/>
    <x v="3"/>
    <n v="196007.45497260982"/>
  </r>
  <r>
    <n v="491"/>
    <x v="490"/>
    <x v="2"/>
    <x v="2"/>
    <x v="1"/>
    <x v="4"/>
    <x v="8"/>
    <x v="0"/>
    <x v="9"/>
    <x v="3"/>
    <x v="5"/>
    <x v="0"/>
    <x v="6"/>
    <x v="10"/>
    <x v="10"/>
    <x v="0"/>
    <x v="10"/>
    <x v="10"/>
    <x v="0"/>
    <x v="0"/>
    <x v="9"/>
    <x v="5"/>
    <n v="296488.82669719763"/>
  </r>
  <r>
    <n v="492"/>
    <x v="491"/>
    <x v="2"/>
    <x v="2"/>
    <x v="1"/>
    <x v="2"/>
    <x v="8"/>
    <x v="5"/>
    <x v="5"/>
    <x v="6"/>
    <x v="3"/>
    <x v="3"/>
    <x v="10"/>
    <x v="6"/>
    <x v="7"/>
    <x v="8"/>
    <x v="1"/>
    <x v="1"/>
    <x v="1"/>
    <x v="1"/>
    <x v="1"/>
    <x v="1"/>
    <m/>
  </r>
  <r>
    <n v="493"/>
    <x v="492"/>
    <x v="2"/>
    <x v="2"/>
    <x v="1"/>
    <x v="2"/>
    <x v="6"/>
    <x v="2"/>
    <x v="5"/>
    <x v="3"/>
    <x v="3"/>
    <x v="3"/>
    <x v="2"/>
    <x v="1"/>
    <x v="1"/>
    <x v="1"/>
    <x v="1"/>
    <x v="1"/>
    <x v="1"/>
    <x v="1"/>
    <x v="1"/>
    <x v="1"/>
    <m/>
  </r>
  <r>
    <n v="494"/>
    <x v="493"/>
    <x v="2"/>
    <x v="2"/>
    <x v="1"/>
    <x v="2"/>
    <x v="4"/>
    <x v="2"/>
    <x v="2"/>
    <x v="2"/>
    <x v="3"/>
    <x v="3"/>
    <x v="2"/>
    <x v="1"/>
    <x v="1"/>
    <x v="1"/>
    <x v="1"/>
    <x v="1"/>
    <x v="1"/>
    <x v="1"/>
    <x v="1"/>
    <x v="1"/>
    <m/>
  </r>
  <r>
    <n v="495"/>
    <x v="494"/>
    <x v="2"/>
    <x v="2"/>
    <x v="1"/>
    <x v="2"/>
    <x v="6"/>
    <x v="4"/>
    <x v="4"/>
    <x v="4"/>
    <x v="7"/>
    <x v="4"/>
    <x v="3"/>
    <x v="2"/>
    <x v="2"/>
    <x v="1"/>
    <x v="1"/>
    <x v="1"/>
    <x v="1"/>
    <x v="1"/>
    <x v="1"/>
    <x v="1"/>
    <m/>
  </r>
  <r>
    <n v="496"/>
    <x v="495"/>
    <x v="2"/>
    <x v="2"/>
    <x v="1"/>
    <x v="2"/>
    <x v="4"/>
    <x v="4"/>
    <x v="3"/>
    <x v="2"/>
    <x v="3"/>
    <x v="8"/>
    <x v="9"/>
    <x v="10"/>
    <x v="12"/>
    <x v="6"/>
    <x v="6"/>
    <x v="1"/>
    <x v="1"/>
    <x v="0"/>
    <x v="1"/>
    <x v="1"/>
    <m/>
  </r>
  <r>
    <n v="497"/>
    <x v="496"/>
    <x v="2"/>
    <x v="2"/>
    <x v="1"/>
    <x v="2"/>
    <x v="3"/>
    <x v="4"/>
    <x v="4"/>
    <x v="6"/>
    <x v="2"/>
    <x v="6"/>
    <x v="4"/>
    <x v="4"/>
    <x v="3"/>
    <x v="7"/>
    <x v="9"/>
    <x v="3"/>
    <x v="1"/>
    <x v="1"/>
    <x v="1"/>
    <x v="1"/>
    <m/>
  </r>
  <r>
    <n v="498"/>
    <x v="497"/>
    <x v="2"/>
    <x v="2"/>
    <x v="1"/>
    <x v="2"/>
    <x v="3"/>
    <x v="5"/>
    <x v="5"/>
    <x v="2"/>
    <x v="2"/>
    <x v="4"/>
    <x v="0"/>
    <x v="0"/>
    <x v="1"/>
    <x v="1"/>
    <x v="1"/>
    <x v="11"/>
    <x v="1"/>
    <x v="1"/>
    <x v="1"/>
    <x v="1"/>
    <m/>
  </r>
  <r>
    <n v="499"/>
    <x v="498"/>
    <x v="2"/>
    <x v="2"/>
    <x v="1"/>
    <x v="2"/>
    <x v="3"/>
    <x v="5"/>
    <x v="2"/>
    <x v="2"/>
    <x v="3"/>
    <x v="3"/>
    <x v="2"/>
    <x v="1"/>
    <x v="1"/>
    <x v="1"/>
    <x v="1"/>
    <x v="1"/>
    <x v="1"/>
    <x v="1"/>
    <x v="1"/>
    <x v="1"/>
    <m/>
  </r>
  <r>
    <n v="500"/>
    <x v="499"/>
    <x v="2"/>
    <x v="2"/>
    <x v="1"/>
    <x v="2"/>
    <x v="3"/>
    <x v="2"/>
    <x v="2"/>
    <x v="6"/>
    <x v="2"/>
    <x v="6"/>
    <x v="4"/>
    <x v="6"/>
    <x v="7"/>
    <x v="5"/>
    <x v="9"/>
    <x v="10"/>
    <x v="8"/>
    <x v="4"/>
    <x v="5"/>
    <x v="9"/>
    <n v="180182.07683164068"/>
  </r>
  <r>
    <n v="501"/>
    <x v="500"/>
    <x v="2"/>
    <x v="2"/>
    <x v="1"/>
    <x v="2"/>
    <x v="3"/>
    <x v="3"/>
    <x v="4"/>
    <x v="6"/>
    <x v="4"/>
    <x v="2"/>
    <x v="2"/>
    <x v="1"/>
    <x v="1"/>
    <x v="1"/>
    <x v="1"/>
    <x v="1"/>
    <x v="1"/>
    <x v="1"/>
    <x v="1"/>
    <x v="1"/>
    <m/>
  </r>
  <r>
    <n v="502"/>
    <x v="501"/>
    <x v="2"/>
    <x v="2"/>
    <x v="1"/>
    <x v="2"/>
    <x v="3"/>
    <x v="3"/>
    <x v="4"/>
    <x v="4"/>
    <x v="7"/>
    <x v="2"/>
    <x v="7"/>
    <x v="8"/>
    <x v="6"/>
    <x v="2"/>
    <x v="2"/>
    <x v="12"/>
    <x v="3"/>
    <x v="5"/>
    <x v="2"/>
    <x v="2"/>
    <n v="670667.95966117876"/>
  </r>
  <r>
    <n v="503"/>
    <x v="502"/>
    <x v="2"/>
    <x v="2"/>
    <x v="1"/>
    <x v="2"/>
    <x v="3"/>
    <x v="3"/>
    <x v="3"/>
    <x v="7"/>
    <x v="1"/>
    <x v="9"/>
    <x v="1"/>
    <x v="9"/>
    <x v="5"/>
    <x v="1"/>
    <x v="1"/>
    <x v="1"/>
    <x v="1"/>
    <x v="1"/>
    <x v="1"/>
    <x v="1"/>
    <m/>
  </r>
  <r>
    <n v="504"/>
    <x v="503"/>
    <x v="2"/>
    <x v="2"/>
    <x v="1"/>
    <x v="2"/>
    <x v="3"/>
    <x v="3"/>
    <x v="2"/>
    <x v="1"/>
    <x v="5"/>
    <x v="6"/>
    <x v="4"/>
    <x v="4"/>
    <x v="3"/>
    <x v="3"/>
    <x v="1"/>
    <x v="1"/>
    <x v="1"/>
    <x v="1"/>
    <x v="1"/>
    <x v="1"/>
    <m/>
  </r>
  <r>
    <n v="505"/>
    <x v="504"/>
    <x v="2"/>
    <x v="2"/>
    <x v="1"/>
    <x v="2"/>
    <x v="3"/>
    <x v="3"/>
    <x v="5"/>
    <x v="3"/>
    <x v="11"/>
    <x v="10"/>
    <x v="1"/>
    <x v="1"/>
    <x v="1"/>
    <x v="1"/>
    <x v="1"/>
    <x v="1"/>
    <x v="1"/>
    <x v="1"/>
    <x v="1"/>
    <x v="1"/>
    <m/>
  </r>
  <r>
    <n v="506"/>
    <x v="505"/>
    <x v="2"/>
    <x v="2"/>
    <x v="1"/>
    <x v="2"/>
    <x v="3"/>
    <x v="3"/>
    <x v="3"/>
    <x v="4"/>
    <x v="4"/>
    <x v="6"/>
    <x v="0"/>
    <x v="6"/>
    <x v="3"/>
    <x v="1"/>
    <x v="1"/>
    <x v="1"/>
    <x v="1"/>
    <x v="1"/>
    <x v="1"/>
    <x v="1"/>
    <m/>
  </r>
  <r>
    <n v="507"/>
    <x v="506"/>
    <x v="2"/>
    <x v="2"/>
    <x v="1"/>
    <x v="2"/>
    <x v="3"/>
    <x v="3"/>
    <x v="3"/>
    <x v="3"/>
    <x v="3"/>
    <x v="6"/>
    <x v="8"/>
    <x v="6"/>
    <x v="3"/>
    <x v="1"/>
    <x v="1"/>
    <x v="1"/>
    <x v="1"/>
    <x v="1"/>
    <x v="1"/>
    <x v="1"/>
    <m/>
  </r>
  <r>
    <n v="508"/>
    <x v="507"/>
    <x v="2"/>
    <x v="2"/>
    <x v="1"/>
    <x v="2"/>
    <x v="3"/>
    <x v="11"/>
    <x v="0"/>
    <x v="3"/>
    <x v="2"/>
    <x v="6"/>
    <x v="0"/>
    <x v="3"/>
    <x v="0"/>
    <x v="10"/>
    <x v="9"/>
    <x v="11"/>
    <x v="7"/>
    <x v="11"/>
    <x v="5"/>
    <x v="9"/>
    <n v="203632.09108954982"/>
  </r>
  <r>
    <n v="509"/>
    <x v="508"/>
    <x v="2"/>
    <x v="2"/>
    <x v="1"/>
    <x v="2"/>
    <x v="3"/>
    <x v="3"/>
    <x v="5"/>
    <x v="3"/>
    <x v="5"/>
    <x v="0"/>
    <x v="6"/>
    <x v="10"/>
    <x v="10"/>
    <x v="0"/>
    <x v="10"/>
    <x v="10"/>
    <x v="9"/>
    <x v="9"/>
    <x v="5"/>
    <x v="9"/>
    <n v="126059.23789794785"/>
  </r>
  <r>
    <n v="510"/>
    <x v="509"/>
    <x v="2"/>
    <x v="2"/>
    <x v="1"/>
    <x v="2"/>
    <x v="3"/>
    <x v="3"/>
    <x v="7"/>
    <x v="8"/>
    <x v="7"/>
    <x v="8"/>
    <x v="8"/>
    <x v="4"/>
    <x v="7"/>
    <x v="3"/>
    <x v="0"/>
    <x v="1"/>
    <x v="0"/>
    <x v="0"/>
    <x v="1"/>
    <x v="7"/>
    <n v="177085.85005025705"/>
  </r>
  <r>
    <n v="511"/>
    <x v="510"/>
    <x v="2"/>
    <x v="2"/>
    <x v="1"/>
    <x v="2"/>
    <x v="3"/>
    <x v="3"/>
    <x v="2"/>
    <x v="3"/>
    <x v="2"/>
    <x v="4"/>
    <x v="3"/>
    <x v="2"/>
    <x v="2"/>
    <x v="7"/>
    <x v="6"/>
    <x v="3"/>
    <x v="0"/>
    <x v="0"/>
    <x v="3"/>
    <x v="7"/>
    <n v="150473.42122523551"/>
  </r>
  <r>
    <n v="512"/>
    <x v="511"/>
    <x v="2"/>
    <x v="2"/>
    <x v="1"/>
    <x v="2"/>
    <x v="3"/>
    <x v="3"/>
    <x v="5"/>
    <x v="6"/>
    <x v="3"/>
    <x v="3"/>
    <x v="2"/>
    <x v="1"/>
    <x v="1"/>
    <x v="1"/>
    <x v="3"/>
    <x v="3"/>
    <x v="1"/>
    <x v="1"/>
    <x v="1"/>
    <x v="1"/>
    <m/>
  </r>
  <r>
    <n v="513"/>
    <x v="512"/>
    <x v="2"/>
    <x v="2"/>
    <x v="1"/>
    <x v="2"/>
    <x v="3"/>
    <x v="3"/>
    <x v="7"/>
    <x v="8"/>
    <x v="4"/>
    <x v="4"/>
    <x v="7"/>
    <x v="8"/>
    <x v="3"/>
    <x v="3"/>
    <x v="0"/>
    <x v="9"/>
    <x v="8"/>
    <x v="12"/>
    <x v="12"/>
    <x v="1"/>
    <m/>
  </r>
  <r>
    <n v="514"/>
    <x v="513"/>
    <x v="2"/>
    <x v="2"/>
    <x v="1"/>
    <x v="2"/>
    <x v="3"/>
    <x v="3"/>
    <x v="4"/>
    <x v="3"/>
    <x v="2"/>
    <x v="6"/>
    <x v="4"/>
    <x v="4"/>
    <x v="7"/>
    <x v="5"/>
    <x v="3"/>
    <x v="0"/>
    <x v="12"/>
    <x v="1"/>
    <x v="12"/>
    <x v="11"/>
    <n v="2900803.7503954438"/>
  </r>
  <r>
    <n v="515"/>
    <x v="514"/>
    <x v="2"/>
    <x v="2"/>
    <x v="1"/>
    <x v="2"/>
    <x v="3"/>
    <x v="3"/>
    <x v="3"/>
    <x v="7"/>
    <x v="11"/>
    <x v="9"/>
    <x v="10"/>
    <x v="0"/>
    <x v="1"/>
    <x v="1"/>
    <x v="1"/>
    <x v="1"/>
    <x v="1"/>
    <x v="1"/>
    <x v="1"/>
    <x v="1"/>
    <m/>
  </r>
  <r>
    <n v="516"/>
    <x v="515"/>
    <x v="2"/>
    <x v="2"/>
    <x v="1"/>
    <x v="2"/>
    <x v="3"/>
    <x v="3"/>
    <x v="3"/>
    <x v="3"/>
    <x v="2"/>
    <x v="6"/>
    <x v="0"/>
    <x v="3"/>
    <x v="0"/>
    <x v="10"/>
    <x v="9"/>
    <x v="11"/>
    <x v="7"/>
    <x v="13"/>
    <x v="5"/>
    <x v="1"/>
    <m/>
  </r>
  <r>
    <n v="517"/>
    <x v="516"/>
    <x v="2"/>
    <x v="2"/>
    <x v="1"/>
    <x v="2"/>
    <x v="3"/>
    <x v="3"/>
    <x v="3"/>
    <x v="1"/>
    <x v="5"/>
    <x v="3"/>
    <x v="2"/>
    <x v="1"/>
    <x v="1"/>
    <x v="1"/>
    <x v="1"/>
    <x v="1"/>
    <x v="1"/>
    <x v="1"/>
    <x v="1"/>
    <x v="1"/>
    <m/>
  </r>
  <r>
    <n v="518"/>
    <x v="517"/>
    <x v="2"/>
    <x v="2"/>
    <x v="1"/>
    <x v="2"/>
    <x v="3"/>
    <x v="3"/>
    <x v="3"/>
    <x v="3"/>
    <x v="2"/>
    <x v="6"/>
    <x v="4"/>
    <x v="4"/>
    <x v="2"/>
    <x v="3"/>
    <x v="3"/>
    <x v="0"/>
    <x v="1"/>
    <x v="1"/>
    <x v="1"/>
    <x v="1"/>
    <m/>
  </r>
  <r>
    <n v="519"/>
    <x v="518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5"/>
    <x v="1"/>
    <m/>
  </r>
  <r>
    <n v="520"/>
    <x v="519"/>
    <x v="2"/>
    <x v="2"/>
    <x v="1"/>
    <x v="2"/>
    <x v="3"/>
    <x v="3"/>
    <x v="3"/>
    <x v="3"/>
    <x v="2"/>
    <x v="3"/>
    <x v="4"/>
    <x v="4"/>
    <x v="3"/>
    <x v="3"/>
    <x v="3"/>
    <x v="0"/>
    <x v="3"/>
    <x v="2"/>
    <x v="1"/>
    <x v="1"/>
    <m/>
  </r>
  <r>
    <n v="521"/>
    <x v="520"/>
    <x v="2"/>
    <x v="2"/>
    <x v="1"/>
    <x v="2"/>
    <x v="3"/>
    <x v="3"/>
    <x v="3"/>
    <x v="2"/>
    <x v="3"/>
    <x v="3"/>
    <x v="2"/>
    <x v="6"/>
    <x v="10"/>
    <x v="10"/>
    <x v="10"/>
    <x v="10"/>
    <x v="8"/>
    <x v="4"/>
    <x v="5"/>
    <x v="9"/>
    <n v="375627.82864885853"/>
  </r>
  <r>
    <n v="522"/>
    <x v="521"/>
    <x v="2"/>
    <x v="2"/>
    <x v="1"/>
    <x v="2"/>
    <x v="3"/>
    <x v="3"/>
    <x v="3"/>
    <x v="3"/>
    <x v="3"/>
    <x v="3"/>
    <x v="2"/>
    <x v="0"/>
    <x v="3"/>
    <x v="3"/>
    <x v="3"/>
    <x v="0"/>
    <x v="0"/>
    <x v="0"/>
    <x v="0"/>
    <x v="7"/>
    <n v="611863.06104340916"/>
  </r>
  <r>
    <n v="523"/>
    <x v="522"/>
    <x v="2"/>
    <x v="2"/>
    <x v="1"/>
    <x v="2"/>
    <x v="3"/>
    <x v="3"/>
    <x v="3"/>
    <x v="2"/>
    <x v="7"/>
    <x v="2"/>
    <x v="6"/>
    <x v="3"/>
    <x v="8"/>
    <x v="8"/>
    <x v="9"/>
    <x v="5"/>
    <x v="12"/>
    <x v="8"/>
    <x v="8"/>
    <x v="5"/>
    <n v="145791.2070743473"/>
  </r>
  <r>
    <n v="524"/>
    <x v="5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25"/>
    <x v="524"/>
    <x v="2"/>
    <x v="2"/>
    <x v="1"/>
    <x v="2"/>
    <x v="3"/>
    <x v="3"/>
    <x v="3"/>
    <x v="2"/>
    <x v="3"/>
    <x v="8"/>
    <x v="8"/>
    <x v="4"/>
    <x v="0"/>
    <x v="0"/>
    <x v="0"/>
    <x v="0"/>
    <x v="0"/>
    <x v="0"/>
    <x v="0"/>
    <x v="7"/>
    <n v="193592.25043252169"/>
  </r>
  <r>
    <n v="526"/>
    <x v="525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7"/>
    <x v="526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8"/>
    <x v="527"/>
    <x v="2"/>
    <x v="2"/>
    <x v="1"/>
    <x v="2"/>
    <x v="3"/>
    <x v="3"/>
    <x v="3"/>
    <x v="2"/>
    <x v="3"/>
    <x v="8"/>
    <x v="2"/>
    <x v="6"/>
    <x v="0"/>
    <x v="1"/>
    <x v="1"/>
    <x v="9"/>
    <x v="0"/>
    <x v="1"/>
    <x v="1"/>
    <x v="1"/>
    <m/>
  </r>
  <r>
    <n v="529"/>
    <x v="528"/>
    <x v="2"/>
    <x v="2"/>
    <x v="1"/>
    <x v="2"/>
    <x v="3"/>
    <x v="3"/>
    <x v="3"/>
    <x v="2"/>
    <x v="2"/>
    <x v="6"/>
    <x v="4"/>
    <x v="4"/>
    <x v="7"/>
    <x v="5"/>
    <x v="3"/>
    <x v="0"/>
    <x v="12"/>
    <x v="1"/>
    <x v="1"/>
    <x v="1"/>
    <m/>
  </r>
  <r>
    <n v="530"/>
    <x v="529"/>
    <x v="2"/>
    <x v="2"/>
    <x v="1"/>
    <x v="2"/>
    <x v="3"/>
    <x v="3"/>
    <x v="3"/>
    <x v="2"/>
    <x v="3"/>
    <x v="4"/>
    <x v="8"/>
    <x v="6"/>
    <x v="1"/>
    <x v="1"/>
    <x v="1"/>
    <x v="1"/>
    <x v="3"/>
    <x v="2"/>
    <x v="3"/>
    <x v="7"/>
    <n v="330502.82433332189"/>
  </r>
  <r>
    <n v="531"/>
    <x v="530"/>
    <x v="2"/>
    <x v="2"/>
    <x v="1"/>
    <x v="2"/>
    <x v="3"/>
    <x v="3"/>
    <x v="3"/>
    <x v="2"/>
    <x v="3"/>
    <x v="3"/>
    <x v="2"/>
    <x v="10"/>
    <x v="12"/>
    <x v="1"/>
    <x v="1"/>
    <x v="1"/>
    <x v="1"/>
    <x v="1"/>
    <x v="1"/>
    <x v="1"/>
    <m/>
  </r>
  <r>
    <n v="532"/>
    <x v="531"/>
    <x v="2"/>
    <x v="2"/>
    <x v="1"/>
    <x v="2"/>
    <x v="3"/>
    <x v="3"/>
    <x v="3"/>
    <x v="2"/>
    <x v="3"/>
    <x v="3"/>
    <x v="8"/>
    <x v="4"/>
    <x v="3"/>
    <x v="3"/>
    <x v="0"/>
    <x v="10"/>
    <x v="8"/>
    <x v="0"/>
    <x v="0"/>
    <x v="7"/>
    <n v="419171.89071151067"/>
  </r>
  <r>
    <n v="533"/>
    <x v="532"/>
    <x v="2"/>
    <x v="2"/>
    <x v="1"/>
    <x v="2"/>
    <x v="3"/>
    <x v="3"/>
    <x v="3"/>
    <x v="2"/>
    <x v="3"/>
    <x v="4"/>
    <x v="3"/>
    <x v="4"/>
    <x v="2"/>
    <x v="7"/>
    <x v="6"/>
    <x v="3"/>
    <x v="3"/>
    <x v="5"/>
    <x v="3"/>
    <x v="3"/>
    <n v="118356.30681677618"/>
  </r>
  <r>
    <n v="534"/>
    <x v="533"/>
    <x v="2"/>
    <x v="2"/>
    <x v="1"/>
    <x v="2"/>
    <x v="3"/>
    <x v="3"/>
    <x v="3"/>
    <x v="2"/>
    <x v="3"/>
    <x v="2"/>
    <x v="7"/>
    <x v="8"/>
    <x v="6"/>
    <x v="1"/>
    <x v="1"/>
    <x v="1"/>
    <x v="1"/>
    <x v="1"/>
    <x v="1"/>
    <x v="1"/>
    <m/>
  </r>
  <r>
    <n v="535"/>
    <x v="534"/>
    <x v="2"/>
    <x v="2"/>
    <x v="1"/>
    <x v="2"/>
    <x v="3"/>
    <x v="3"/>
    <x v="3"/>
    <x v="2"/>
    <x v="3"/>
    <x v="6"/>
    <x v="4"/>
    <x v="2"/>
    <x v="3"/>
    <x v="7"/>
    <x v="1"/>
    <x v="3"/>
    <x v="2"/>
    <x v="5"/>
    <x v="2"/>
    <x v="2"/>
    <n v="195496.6169107864"/>
  </r>
  <r>
    <n v="536"/>
    <x v="535"/>
    <x v="2"/>
    <x v="2"/>
    <x v="1"/>
    <x v="2"/>
    <x v="3"/>
    <x v="3"/>
    <x v="3"/>
    <x v="2"/>
    <x v="3"/>
    <x v="10"/>
    <x v="9"/>
    <x v="7"/>
    <x v="12"/>
    <x v="9"/>
    <x v="8"/>
    <x v="5"/>
    <x v="12"/>
    <x v="6"/>
    <x v="10"/>
    <x v="12"/>
    <n v="157499.98354993903"/>
  </r>
  <r>
    <n v="537"/>
    <x v="536"/>
    <x v="2"/>
    <x v="2"/>
    <x v="1"/>
    <x v="2"/>
    <x v="3"/>
    <x v="3"/>
    <x v="3"/>
    <x v="2"/>
    <x v="3"/>
    <x v="3"/>
    <x v="0"/>
    <x v="0"/>
    <x v="1"/>
    <x v="0"/>
    <x v="1"/>
    <x v="1"/>
    <x v="1"/>
    <x v="1"/>
    <x v="1"/>
    <x v="1"/>
    <m/>
  </r>
  <r>
    <n v="538"/>
    <x v="537"/>
    <x v="2"/>
    <x v="2"/>
    <x v="1"/>
    <x v="2"/>
    <x v="3"/>
    <x v="3"/>
    <x v="3"/>
    <x v="2"/>
    <x v="3"/>
    <x v="3"/>
    <x v="4"/>
    <x v="6"/>
    <x v="0"/>
    <x v="10"/>
    <x v="9"/>
    <x v="11"/>
    <x v="7"/>
    <x v="13"/>
    <x v="5"/>
    <x v="9"/>
    <n v="251515.35673855184"/>
  </r>
  <r>
    <n v="539"/>
    <x v="538"/>
    <x v="2"/>
    <x v="2"/>
    <x v="1"/>
    <x v="2"/>
    <x v="3"/>
    <x v="3"/>
    <x v="3"/>
    <x v="2"/>
    <x v="3"/>
    <x v="3"/>
    <x v="3"/>
    <x v="2"/>
    <x v="2"/>
    <x v="7"/>
    <x v="6"/>
    <x v="2"/>
    <x v="2"/>
    <x v="5"/>
    <x v="5"/>
    <x v="9"/>
    <n v="118197.01451738997"/>
  </r>
  <r>
    <n v="540"/>
    <x v="539"/>
    <x v="2"/>
    <x v="2"/>
    <x v="1"/>
    <x v="2"/>
    <x v="3"/>
    <x v="3"/>
    <x v="3"/>
    <x v="2"/>
    <x v="3"/>
    <x v="3"/>
    <x v="10"/>
    <x v="6"/>
    <x v="7"/>
    <x v="5"/>
    <x v="0"/>
    <x v="9"/>
    <x v="8"/>
    <x v="4"/>
    <x v="5"/>
    <x v="1"/>
    <m/>
  </r>
  <r>
    <n v="541"/>
    <x v="540"/>
    <x v="2"/>
    <x v="2"/>
    <x v="1"/>
    <x v="2"/>
    <x v="3"/>
    <x v="3"/>
    <x v="3"/>
    <x v="2"/>
    <x v="3"/>
    <x v="3"/>
    <x v="2"/>
    <x v="4"/>
    <x v="3"/>
    <x v="0"/>
    <x v="0"/>
    <x v="10"/>
    <x v="8"/>
    <x v="4"/>
    <x v="7"/>
    <x v="0"/>
    <n v="319075.36099515151"/>
  </r>
  <r>
    <n v="542"/>
    <x v="541"/>
    <x v="2"/>
    <x v="2"/>
    <x v="1"/>
    <x v="2"/>
    <x v="3"/>
    <x v="3"/>
    <x v="3"/>
    <x v="2"/>
    <x v="3"/>
    <x v="3"/>
    <x v="2"/>
    <x v="0"/>
    <x v="0"/>
    <x v="5"/>
    <x v="10"/>
    <x v="10"/>
    <x v="9"/>
    <x v="9"/>
    <x v="5"/>
    <x v="9"/>
    <n v="239832.22408733383"/>
  </r>
  <r>
    <n v="543"/>
    <x v="542"/>
    <x v="2"/>
    <x v="2"/>
    <x v="1"/>
    <x v="2"/>
    <x v="3"/>
    <x v="3"/>
    <x v="3"/>
    <x v="2"/>
    <x v="3"/>
    <x v="3"/>
    <x v="2"/>
    <x v="2"/>
    <x v="2"/>
    <x v="3"/>
    <x v="6"/>
    <x v="0"/>
    <x v="3"/>
    <x v="1"/>
    <x v="1"/>
    <x v="1"/>
    <m/>
  </r>
  <r>
    <n v="544"/>
    <x v="54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4516.97081827733"/>
  </r>
  <r>
    <n v="545"/>
    <x v="54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4140.13580228837"/>
  </r>
  <r>
    <n v="546"/>
    <x v="54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144.42419746541"/>
  </r>
  <r>
    <n v="547"/>
    <x v="54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2397.46536696449"/>
  </r>
  <r>
    <n v="548"/>
    <x v="54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43.59718024955"/>
  </r>
  <r>
    <n v="549"/>
    <x v="54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1823.86560536394"/>
  </r>
  <r>
    <n v="550"/>
    <x v="54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6404.82331680271"/>
  </r>
  <r>
    <n v="551"/>
    <x v="55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08.96415948332"/>
  </r>
  <r>
    <n v="552"/>
    <x v="55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21692.27276033099"/>
  </r>
  <r>
    <n v="553"/>
    <x v="55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14019.6671593388"/>
  </r>
  <r>
    <n v="554"/>
    <x v="55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635.63636230302"/>
  </r>
  <r>
    <n v="555"/>
    <x v="55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061969.784065388"/>
  </r>
  <r>
    <n v="556"/>
    <x v="55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841939.54140186321"/>
  </r>
  <r>
    <n v="557"/>
    <x v="55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25540.21215899941"/>
  </r>
  <r>
    <n v="558"/>
    <x v="55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8680.47004580096"/>
  </r>
  <r>
    <n v="559"/>
    <x v="55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6574.12722261238"/>
  </r>
  <r>
    <n v="560"/>
    <x v="559"/>
    <x v="2"/>
    <x v="2"/>
    <x v="1"/>
    <x v="2"/>
    <x v="3"/>
    <x v="3"/>
    <x v="3"/>
    <x v="2"/>
    <x v="3"/>
    <x v="12"/>
    <x v="11"/>
    <x v="11"/>
    <x v="5"/>
    <x v="12"/>
    <x v="12"/>
    <x v="6"/>
    <x v="5"/>
    <x v="6"/>
    <x v="10"/>
    <x v="12"/>
    <n v="348065.11408132088"/>
  </r>
  <r>
    <n v="561"/>
    <x v="56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4629.50924968533"/>
  </r>
  <r>
    <n v="562"/>
    <x v="56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42089.29272587819"/>
  </r>
  <r>
    <n v="563"/>
    <x v="56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177.31607820753"/>
  </r>
  <r>
    <n v="564"/>
    <x v="56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7556.68714988537"/>
  </r>
  <r>
    <n v="565"/>
    <x v="56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8992.25060525179"/>
  </r>
  <r>
    <n v="566"/>
    <x v="56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9209.12204733293"/>
  </r>
  <r>
    <n v="567"/>
    <x v="56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054.77846846444"/>
  </r>
  <r>
    <n v="568"/>
    <x v="56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7783.34184847734"/>
  </r>
  <r>
    <n v="569"/>
    <x v="56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5305.99881048247"/>
  </r>
  <r>
    <n v="570"/>
    <x v="56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9969.96003281038"/>
  </r>
  <r>
    <n v="571"/>
    <x v="57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4364.83889033402"/>
  </r>
  <r>
    <n v="572"/>
    <x v="57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212.48607504254"/>
  </r>
  <r>
    <n v="573"/>
    <x v="57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0324.19422576309"/>
  </r>
  <r>
    <n v="574"/>
    <x v="57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4145.13279469952"/>
  </r>
  <r>
    <n v="575"/>
    <x v="57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9386.57656593266"/>
  </r>
  <r>
    <n v="576"/>
    <x v="57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05354.68785621395"/>
  </r>
  <r>
    <n v="577"/>
    <x v="57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9504.50208214566"/>
  </r>
  <r>
    <n v="578"/>
    <x v="577"/>
    <x v="3"/>
    <x v="7"/>
    <x v="7"/>
    <x v="7"/>
    <x v="5"/>
    <x v="12"/>
    <x v="6"/>
    <x v="5"/>
    <x v="6"/>
    <x v="7"/>
    <x v="5"/>
    <x v="5"/>
    <x v="4"/>
    <x v="4"/>
    <x v="4"/>
    <x v="4"/>
    <x v="4"/>
    <x v="3"/>
    <x v="4"/>
    <x v="4"/>
    <n v="1515975.4368826405"/>
  </r>
  <r>
    <n v="579"/>
    <x v="57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0374.53684983886"/>
  </r>
  <r>
    <n v="580"/>
    <x v="579"/>
    <x v="12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8392.84420441635"/>
  </r>
  <r>
    <n v="581"/>
    <x v="58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790894.08838497079"/>
  </r>
  <r>
    <n v="582"/>
    <x v="581"/>
    <x v="4"/>
    <x v="13"/>
    <x v="0"/>
    <x v="0"/>
    <x v="5"/>
    <x v="7"/>
    <x v="0"/>
    <x v="1"/>
    <x v="11"/>
    <x v="5"/>
    <x v="5"/>
    <x v="5"/>
    <x v="4"/>
    <x v="4"/>
    <x v="4"/>
    <x v="4"/>
    <x v="4"/>
    <x v="3"/>
    <x v="4"/>
    <x v="4"/>
    <n v="359647.40996798628"/>
  </r>
  <r>
    <n v="583"/>
    <x v="58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23216.61250883866"/>
  </r>
  <r>
    <n v="584"/>
    <x v="58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533.55581478268"/>
  </r>
  <r>
    <n v="585"/>
    <x v="58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0584.64289825462"/>
  </r>
  <r>
    <n v="586"/>
    <x v="58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61598.95699179548"/>
  </r>
  <r>
    <n v="587"/>
    <x v="58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90454.46692025772"/>
  </r>
  <r>
    <n v="588"/>
    <x v="58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2525.61597073142"/>
  </r>
  <r>
    <n v="589"/>
    <x v="58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117.8926708346"/>
  </r>
  <r>
    <n v="590"/>
    <x v="58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5758.41094023219"/>
  </r>
  <r>
    <n v="591"/>
    <x v="59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2352.54438783911"/>
  </r>
  <r>
    <n v="592"/>
    <x v="59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5804.0351430462"/>
  </r>
  <r>
    <n v="593"/>
    <x v="59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922366.7083703134"/>
  </r>
  <r>
    <n v="594"/>
    <x v="59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710.56899008284"/>
  </r>
  <r>
    <n v="595"/>
    <x v="59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2163.37701783181"/>
  </r>
  <r>
    <n v="596"/>
    <x v="59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50400.41387009469"/>
  </r>
  <r>
    <n v="597"/>
    <x v="59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5699.72795727814"/>
  </r>
  <r>
    <n v="598"/>
    <x v="59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0552.32742694576"/>
  </r>
  <r>
    <n v="599"/>
    <x v="598"/>
    <x v="11"/>
    <x v="12"/>
    <x v="12"/>
    <x v="12"/>
    <x v="10"/>
    <x v="6"/>
    <x v="6"/>
    <x v="5"/>
    <x v="6"/>
    <x v="7"/>
    <x v="5"/>
    <x v="5"/>
    <x v="4"/>
    <x v="4"/>
    <x v="4"/>
    <x v="4"/>
    <x v="4"/>
    <x v="3"/>
    <x v="4"/>
    <x v="4"/>
    <n v="233232.01575714612"/>
  </r>
  <r>
    <n v="600"/>
    <x v="599"/>
    <x v="0"/>
    <x v="11"/>
    <x v="3"/>
    <x v="12"/>
    <x v="12"/>
    <x v="12"/>
    <x v="13"/>
    <x v="5"/>
    <x v="6"/>
    <x v="7"/>
    <x v="5"/>
    <x v="5"/>
    <x v="4"/>
    <x v="4"/>
    <x v="4"/>
    <x v="4"/>
    <x v="4"/>
    <x v="3"/>
    <x v="4"/>
    <x v="4"/>
    <n v="234626.32288100748"/>
  </r>
  <r>
    <n v="601"/>
    <x v="600"/>
    <x v="2"/>
    <x v="2"/>
    <x v="12"/>
    <x v="12"/>
    <x v="12"/>
    <x v="0"/>
    <x v="11"/>
    <x v="0"/>
    <x v="6"/>
    <x v="7"/>
    <x v="5"/>
    <x v="5"/>
    <x v="4"/>
    <x v="4"/>
    <x v="4"/>
    <x v="4"/>
    <x v="4"/>
    <x v="3"/>
    <x v="4"/>
    <x v="4"/>
    <n v="240162.93825544207"/>
  </r>
  <r>
    <n v="602"/>
    <x v="601"/>
    <x v="2"/>
    <x v="2"/>
    <x v="1"/>
    <x v="2"/>
    <x v="3"/>
    <x v="3"/>
    <x v="3"/>
    <x v="2"/>
    <x v="3"/>
    <x v="10"/>
    <x v="9"/>
    <x v="7"/>
    <x v="5"/>
    <x v="4"/>
    <x v="4"/>
    <x v="4"/>
    <x v="4"/>
    <x v="3"/>
    <x v="4"/>
    <x v="4"/>
    <n v="216471.46809397289"/>
  </r>
  <r>
    <n v="603"/>
    <x v="60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8445.59939775168"/>
  </r>
  <r>
    <n v="604"/>
    <x v="603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76096.27422433105"/>
  </r>
  <r>
    <n v="605"/>
    <x v="60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329.83293917154"/>
  </r>
  <r>
    <n v="606"/>
    <x v="60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383657.04990057688"/>
  </r>
  <r>
    <n v="607"/>
    <x v="60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1390.46245890608"/>
  </r>
  <r>
    <n v="608"/>
    <x v="607"/>
    <x v="5"/>
    <x v="7"/>
    <x v="0"/>
    <x v="0"/>
    <x v="7"/>
    <x v="6"/>
    <x v="6"/>
    <x v="5"/>
    <x v="6"/>
    <x v="7"/>
    <x v="5"/>
    <x v="5"/>
    <x v="4"/>
    <x v="4"/>
    <x v="4"/>
    <x v="4"/>
    <x v="4"/>
    <x v="3"/>
    <x v="4"/>
    <x v="4"/>
    <n v="252638.96627120714"/>
  </r>
  <r>
    <n v="609"/>
    <x v="60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89689.78514675848"/>
  </r>
  <r>
    <n v="610"/>
    <x v="609"/>
    <x v="2"/>
    <x v="0"/>
    <x v="1"/>
    <x v="3"/>
    <x v="4"/>
    <x v="5"/>
    <x v="2"/>
    <x v="7"/>
    <x v="9"/>
    <x v="1"/>
    <x v="11"/>
    <x v="5"/>
    <x v="4"/>
    <x v="4"/>
    <x v="4"/>
    <x v="4"/>
    <x v="4"/>
    <x v="3"/>
    <x v="4"/>
    <x v="4"/>
    <n v="174295.2542977267"/>
  </r>
  <r>
    <n v="611"/>
    <x v="610"/>
    <x v="6"/>
    <x v="11"/>
    <x v="2"/>
    <x v="3"/>
    <x v="9"/>
    <x v="8"/>
    <x v="7"/>
    <x v="8"/>
    <x v="4"/>
    <x v="4"/>
    <x v="3"/>
    <x v="2"/>
    <x v="3"/>
    <x v="7"/>
    <x v="6"/>
    <x v="2"/>
    <x v="3"/>
    <x v="2"/>
    <x v="2"/>
    <x v="2"/>
    <n v="159127.80039039155"/>
  </r>
  <r>
    <n v="612"/>
    <x v="611"/>
    <x v="6"/>
    <x v="11"/>
    <x v="7"/>
    <x v="7"/>
    <x v="5"/>
    <x v="4"/>
    <x v="5"/>
    <x v="6"/>
    <x v="3"/>
    <x v="3"/>
    <x v="2"/>
    <x v="1"/>
    <x v="1"/>
    <x v="1"/>
    <x v="1"/>
    <x v="1"/>
    <x v="1"/>
    <x v="1"/>
    <x v="1"/>
    <x v="1"/>
    <m/>
  </r>
  <r>
    <n v="613"/>
    <x v="612"/>
    <x v="1"/>
    <x v="0"/>
    <x v="3"/>
    <x v="3"/>
    <x v="8"/>
    <x v="4"/>
    <x v="2"/>
    <x v="3"/>
    <x v="2"/>
    <x v="6"/>
    <x v="0"/>
    <x v="1"/>
    <x v="1"/>
    <x v="1"/>
    <x v="1"/>
    <x v="1"/>
    <x v="1"/>
    <x v="1"/>
    <x v="1"/>
    <x v="1"/>
    <m/>
  </r>
  <r>
    <n v="614"/>
    <x v="613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5"/>
    <x v="614"/>
    <x v="11"/>
    <x v="4"/>
    <x v="10"/>
    <x v="10"/>
    <x v="8"/>
    <x v="2"/>
    <x v="2"/>
    <x v="3"/>
    <x v="5"/>
    <x v="6"/>
    <x v="4"/>
    <x v="4"/>
    <x v="7"/>
    <x v="3"/>
    <x v="3"/>
    <x v="3"/>
    <x v="0"/>
    <x v="4"/>
    <x v="7"/>
    <x v="0"/>
    <n v="286579.46783145098"/>
  </r>
  <r>
    <n v="616"/>
    <x v="615"/>
    <x v="4"/>
    <x v="6"/>
    <x v="0"/>
    <x v="0"/>
    <x v="0"/>
    <x v="7"/>
    <x v="0"/>
    <x v="0"/>
    <x v="1"/>
    <x v="1"/>
    <x v="1"/>
    <x v="9"/>
    <x v="1"/>
    <x v="1"/>
    <x v="1"/>
    <x v="1"/>
    <x v="1"/>
    <x v="1"/>
    <x v="1"/>
    <x v="1"/>
    <m/>
  </r>
  <r>
    <n v="617"/>
    <x v="616"/>
    <x v="3"/>
    <x v="0"/>
    <x v="1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8"/>
    <x v="617"/>
    <x v="11"/>
    <x v="4"/>
    <x v="10"/>
    <x v="10"/>
    <x v="6"/>
    <x v="4"/>
    <x v="5"/>
    <x v="3"/>
    <x v="5"/>
    <x v="6"/>
    <x v="8"/>
    <x v="6"/>
    <x v="3"/>
    <x v="3"/>
    <x v="3"/>
    <x v="3"/>
    <x v="3"/>
    <x v="2"/>
    <x v="1"/>
    <x v="1"/>
    <m/>
  </r>
  <r>
    <n v="619"/>
    <x v="618"/>
    <x v="5"/>
    <x v="7"/>
    <x v="12"/>
    <x v="12"/>
    <x v="12"/>
    <x v="0"/>
    <x v="9"/>
    <x v="12"/>
    <x v="5"/>
    <x v="8"/>
    <x v="8"/>
    <x v="6"/>
    <x v="7"/>
    <x v="5"/>
    <x v="0"/>
    <x v="0"/>
    <x v="8"/>
    <x v="4"/>
    <x v="1"/>
    <x v="1"/>
    <m/>
  </r>
  <r>
    <n v="620"/>
    <x v="619"/>
    <x v="12"/>
    <x v="5"/>
    <x v="7"/>
    <x v="7"/>
    <x v="5"/>
    <x v="2"/>
    <x v="9"/>
    <x v="2"/>
    <x v="3"/>
    <x v="3"/>
    <x v="2"/>
    <x v="1"/>
    <x v="1"/>
    <x v="1"/>
    <x v="1"/>
    <x v="1"/>
    <x v="1"/>
    <x v="1"/>
    <x v="1"/>
    <x v="1"/>
    <m/>
  </r>
  <r>
    <n v="621"/>
    <x v="620"/>
    <x v="4"/>
    <x v="11"/>
    <x v="7"/>
    <x v="7"/>
    <x v="8"/>
    <x v="2"/>
    <x v="2"/>
    <x v="3"/>
    <x v="0"/>
    <x v="9"/>
    <x v="6"/>
    <x v="3"/>
    <x v="10"/>
    <x v="0"/>
    <x v="10"/>
    <x v="1"/>
    <x v="1"/>
    <x v="1"/>
    <x v="1"/>
    <x v="1"/>
    <m/>
  </r>
  <r>
    <n v="622"/>
    <x v="621"/>
    <x v="0"/>
    <x v="4"/>
    <x v="2"/>
    <x v="3"/>
    <x v="4"/>
    <x v="4"/>
    <x v="4"/>
    <x v="3"/>
    <x v="5"/>
    <x v="6"/>
    <x v="8"/>
    <x v="6"/>
    <x v="3"/>
    <x v="5"/>
    <x v="9"/>
    <x v="8"/>
    <x v="7"/>
    <x v="8"/>
    <x v="5"/>
    <x v="9"/>
    <n v="403260.17119869398"/>
  </r>
  <r>
    <n v="623"/>
    <x v="622"/>
    <x v="0"/>
    <x v="4"/>
    <x v="3"/>
    <x v="4"/>
    <x v="8"/>
    <x v="2"/>
    <x v="2"/>
    <x v="6"/>
    <x v="0"/>
    <x v="5"/>
    <x v="2"/>
    <x v="1"/>
    <x v="1"/>
    <x v="1"/>
    <x v="1"/>
    <x v="1"/>
    <x v="1"/>
    <x v="1"/>
    <x v="1"/>
    <x v="1"/>
    <m/>
  </r>
  <r>
    <n v="624"/>
    <x v="623"/>
    <x v="0"/>
    <x v="11"/>
    <x v="7"/>
    <x v="7"/>
    <x v="5"/>
    <x v="5"/>
    <x v="5"/>
    <x v="4"/>
    <x v="4"/>
    <x v="6"/>
    <x v="8"/>
    <x v="6"/>
    <x v="0"/>
    <x v="5"/>
    <x v="10"/>
    <x v="10"/>
    <x v="9"/>
    <x v="9"/>
    <x v="5"/>
    <x v="9"/>
    <n v="145626.77284014574"/>
  </r>
  <r>
    <n v="625"/>
    <x v="624"/>
    <x v="11"/>
    <x v="4"/>
    <x v="2"/>
    <x v="3"/>
    <x v="4"/>
    <x v="5"/>
    <x v="2"/>
    <x v="7"/>
    <x v="11"/>
    <x v="0"/>
    <x v="0"/>
    <x v="10"/>
    <x v="10"/>
    <x v="10"/>
    <x v="0"/>
    <x v="9"/>
    <x v="8"/>
    <x v="4"/>
    <x v="1"/>
    <x v="1"/>
    <m/>
  </r>
  <r>
    <n v="626"/>
    <x v="625"/>
    <x v="3"/>
    <x v="0"/>
    <x v="3"/>
    <x v="4"/>
    <x v="5"/>
    <x v="0"/>
    <x v="2"/>
    <x v="6"/>
    <x v="5"/>
    <x v="8"/>
    <x v="0"/>
    <x v="0"/>
    <x v="0"/>
    <x v="0"/>
    <x v="10"/>
    <x v="10"/>
    <x v="2"/>
    <x v="2"/>
    <x v="3"/>
    <x v="3"/>
    <n v="468283.58065206342"/>
  </r>
  <r>
    <n v="627"/>
    <x v="626"/>
    <x v="2"/>
    <x v="2"/>
    <x v="7"/>
    <x v="7"/>
    <x v="6"/>
    <x v="0"/>
    <x v="11"/>
    <x v="2"/>
    <x v="3"/>
    <x v="3"/>
    <x v="2"/>
    <x v="1"/>
    <x v="1"/>
    <x v="1"/>
    <x v="1"/>
    <x v="1"/>
    <x v="1"/>
    <x v="1"/>
    <x v="1"/>
    <x v="1"/>
    <m/>
  </r>
  <r>
    <n v="628"/>
    <x v="627"/>
    <x v="11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29"/>
    <x v="628"/>
    <x v="2"/>
    <x v="4"/>
    <x v="2"/>
    <x v="3"/>
    <x v="8"/>
    <x v="5"/>
    <x v="5"/>
    <x v="6"/>
    <x v="2"/>
    <x v="4"/>
    <x v="4"/>
    <x v="4"/>
    <x v="3"/>
    <x v="3"/>
    <x v="3"/>
    <x v="3"/>
    <x v="0"/>
    <x v="0"/>
    <x v="0"/>
    <x v="7"/>
    <n v="117091.74353107503"/>
  </r>
  <r>
    <n v="630"/>
    <x v="629"/>
    <x v="2"/>
    <x v="11"/>
    <x v="2"/>
    <x v="3"/>
    <x v="4"/>
    <x v="5"/>
    <x v="5"/>
    <x v="6"/>
    <x v="4"/>
    <x v="6"/>
    <x v="4"/>
    <x v="4"/>
    <x v="7"/>
    <x v="10"/>
    <x v="9"/>
    <x v="1"/>
    <x v="1"/>
    <x v="1"/>
    <x v="1"/>
    <x v="1"/>
    <m/>
  </r>
  <r>
    <n v="631"/>
    <x v="630"/>
    <x v="2"/>
    <x v="11"/>
    <x v="7"/>
    <x v="7"/>
    <x v="5"/>
    <x v="5"/>
    <x v="5"/>
    <x v="3"/>
    <x v="5"/>
    <x v="8"/>
    <x v="0"/>
    <x v="0"/>
    <x v="7"/>
    <x v="0"/>
    <x v="10"/>
    <x v="9"/>
    <x v="8"/>
    <x v="4"/>
    <x v="7"/>
    <x v="0"/>
    <n v="929356.57205066737"/>
  </r>
  <r>
    <n v="632"/>
    <x v="631"/>
    <x v="2"/>
    <x v="0"/>
    <x v="2"/>
    <x v="3"/>
    <x v="5"/>
    <x v="0"/>
    <x v="4"/>
    <x v="6"/>
    <x v="0"/>
    <x v="8"/>
    <x v="6"/>
    <x v="3"/>
    <x v="1"/>
    <x v="1"/>
    <x v="1"/>
    <x v="1"/>
    <x v="1"/>
    <x v="1"/>
    <x v="1"/>
    <x v="1"/>
    <m/>
  </r>
  <r>
    <n v="633"/>
    <x v="632"/>
    <x v="2"/>
    <x v="2"/>
    <x v="11"/>
    <x v="11"/>
    <x v="0"/>
    <x v="7"/>
    <x v="0"/>
    <x v="10"/>
    <x v="1"/>
    <x v="10"/>
    <x v="9"/>
    <x v="7"/>
    <x v="12"/>
    <x v="9"/>
    <x v="9"/>
    <x v="8"/>
    <x v="7"/>
    <x v="8"/>
    <x v="9"/>
    <x v="5"/>
    <n v="381754.99787608662"/>
  </r>
  <r>
    <n v="634"/>
    <x v="633"/>
    <x v="2"/>
    <x v="2"/>
    <x v="2"/>
    <x v="3"/>
    <x v="4"/>
    <x v="5"/>
    <x v="7"/>
    <x v="8"/>
    <x v="5"/>
    <x v="8"/>
    <x v="0"/>
    <x v="4"/>
    <x v="3"/>
    <x v="3"/>
    <x v="6"/>
    <x v="2"/>
    <x v="3"/>
    <x v="2"/>
    <x v="1"/>
    <x v="1"/>
    <m/>
  </r>
  <r>
    <n v="635"/>
    <x v="634"/>
    <x v="2"/>
    <x v="2"/>
    <x v="7"/>
    <x v="12"/>
    <x v="0"/>
    <x v="11"/>
    <x v="11"/>
    <x v="10"/>
    <x v="2"/>
    <x v="8"/>
    <x v="9"/>
    <x v="10"/>
    <x v="8"/>
    <x v="3"/>
    <x v="7"/>
    <x v="8"/>
    <x v="7"/>
    <x v="8"/>
    <x v="5"/>
    <x v="9"/>
    <n v="110251.2071520367"/>
  </r>
  <r>
    <n v="636"/>
    <x v="635"/>
    <x v="2"/>
    <x v="2"/>
    <x v="7"/>
    <x v="7"/>
    <x v="5"/>
    <x v="2"/>
    <x v="9"/>
    <x v="7"/>
    <x v="11"/>
    <x v="9"/>
    <x v="10"/>
    <x v="7"/>
    <x v="12"/>
    <x v="8"/>
    <x v="8"/>
    <x v="8"/>
    <x v="7"/>
    <x v="13"/>
    <x v="13"/>
    <x v="13"/>
    <n v="1889835.0357725772"/>
  </r>
  <r>
    <n v="637"/>
    <x v="636"/>
    <x v="2"/>
    <x v="2"/>
    <x v="1"/>
    <x v="0"/>
    <x v="12"/>
    <x v="11"/>
    <x v="11"/>
    <x v="7"/>
    <x v="5"/>
    <x v="5"/>
    <x v="4"/>
    <x v="4"/>
    <x v="7"/>
    <x v="5"/>
    <x v="0"/>
    <x v="9"/>
    <x v="8"/>
    <x v="4"/>
    <x v="0"/>
    <x v="7"/>
    <n v="161598.74948180173"/>
  </r>
  <r>
    <n v="638"/>
    <x v="637"/>
    <x v="2"/>
    <x v="2"/>
    <x v="1"/>
    <x v="3"/>
    <x v="12"/>
    <x v="7"/>
    <x v="1"/>
    <x v="12"/>
    <x v="6"/>
    <x v="7"/>
    <x v="5"/>
    <x v="5"/>
    <x v="4"/>
    <x v="4"/>
    <x v="4"/>
    <x v="4"/>
    <x v="4"/>
    <x v="3"/>
    <x v="4"/>
    <x v="4"/>
    <n v="269752.07081258146"/>
  </r>
  <r>
    <n v="639"/>
    <x v="638"/>
    <x v="2"/>
    <x v="2"/>
    <x v="1"/>
    <x v="1"/>
    <x v="11"/>
    <x v="7"/>
    <x v="0"/>
    <x v="7"/>
    <x v="8"/>
    <x v="9"/>
    <x v="2"/>
    <x v="1"/>
    <x v="1"/>
    <x v="1"/>
    <x v="1"/>
    <x v="1"/>
    <x v="1"/>
    <x v="1"/>
    <x v="1"/>
    <x v="1"/>
    <m/>
  </r>
  <r>
    <n v="640"/>
    <x v="639"/>
    <x v="2"/>
    <x v="2"/>
    <x v="1"/>
    <x v="3"/>
    <x v="6"/>
    <x v="4"/>
    <x v="5"/>
    <x v="6"/>
    <x v="2"/>
    <x v="4"/>
    <x v="4"/>
    <x v="6"/>
    <x v="7"/>
    <x v="3"/>
    <x v="10"/>
    <x v="8"/>
    <x v="12"/>
    <x v="13"/>
    <x v="13"/>
    <x v="8"/>
    <n v="744379.93456048216"/>
  </r>
  <r>
    <n v="641"/>
    <x v="640"/>
    <x v="2"/>
    <x v="2"/>
    <x v="1"/>
    <x v="7"/>
    <x v="8"/>
    <x v="2"/>
    <x v="5"/>
    <x v="3"/>
    <x v="5"/>
    <x v="8"/>
    <x v="8"/>
    <x v="6"/>
    <x v="3"/>
    <x v="3"/>
    <x v="3"/>
    <x v="0"/>
    <x v="0"/>
    <x v="0"/>
    <x v="0"/>
    <x v="7"/>
    <n v="2756675.9555255156"/>
  </r>
  <r>
    <n v="642"/>
    <x v="641"/>
    <x v="2"/>
    <x v="2"/>
    <x v="1"/>
    <x v="2"/>
    <x v="4"/>
    <x v="0"/>
    <x v="0"/>
    <x v="10"/>
    <x v="1"/>
    <x v="10"/>
    <x v="9"/>
    <x v="7"/>
    <x v="12"/>
    <x v="9"/>
    <x v="8"/>
    <x v="8"/>
    <x v="7"/>
    <x v="8"/>
    <x v="5"/>
    <x v="9"/>
    <n v="196110.85679008803"/>
  </r>
  <r>
    <n v="643"/>
    <x v="642"/>
    <x v="2"/>
    <x v="2"/>
    <x v="1"/>
    <x v="2"/>
    <x v="8"/>
    <x v="7"/>
    <x v="0"/>
    <x v="10"/>
    <x v="1"/>
    <x v="5"/>
    <x v="9"/>
    <x v="10"/>
    <x v="12"/>
    <x v="10"/>
    <x v="7"/>
    <x v="8"/>
    <x v="7"/>
    <x v="8"/>
    <x v="5"/>
    <x v="9"/>
    <n v="150067.05548453238"/>
  </r>
  <r>
    <n v="644"/>
    <x v="643"/>
    <x v="2"/>
    <x v="2"/>
    <x v="1"/>
    <x v="2"/>
    <x v="8"/>
    <x v="5"/>
    <x v="2"/>
    <x v="4"/>
    <x v="5"/>
    <x v="8"/>
    <x v="0"/>
    <x v="0"/>
    <x v="7"/>
    <x v="5"/>
    <x v="9"/>
    <x v="10"/>
    <x v="9"/>
    <x v="4"/>
    <x v="7"/>
    <x v="0"/>
    <n v="350585.27645366255"/>
  </r>
  <r>
    <n v="645"/>
    <x v="6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46"/>
    <x v="645"/>
    <x v="2"/>
    <x v="2"/>
    <x v="1"/>
    <x v="2"/>
    <x v="8"/>
    <x v="5"/>
    <x v="2"/>
    <x v="3"/>
    <x v="11"/>
    <x v="5"/>
    <x v="6"/>
    <x v="3"/>
    <x v="0"/>
    <x v="10"/>
    <x v="9"/>
    <x v="10"/>
    <x v="9"/>
    <x v="9"/>
    <x v="5"/>
    <x v="9"/>
    <n v="2687393.0585102364"/>
  </r>
  <r>
    <n v="647"/>
    <x v="646"/>
    <x v="2"/>
    <x v="2"/>
    <x v="1"/>
    <x v="2"/>
    <x v="6"/>
    <x v="11"/>
    <x v="11"/>
    <x v="1"/>
    <x v="11"/>
    <x v="0"/>
    <x v="10"/>
    <x v="3"/>
    <x v="10"/>
    <x v="10"/>
    <x v="9"/>
    <x v="0"/>
    <x v="1"/>
    <x v="1"/>
    <x v="1"/>
    <x v="1"/>
    <m/>
  </r>
  <r>
    <n v="648"/>
    <x v="647"/>
    <x v="2"/>
    <x v="2"/>
    <x v="1"/>
    <x v="2"/>
    <x v="3"/>
    <x v="4"/>
    <x v="4"/>
    <x v="6"/>
    <x v="2"/>
    <x v="6"/>
    <x v="4"/>
    <x v="2"/>
    <x v="6"/>
    <x v="2"/>
    <x v="6"/>
    <x v="2"/>
    <x v="3"/>
    <x v="2"/>
    <x v="3"/>
    <x v="3"/>
    <n v="141552.25447774224"/>
  </r>
  <r>
    <n v="649"/>
    <x v="648"/>
    <x v="2"/>
    <x v="2"/>
    <x v="1"/>
    <x v="2"/>
    <x v="3"/>
    <x v="8"/>
    <x v="4"/>
    <x v="6"/>
    <x v="2"/>
    <x v="10"/>
    <x v="10"/>
    <x v="0"/>
    <x v="0"/>
    <x v="0"/>
    <x v="7"/>
    <x v="8"/>
    <x v="7"/>
    <x v="8"/>
    <x v="5"/>
    <x v="9"/>
    <n v="118752.1793372557"/>
  </r>
  <r>
    <n v="650"/>
    <x v="649"/>
    <x v="2"/>
    <x v="2"/>
    <x v="1"/>
    <x v="2"/>
    <x v="3"/>
    <x v="8"/>
    <x v="4"/>
    <x v="3"/>
    <x v="2"/>
    <x v="8"/>
    <x v="9"/>
    <x v="7"/>
    <x v="12"/>
    <x v="9"/>
    <x v="8"/>
    <x v="11"/>
    <x v="9"/>
    <x v="8"/>
    <x v="5"/>
    <x v="8"/>
    <n v="319101.55700053723"/>
  </r>
  <r>
    <n v="651"/>
    <x v="650"/>
    <x v="2"/>
    <x v="2"/>
    <x v="1"/>
    <x v="2"/>
    <x v="3"/>
    <x v="3"/>
    <x v="5"/>
    <x v="4"/>
    <x v="4"/>
    <x v="4"/>
    <x v="4"/>
    <x v="4"/>
    <x v="2"/>
    <x v="3"/>
    <x v="3"/>
    <x v="0"/>
    <x v="0"/>
    <x v="0"/>
    <x v="0"/>
    <x v="7"/>
    <n v="136118.58866207325"/>
  </r>
  <r>
    <n v="652"/>
    <x v="651"/>
    <x v="2"/>
    <x v="2"/>
    <x v="1"/>
    <x v="2"/>
    <x v="3"/>
    <x v="3"/>
    <x v="5"/>
    <x v="3"/>
    <x v="5"/>
    <x v="8"/>
    <x v="0"/>
    <x v="4"/>
    <x v="2"/>
    <x v="5"/>
    <x v="0"/>
    <x v="9"/>
    <x v="9"/>
    <x v="4"/>
    <x v="7"/>
    <x v="0"/>
    <n v="329908.83682039654"/>
  </r>
  <r>
    <n v="653"/>
    <x v="652"/>
    <x v="2"/>
    <x v="2"/>
    <x v="1"/>
    <x v="2"/>
    <x v="3"/>
    <x v="3"/>
    <x v="3"/>
    <x v="1"/>
    <x v="5"/>
    <x v="8"/>
    <x v="0"/>
    <x v="6"/>
    <x v="7"/>
    <x v="5"/>
    <x v="0"/>
    <x v="9"/>
    <x v="9"/>
    <x v="4"/>
    <x v="7"/>
    <x v="0"/>
    <n v="257392.54168938907"/>
  </r>
  <r>
    <n v="654"/>
    <x v="653"/>
    <x v="2"/>
    <x v="2"/>
    <x v="1"/>
    <x v="2"/>
    <x v="3"/>
    <x v="3"/>
    <x v="3"/>
    <x v="2"/>
    <x v="3"/>
    <x v="3"/>
    <x v="2"/>
    <x v="3"/>
    <x v="1"/>
    <x v="10"/>
    <x v="1"/>
    <x v="1"/>
    <x v="1"/>
    <x v="1"/>
    <x v="1"/>
    <x v="1"/>
    <m/>
  </r>
  <r>
    <n v="655"/>
    <x v="654"/>
    <x v="2"/>
    <x v="2"/>
    <x v="1"/>
    <x v="2"/>
    <x v="3"/>
    <x v="3"/>
    <x v="3"/>
    <x v="2"/>
    <x v="3"/>
    <x v="8"/>
    <x v="4"/>
    <x v="3"/>
    <x v="7"/>
    <x v="3"/>
    <x v="3"/>
    <x v="1"/>
    <x v="1"/>
    <x v="1"/>
    <x v="1"/>
    <x v="1"/>
    <m/>
  </r>
  <r>
    <n v="656"/>
    <x v="655"/>
    <x v="2"/>
    <x v="2"/>
    <x v="1"/>
    <x v="2"/>
    <x v="3"/>
    <x v="3"/>
    <x v="3"/>
    <x v="6"/>
    <x v="8"/>
    <x v="9"/>
    <x v="6"/>
    <x v="3"/>
    <x v="10"/>
    <x v="5"/>
    <x v="0"/>
    <x v="9"/>
    <x v="8"/>
    <x v="4"/>
    <x v="7"/>
    <x v="5"/>
    <n v="608315.88635358913"/>
  </r>
  <r>
    <n v="657"/>
    <x v="656"/>
    <x v="2"/>
    <x v="2"/>
    <x v="1"/>
    <x v="2"/>
    <x v="3"/>
    <x v="3"/>
    <x v="3"/>
    <x v="6"/>
    <x v="8"/>
    <x v="5"/>
    <x v="0"/>
    <x v="3"/>
    <x v="10"/>
    <x v="3"/>
    <x v="0"/>
    <x v="9"/>
    <x v="0"/>
    <x v="4"/>
    <x v="7"/>
    <x v="0"/>
    <n v="143821.61704565995"/>
  </r>
  <r>
    <n v="658"/>
    <x v="657"/>
    <x v="2"/>
    <x v="2"/>
    <x v="1"/>
    <x v="2"/>
    <x v="3"/>
    <x v="3"/>
    <x v="3"/>
    <x v="12"/>
    <x v="11"/>
    <x v="0"/>
    <x v="6"/>
    <x v="6"/>
    <x v="7"/>
    <x v="10"/>
    <x v="9"/>
    <x v="9"/>
    <x v="1"/>
    <x v="1"/>
    <x v="1"/>
    <x v="1"/>
    <m/>
  </r>
  <r>
    <n v="659"/>
    <x v="658"/>
    <x v="2"/>
    <x v="2"/>
    <x v="1"/>
    <x v="2"/>
    <x v="3"/>
    <x v="3"/>
    <x v="3"/>
    <x v="3"/>
    <x v="5"/>
    <x v="8"/>
    <x v="0"/>
    <x v="6"/>
    <x v="7"/>
    <x v="5"/>
    <x v="0"/>
    <x v="9"/>
    <x v="1"/>
    <x v="1"/>
    <x v="1"/>
    <x v="1"/>
    <m/>
  </r>
  <r>
    <n v="660"/>
    <x v="659"/>
    <x v="2"/>
    <x v="2"/>
    <x v="1"/>
    <x v="2"/>
    <x v="3"/>
    <x v="3"/>
    <x v="3"/>
    <x v="2"/>
    <x v="3"/>
    <x v="4"/>
    <x v="4"/>
    <x v="0"/>
    <x v="7"/>
    <x v="10"/>
    <x v="9"/>
    <x v="11"/>
    <x v="9"/>
    <x v="1"/>
    <x v="1"/>
    <x v="1"/>
    <m/>
  </r>
  <r>
    <n v="661"/>
    <x v="660"/>
    <x v="2"/>
    <x v="2"/>
    <x v="1"/>
    <x v="2"/>
    <x v="3"/>
    <x v="3"/>
    <x v="3"/>
    <x v="2"/>
    <x v="3"/>
    <x v="3"/>
    <x v="2"/>
    <x v="6"/>
    <x v="0"/>
    <x v="5"/>
    <x v="0"/>
    <x v="9"/>
    <x v="8"/>
    <x v="4"/>
    <x v="7"/>
    <x v="0"/>
    <n v="122391.44750525604"/>
  </r>
  <r>
    <n v="662"/>
    <x v="661"/>
    <x v="2"/>
    <x v="2"/>
    <x v="1"/>
    <x v="2"/>
    <x v="3"/>
    <x v="3"/>
    <x v="3"/>
    <x v="2"/>
    <x v="3"/>
    <x v="3"/>
    <x v="2"/>
    <x v="3"/>
    <x v="0"/>
    <x v="0"/>
    <x v="10"/>
    <x v="10"/>
    <x v="9"/>
    <x v="4"/>
    <x v="5"/>
    <x v="0"/>
    <n v="808892.5617644029"/>
  </r>
  <r>
    <n v="663"/>
    <x v="662"/>
    <x v="2"/>
    <x v="2"/>
    <x v="1"/>
    <x v="2"/>
    <x v="3"/>
    <x v="3"/>
    <x v="3"/>
    <x v="2"/>
    <x v="3"/>
    <x v="3"/>
    <x v="2"/>
    <x v="4"/>
    <x v="7"/>
    <x v="5"/>
    <x v="0"/>
    <x v="10"/>
    <x v="9"/>
    <x v="9"/>
    <x v="5"/>
    <x v="1"/>
    <m/>
  </r>
  <r>
    <n v="664"/>
    <x v="663"/>
    <x v="2"/>
    <x v="2"/>
    <x v="1"/>
    <x v="2"/>
    <x v="3"/>
    <x v="3"/>
    <x v="3"/>
    <x v="2"/>
    <x v="3"/>
    <x v="3"/>
    <x v="2"/>
    <x v="4"/>
    <x v="3"/>
    <x v="3"/>
    <x v="3"/>
    <x v="3"/>
    <x v="0"/>
    <x v="0"/>
    <x v="0"/>
    <x v="7"/>
    <n v="126398.68122701153"/>
  </r>
  <r>
    <n v="665"/>
    <x v="664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1137546.2171199431"/>
  </r>
  <r>
    <n v="666"/>
    <x v="665"/>
    <x v="2"/>
    <x v="2"/>
    <x v="1"/>
    <x v="2"/>
    <x v="3"/>
    <x v="3"/>
    <x v="3"/>
    <x v="2"/>
    <x v="3"/>
    <x v="3"/>
    <x v="2"/>
    <x v="1"/>
    <x v="1"/>
    <x v="1"/>
    <x v="1"/>
    <x v="10"/>
    <x v="10"/>
    <x v="9"/>
    <x v="5"/>
    <x v="9"/>
    <n v="215349.12433142285"/>
  </r>
  <r>
    <n v="667"/>
    <x v="666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197544.95209701342"/>
  </r>
  <r>
    <n v="668"/>
    <x v="667"/>
    <x v="2"/>
    <x v="2"/>
    <x v="1"/>
    <x v="2"/>
    <x v="3"/>
    <x v="3"/>
    <x v="3"/>
    <x v="2"/>
    <x v="3"/>
    <x v="3"/>
    <x v="2"/>
    <x v="1"/>
    <x v="1"/>
    <x v="1"/>
    <x v="1"/>
    <x v="2"/>
    <x v="3"/>
    <x v="5"/>
    <x v="2"/>
    <x v="2"/>
    <n v="141301.20233747078"/>
  </r>
  <r>
    <n v="669"/>
    <x v="668"/>
    <x v="2"/>
    <x v="2"/>
    <x v="1"/>
    <x v="2"/>
    <x v="3"/>
    <x v="3"/>
    <x v="3"/>
    <x v="2"/>
    <x v="3"/>
    <x v="3"/>
    <x v="2"/>
    <x v="1"/>
    <x v="1"/>
    <x v="1"/>
    <x v="1"/>
    <x v="3"/>
    <x v="1"/>
    <x v="1"/>
    <x v="1"/>
    <x v="1"/>
    <m/>
  </r>
  <r>
    <n v="670"/>
    <x v="669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0"/>
    <x v="7"/>
    <n v="235654.46284596153"/>
  </r>
  <r>
    <n v="671"/>
    <x v="67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62721.37087395677"/>
  </r>
  <r>
    <n v="672"/>
    <x v="671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469733.8474214517"/>
  </r>
  <r>
    <n v="673"/>
    <x v="672"/>
    <x v="2"/>
    <x v="2"/>
    <x v="1"/>
    <x v="2"/>
    <x v="3"/>
    <x v="3"/>
    <x v="3"/>
    <x v="2"/>
    <x v="3"/>
    <x v="3"/>
    <x v="2"/>
    <x v="1"/>
    <x v="1"/>
    <x v="1"/>
    <x v="1"/>
    <x v="11"/>
    <x v="1"/>
    <x v="1"/>
    <x v="1"/>
    <x v="1"/>
    <m/>
  </r>
  <r>
    <n v="674"/>
    <x v="673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3"/>
    <x v="7"/>
    <n v="140581.2386181668"/>
  </r>
  <r>
    <n v="675"/>
    <x v="67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150816.1378024311"/>
  </r>
  <r>
    <n v="676"/>
    <x v="67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22380.17721737262"/>
  </r>
  <r>
    <n v="677"/>
    <x v="67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72602.17063468456"/>
  </r>
  <r>
    <n v="678"/>
    <x v="677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679"/>
    <x v="67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31048.38559657242"/>
  </r>
  <r>
    <n v="680"/>
    <x v="679"/>
    <x v="2"/>
    <x v="2"/>
    <x v="1"/>
    <x v="2"/>
    <x v="3"/>
    <x v="3"/>
    <x v="3"/>
    <x v="2"/>
    <x v="3"/>
    <x v="3"/>
    <x v="2"/>
    <x v="1"/>
    <x v="1"/>
    <x v="1"/>
    <x v="1"/>
    <x v="6"/>
    <x v="5"/>
    <x v="13"/>
    <x v="13"/>
    <x v="13"/>
    <n v="371372.93733019795"/>
  </r>
  <r>
    <n v="681"/>
    <x v="68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0"/>
    <x v="7"/>
    <n v="178208.11770534355"/>
  </r>
  <r>
    <n v="682"/>
    <x v="681"/>
    <x v="2"/>
    <x v="2"/>
    <x v="1"/>
    <x v="2"/>
    <x v="3"/>
    <x v="3"/>
    <x v="3"/>
    <x v="2"/>
    <x v="3"/>
    <x v="3"/>
    <x v="2"/>
    <x v="1"/>
    <x v="1"/>
    <x v="1"/>
    <x v="1"/>
    <x v="0"/>
    <x v="0"/>
    <x v="4"/>
    <x v="7"/>
    <x v="0"/>
    <n v="230607.09124887665"/>
  </r>
  <r>
    <n v="683"/>
    <x v="6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84"/>
    <x v="683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138351.9164251015"/>
  </r>
  <r>
    <n v="685"/>
    <x v="684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201693.0714535248"/>
  </r>
  <r>
    <n v="686"/>
    <x v="685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0"/>
    <x v="1"/>
    <m/>
  </r>
  <r>
    <n v="687"/>
    <x v="68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87644.23201279895"/>
  </r>
  <r>
    <n v="688"/>
    <x v="687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0"/>
    <x v="7"/>
    <n v="236431.33413758117"/>
  </r>
  <r>
    <n v="689"/>
    <x v="688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2"/>
    <x v="2"/>
    <n v="111538.18160208166"/>
  </r>
  <r>
    <n v="690"/>
    <x v="689"/>
    <x v="2"/>
    <x v="2"/>
    <x v="1"/>
    <x v="2"/>
    <x v="3"/>
    <x v="3"/>
    <x v="3"/>
    <x v="2"/>
    <x v="3"/>
    <x v="3"/>
    <x v="2"/>
    <x v="1"/>
    <x v="1"/>
    <x v="1"/>
    <x v="1"/>
    <x v="12"/>
    <x v="1"/>
    <x v="1"/>
    <x v="1"/>
    <x v="1"/>
    <m/>
  </r>
  <r>
    <n v="691"/>
    <x v="690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7"/>
    <x v="0"/>
    <n v="2247970.3622880238"/>
  </r>
  <r>
    <n v="692"/>
    <x v="691"/>
    <x v="2"/>
    <x v="2"/>
    <x v="1"/>
    <x v="2"/>
    <x v="3"/>
    <x v="3"/>
    <x v="3"/>
    <x v="2"/>
    <x v="3"/>
    <x v="3"/>
    <x v="2"/>
    <x v="1"/>
    <x v="1"/>
    <x v="1"/>
    <x v="1"/>
    <x v="9"/>
    <x v="0"/>
    <x v="0"/>
    <x v="7"/>
    <x v="0"/>
    <n v="132347.4754541697"/>
  </r>
  <r>
    <n v="693"/>
    <x v="69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262722.57839082164"/>
  </r>
  <r>
    <n v="694"/>
    <x v="693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74453.62718173466"/>
  </r>
  <r>
    <n v="695"/>
    <x v="694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1"/>
    <x v="3"/>
    <n v="154969.44412070132"/>
  </r>
  <r>
    <n v="696"/>
    <x v="695"/>
    <x v="2"/>
    <x v="2"/>
    <x v="1"/>
    <x v="2"/>
    <x v="3"/>
    <x v="3"/>
    <x v="3"/>
    <x v="2"/>
    <x v="3"/>
    <x v="3"/>
    <x v="2"/>
    <x v="1"/>
    <x v="1"/>
    <x v="1"/>
    <x v="1"/>
    <x v="11"/>
    <x v="10"/>
    <x v="9"/>
    <x v="7"/>
    <x v="9"/>
    <n v="125616.57670021889"/>
  </r>
  <r>
    <n v="697"/>
    <x v="696"/>
    <x v="2"/>
    <x v="2"/>
    <x v="1"/>
    <x v="2"/>
    <x v="3"/>
    <x v="3"/>
    <x v="3"/>
    <x v="2"/>
    <x v="3"/>
    <x v="3"/>
    <x v="2"/>
    <x v="1"/>
    <x v="1"/>
    <x v="1"/>
    <x v="1"/>
    <x v="3"/>
    <x v="2"/>
    <x v="5"/>
    <x v="2"/>
    <x v="3"/>
    <n v="289199.60405002721"/>
  </r>
  <r>
    <n v="698"/>
    <x v="697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7"/>
    <n v="185688.66772029613"/>
  </r>
  <r>
    <n v="699"/>
    <x v="698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3"/>
    <n v="170495.78034201029"/>
  </r>
  <r>
    <n v="700"/>
    <x v="69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79046.79041656764"/>
  </r>
  <r>
    <n v="701"/>
    <x v="700"/>
    <x v="2"/>
    <x v="2"/>
    <x v="1"/>
    <x v="2"/>
    <x v="3"/>
    <x v="3"/>
    <x v="3"/>
    <x v="2"/>
    <x v="3"/>
    <x v="3"/>
    <x v="2"/>
    <x v="1"/>
    <x v="1"/>
    <x v="1"/>
    <x v="1"/>
    <x v="9"/>
    <x v="0"/>
    <x v="4"/>
    <x v="7"/>
    <x v="0"/>
    <n v="115345.36236125078"/>
  </r>
  <r>
    <n v="702"/>
    <x v="70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3"/>
    <n v="1072441.4779197006"/>
  </r>
  <r>
    <n v="703"/>
    <x v="702"/>
    <x v="2"/>
    <x v="2"/>
    <x v="1"/>
    <x v="2"/>
    <x v="3"/>
    <x v="3"/>
    <x v="3"/>
    <x v="2"/>
    <x v="3"/>
    <x v="3"/>
    <x v="2"/>
    <x v="1"/>
    <x v="1"/>
    <x v="1"/>
    <x v="1"/>
    <x v="9"/>
    <x v="3"/>
    <x v="0"/>
    <x v="0"/>
    <x v="3"/>
    <n v="426592.91241830471"/>
  </r>
  <r>
    <n v="704"/>
    <x v="703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138378.08732518172"/>
  </r>
  <r>
    <n v="705"/>
    <x v="70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89372.70304689649"/>
  </r>
  <r>
    <n v="706"/>
    <x v="705"/>
    <x v="2"/>
    <x v="2"/>
    <x v="1"/>
    <x v="2"/>
    <x v="3"/>
    <x v="3"/>
    <x v="3"/>
    <x v="2"/>
    <x v="3"/>
    <x v="3"/>
    <x v="2"/>
    <x v="1"/>
    <x v="1"/>
    <x v="1"/>
    <x v="1"/>
    <x v="8"/>
    <x v="7"/>
    <x v="13"/>
    <x v="8"/>
    <x v="5"/>
    <n v="109324.36977462791"/>
  </r>
  <r>
    <n v="707"/>
    <x v="70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1501829.246386525"/>
  </r>
  <r>
    <n v="708"/>
    <x v="70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61929.93574980416"/>
  </r>
  <r>
    <n v="709"/>
    <x v="708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1"/>
    <m/>
  </r>
  <r>
    <n v="710"/>
    <x v="709"/>
    <x v="2"/>
    <x v="2"/>
    <x v="1"/>
    <x v="2"/>
    <x v="3"/>
    <x v="3"/>
    <x v="3"/>
    <x v="2"/>
    <x v="3"/>
    <x v="3"/>
    <x v="2"/>
    <x v="1"/>
    <x v="1"/>
    <x v="1"/>
    <x v="1"/>
    <x v="6"/>
    <x v="5"/>
    <x v="6"/>
    <x v="1"/>
    <x v="1"/>
    <m/>
  </r>
  <r>
    <n v="711"/>
    <x v="710"/>
    <x v="2"/>
    <x v="2"/>
    <x v="1"/>
    <x v="2"/>
    <x v="3"/>
    <x v="3"/>
    <x v="3"/>
    <x v="2"/>
    <x v="3"/>
    <x v="3"/>
    <x v="2"/>
    <x v="1"/>
    <x v="1"/>
    <x v="1"/>
    <x v="1"/>
    <x v="0"/>
    <x v="8"/>
    <x v="4"/>
    <x v="13"/>
    <x v="8"/>
    <n v="382330.22101871949"/>
  </r>
  <r>
    <n v="712"/>
    <x v="711"/>
    <x v="2"/>
    <x v="2"/>
    <x v="1"/>
    <x v="2"/>
    <x v="3"/>
    <x v="3"/>
    <x v="3"/>
    <x v="2"/>
    <x v="3"/>
    <x v="3"/>
    <x v="2"/>
    <x v="1"/>
    <x v="1"/>
    <x v="1"/>
    <x v="1"/>
    <x v="3"/>
    <x v="1"/>
    <x v="0"/>
    <x v="1"/>
    <x v="1"/>
    <m/>
  </r>
  <r>
    <n v="713"/>
    <x v="712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1"/>
    <m/>
  </r>
  <r>
    <n v="714"/>
    <x v="7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5"/>
    <x v="714"/>
    <x v="2"/>
    <x v="2"/>
    <x v="1"/>
    <x v="2"/>
    <x v="3"/>
    <x v="3"/>
    <x v="3"/>
    <x v="2"/>
    <x v="3"/>
    <x v="3"/>
    <x v="2"/>
    <x v="1"/>
    <x v="1"/>
    <x v="1"/>
    <x v="1"/>
    <x v="3"/>
    <x v="8"/>
    <x v="1"/>
    <x v="1"/>
    <x v="1"/>
    <m/>
  </r>
  <r>
    <n v="716"/>
    <x v="7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7"/>
    <x v="716"/>
    <x v="2"/>
    <x v="2"/>
    <x v="1"/>
    <x v="2"/>
    <x v="3"/>
    <x v="3"/>
    <x v="3"/>
    <x v="2"/>
    <x v="3"/>
    <x v="3"/>
    <x v="2"/>
    <x v="1"/>
    <x v="1"/>
    <x v="1"/>
    <x v="1"/>
    <x v="3"/>
    <x v="1"/>
    <x v="4"/>
    <x v="1"/>
    <x v="1"/>
    <m/>
  </r>
  <r>
    <n v="718"/>
    <x v="71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0"/>
    <x v="0"/>
    <n v="1961709.0788687069"/>
  </r>
  <r>
    <n v="719"/>
    <x v="718"/>
    <x v="2"/>
    <x v="2"/>
    <x v="1"/>
    <x v="2"/>
    <x v="3"/>
    <x v="3"/>
    <x v="3"/>
    <x v="2"/>
    <x v="3"/>
    <x v="3"/>
    <x v="2"/>
    <x v="1"/>
    <x v="1"/>
    <x v="1"/>
    <x v="1"/>
    <x v="9"/>
    <x v="9"/>
    <x v="4"/>
    <x v="7"/>
    <x v="7"/>
    <n v="137922.83890712826"/>
  </r>
  <r>
    <n v="720"/>
    <x v="719"/>
    <x v="2"/>
    <x v="2"/>
    <x v="1"/>
    <x v="2"/>
    <x v="3"/>
    <x v="3"/>
    <x v="3"/>
    <x v="2"/>
    <x v="3"/>
    <x v="3"/>
    <x v="2"/>
    <x v="1"/>
    <x v="1"/>
    <x v="1"/>
    <x v="1"/>
    <x v="0"/>
    <x v="1"/>
    <x v="2"/>
    <x v="1"/>
    <x v="1"/>
    <m/>
  </r>
  <r>
    <n v="721"/>
    <x v="720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83791.7410677454"/>
  </r>
  <r>
    <n v="722"/>
    <x v="72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1"/>
    <x v="1"/>
    <m/>
  </r>
  <r>
    <n v="723"/>
    <x v="722"/>
    <x v="2"/>
    <x v="2"/>
    <x v="1"/>
    <x v="2"/>
    <x v="3"/>
    <x v="3"/>
    <x v="3"/>
    <x v="2"/>
    <x v="3"/>
    <x v="3"/>
    <x v="2"/>
    <x v="1"/>
    <x v="1"/>
    <x v="1"/>
    <x v="1"/>
    <x v="6"/>
    <x v="4"/>
    <x v="3"/>
    <x v="4"/>
    <x v="4"/>
    <n v="117077.42177020671"/>
  </r>
  <r>
    <n v="724"/>
    <x v="72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1"/>
    <m/>
  </r>
  <r>
    <n v="725"/>
    <x v="724"/>
    <x v="2"/>
    <x v="2"/>
    <x v="1"/>
    <x v="2"/>
    <x v="3"/>
    <x v="3"/>
    <x v="3"/>
    <x v="2"/>
    <x v="3"/>
    <x v="3"/>
    <x v="2"/>
    <x v="1"/>
    <x v="1"/>
    <x v="1"/>
    <x v="1"/>
    <x v="9"/>
    <x v="1"/>
    <x v="1"/>
    <x v="1"/>
    <x v="1"/>
    <m/>
  </r>
  <r>
    <n v="726"/>
    <x v="72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367453.30755973741"/>
  </r>
  <r>
    <n v="727"/>
    <x v="72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6780.7432337434"/>
  </r>
  <r>
    <n v="728"/>
    <x v="727"/>
    <x v="2"/>
    <x v="2"/>
    <x v="1"/>
    <x v="2"/>
    <x v="3"/>
    <x v="3"/>
    <x v="3"/>
    <x v="2"/>
    <x v="3"/>
    <x v="3"/>
    <x v="2"/>
    <x v="1"/>
    <x v="1"/>
    <x v="1"/>
    <x v="1"/>
    <x v="2"/>
    <x v="0"/>
    <x v="4"/>
    <x v="1"/>
    <x v="7"/>
    <n v="331388.55150166317"/>
  </r>
  <r>
    <n v="729"/>
    <x v="728"/>
    <x v="2"/>
    <x v="2"/>
    <x v="1"/>
    <x v="2"/>
    <x v="3"/>
    <x v="3"/>
    <x v="3"/>
    <x v="2"/>
    <x v="3"/>
    <x v="3"/>
    <x v="2"/>
    <x v="1"/>
    <x v="1"/>
    <x v="1"/>
    <x v="1"/>
    <x v="2"/>
    <x v="2"/>
    <x v="2"/>
    <x v="2"/>
    <x v="2"/>
    <n v="150756.73572075123"/>
  </r>
  <r>
    <n v="730"/>
    <x v="729"/>
    <x v="2"/>
    <x v="2"/>
    <x v="1"/>
    <x v="2"/>
    <x v="3"/>
    <x v="3"/>
    <x v="3"/>
    <x v="2"/>
    <x v="3"/>
    <x v="3"/>
    <x v="2"/>
    <x v="1"/>
    <x v="1"/>
    <x v="1"/>
    <x v="1"/>
    <x v="3"/>
    <x v="0"/>
    <x v="4"/>
    <x v="7"/>
    <x v="9"/>
    <n v="251386.82089850339"/>
  </r>
  <r>
    <n v="731"/>
    <x v="7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8613.19076277525"/>
  </r>
  <r>
    <n v="732"/>
    <x v="731"/>
    <x v="2"/>
    <x v="2"/>
    <x v="1"/>
    <x v="2"/>
    <x v="3"/>
    <x v="3"/>
    <x v="3"/>
    <x v="2"/>
    <x v="3"/>
    <x v="3"/>
    <x v="2"/>
    <x v="1"/>
    <x v="1"/>
    <x v="1"/>
    <x v="1"/>
    <x v="3"/>
    <x v="7"/>
    <x v="8"/>
    <x v="8"/>
    <x v="8"/>
    <n v="156989.18341818638"/>
  </r>
  <r>
    <n v="733"/>
    <x v="732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670133.19331780938"/>
  </r>
  <r>
    <n v="734"/>
    <x v="733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0"/>
    <x v="1"/>
    <m/>
  </r>
  <r>
    <n v="735"/>
    <x v="7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0966.67527810774"/>
  </r>
  <r>
    <n v="736"/>
    <x v="735"/>
    <x v="2"/>
    <x v="2"/>
    <x v="1"/>
    <x v="2"/>
    <x v="3"/>
    <x v="3"/>
    <x v="3"/>
    <x v="2"/>
    <x v="3"/>
    <x v="3"/>
    <x v="2"/>
    <x v="1"/>
    <x v="1"/>
    <x v="1"/>
    <x v="1"/>
    <x v="2"/>
    <x v="2"/>
    <x v="10"/>
    <x v="11"/>
    <x v="10"/>
    <n v="339702.26898527367"/>
  </r>
  <r>
    <n v="737"/>
    <x v="7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1"/>
    <m/>
  </r>
  <r>
    <n v="738"/>
    <x v="737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282481.77220978955"/>
  </r>
  <r>
    <n v="739"/>
    <x v="738"/>
    <x v="2"/>
    <x v="2"/>
    <x v="1"/>
    <x v="2"/>
    <x v="3"/>
    <x v="3"/>
    <x v="3"/>
    <x v="2"/>
    <x v="3"/>
    <x v="3"/>
    <x v="2"/>
    <x v="1"/>
    <x v="1"/>
    <x v="1"/>
    <x v="1"/>
    <x v="3"/>
    <x v="3"/>
    <x v="3"/>
    <x v="4"/>
    <x v="4"/>
    <n v="164096.62452631799"/>
  </r>
  <r>
    <n v="740"/>
    <x v="739"/>
    <x v="2"/>
    <x v="2"/>
    <x v="1"/>
    <x v="2"/>
    <x v="3"/>
    <x v="3"/>
    <x v="3"/>
    <x v="2"/>
    <x v="3"/>
    <x v="3"/>
    <x v="2"/>
    <x v="1"/>
    <x v="1"/>
    <x v="1"/>
    <x v="1"/>
    <x v="9"/>
    <x v="8"/>
    <x v="1"/>
    <x v="7"/>
    <x v="5"/>
    <n v="846059.11709616578"/>
  </r>
  <r>
    <n v="741"/>
    <x v="74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3"/>
    <x v="3"/>
    <n v="284935.44971643499"/>
  </r>
  <r>
    <n v="742"/>
    <x v="741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45680.96876901051"/>
  </r>
  <r>
    <n v="743"/>
    <x v="742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3"/>
    <x v="3"/>
    <n v="3861582.7872609161"/>
  </r>
  <r>
    <n v="744"/>
    <x v="743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403775.28325177019"/>
  </r>
  <r>
    <n v="745"/>
    <x v="744"/>
    <x v="2"/>
    <x v="2"/>
    <x v="1"/>
    <x v="2"/>
    <x v="3"/>
    <x v="3"/>
    <x v="3"/>
    <x v="2"/>
    <x v="3"/>
    <x v="3"/>
    <x v="2"/>
    <x v="1"/>
    <x v="1"/>
    <x v="1"/>
    <x v="1"/>
    <x v="3"/>
    <x v="3"/>
    <x v="4"/>
    <x v="1"/>
    <x v="1"/>
    <m/>
  </r>
  <r>
    <n v="746"/>
    <x v="745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0"/>
    <n v="129958.42991098635"/>
  </r>
  <r>
    <n v="747"/>
    <x v="74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748"/>
    <x v="747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7"/>
    <x v="0"/>
    <n v="254670.06051177465"/>
  </r>
  <r>
    <n v="749"/>
    <x v="74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3"/>
    <n v="244329.53729962095"/>
  </r>
  <r>
    <n v="750"/>
    <x v="749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3"/>
    <x v="3"/>
    <n v="157139.06062526794"/>
  </r>
  <r>
    <n v="751"/>
    <x v="750"/>
    <x v="2"/>
    <x v="2"/>
    <x v="1"/>
    <x v="2"/>
    <x v="3"/>
    <x v="3"/>
    <x v="3"/>
    <x v="2"/>
    <x v="3"/>
    <x v="3"/>
    <x v="2"/>
    <x v="1"/>
    <x v="1"/>
    <x v="1"/>
    <x v="1"/>
    <x v="9"/>
    <x v="9"/>
    <x v="9"/>
    <x v="9"/>
    <x v="9"/>
    <n v="253957.28047641952"/>
  </r>
  <r>
    <n v="752"/>
    <x v="751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7"/>
    <x v="9"/>
    <n v="148156.23023111257"/>
  </r>
  <r>
    <n v="753"/>
    <x v="752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9"/>
    <x v="9"/>
    <n v="212261.08771517684"/>
  </r>
  <r>
    <n v="754"/>
    <x v="753"/>
    <x v="2"/>
    <x v="2"/>
    <x v="1"/>
    <x v="2"/>
    <x v="3"/>
    <x v="3"/>
    <x v="3"/>
    <x v="2"/>
    <x v="3"/>
    <x v="3"/>
    <x v="2"/>
    <x v="1"/>
    <x v="1"/>
    <x v="1"/>
    <x v="1"/>
    <x v="2"/>
    <x v="3"/>
    <x v="0"/>
    <x v="3"/>
    <x v="3"/>
    <n v="281297.08550275589"/>
  </r>
  <r>
    <n v="755"/>
    <x v="754"/>
    <x v="2"/>
    <x v="2"/>
    <x v="1"/>
    <x v="2"/>
    <x v="3"/>
    <x v="3"/>
    <x v="3"/>
    <x v="2"/>
    <x v="3"/>
    <x v="3"/>
    <x v="2"/>
    <x v="1"/>
    <x v="1"/>
    <x v="1"/>
    <x v="1"/>
    <x v="9"/>
    <x v="9"/>
    <x v="11"/>
    <x v="8"/>
    <x v="8"/>
    <n v="326898.64785226219"/>
  </r>
  <r>
    <n v="756"/>
    <x v="755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5"/>
    <x v="4"/>
    <n v="287521.37747874606"/>
  </r>
  <r>
    <n v="757"/>
    <x v="756"/>
    <x v="2"/>
    <x v="2"/>
    <x v="1"/>
    <x v="2"/>
    <x v="3"/>
    <x v="3"/>
    <x v="3"/>
    <x v="2"/>
    <x v="3"/>
    <x v="3"/>
    <x v="2"/>
    <x v="1"/>
    <x v="1"/>
    <x v="1"/>
    <x v="1"/>
    <x v="12"/>
    <x v="2"/>
    <x v="1"/>
    <x v="1"/>
    <x v="2"/>
    <n v="275700.63958735415"/>
  </r>
  <r>
    <n v="758"/>
    <x v="75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3"/>
    <x v="3"/>
    <n v="247108.58729532425"/>
  </r>
  <r>
    <n v="759"/>
    <x v="758"/>
    <x v="2"/>
    <x v="2"/>
    <x v="1"/>
    <x v="2"/>
    <x v="3"/>
    <x v="3"/>
    <x v="3"/>
    <x v="2"/>
    <x v="3"/>
    <x v="3"/>
    <x v="2"/>
    <x v="1"/>
    <x v="1"/>
    <x v="1"/>
    <x v="1"/>
    <x v="9"/>
    <x v="0"/>
    <x v="1"/>
    <x v="1"/>
    <x v="1"/>
    <m/>
  </r>
  <r>
    <n v="760"/>
    <x v="75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240724.2271047616"/>
  </r>
  <r>
    <n v="761"/>
    <x v="76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17259.02042277403"/>
  </r>
  <r>
    <n v="762"/>
    <x v="76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57116.87009267946"/>
  </r>
  <r>
    <n v="763"/>
    <x v="76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535183.31058271485"/>
  </r>
  <r>
    <n v="764"/>
    <x v="763"/>
    <x v="2"/>
    <x v="2"/>
    <x v="1"/>
    <x v="2"/>
    <x v="3"/>
    <x v="3"/>
    <x v="3"/>
    <x v="2"/>
    <x v="3"/>
    <x v="3"/>
    <x v="2"/>
    <x v="1"/>
    <x v="1"/>
    <x v="1"/>
    <x v="1"/>
    <x v="1"/>
    <x v="8"/>
    <x v="4"/>
    <x v="0"/>
    <x v="0"/>
    <n v="8410565.9120164644"/>
  </r>
  <r>
    <n v="765"/>
    <x v="764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8"/>
    <x v="8"/>
    <n v="231155.29330730825"/>
  </r>
  <r>
    <n v="766"/>
    <x v="765"/>
    <x v="2"/>
    <x v="2"/>
    <x v="1"/>
    <x v="2"/>
    <x v="3"/>
    <x v="3"/>
    <x v="3"/>
    <x v="2"/>
    <x v="3"/>
    <x v="3"/>
    <x v="2"/>
    <x v="1"/>
    <x v="1"/>
    <x v="1"/>
    <x v="1"/>
    <x v="1"/>
    <x v="3"/>
    <x v="5"/>
    <x v="2"/>
    <x v="2"/>
    <n v="438365.92514240526"/>
  </r>
  <r>
    <n v="767"/>
    <x v="76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1"/>
    <m/>
  </r>
  <r>
    <n v="768"/>
    <x v="767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69"/>
    <x v="768"/>
    <x v="2"/>
    <x v="2"/>
    <x v="1"/>
    <x v="2"/>
    <x v="3"/>
    <x v="3"/>
    <x v="3"/>
    <x v="2"/>
    <x v="3"/>
    <x v="3"/>
    <x v="2"/>
    <x v="1"/>
    <x v="1"/>
    <x v="1"/>
    <x v="1"/>
    <x v="1"/>
    <x v="9"/>
    <x v="1"/>
    <x v="0"/>
    <x v="7"/>
    <n v="198322.23442255936"/>
  </r>
  <r>
    <n v="770"/>
    <x v="76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042119.7208105171"/>
  </r>
  <r>
    <n v="771"/>
    <x v="770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21622.58147722861"/>
  </r>
  <r>
    <n v="772"/>
    <x v="771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73"/>
    <x v="772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3"/>
    <n v="511237.07320081501"/>
  </r>
  <r>
    <n v="774"/>
    <x v="773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3"/>
    <n v="254394.26599185177"/>
  </r>
  <r>
    <n v="775"/>
    <x v="774"/>
    <x v="2"/>
    <x v="2"/>
    <x v="1"/>
    <x v="2"/>
    <x v="3"/>
    <x v="3"/>
    <x v="3"/>
    <x v="2"/>
    <x v="3"/>
    <x v="3"/>
    <x v="2"/>
    <x v="1"/>
    <x v="1"/>
    <x v="1"/>
    <x v="1"/>
    <x v="1"/>
    <x v="0"/>
    <x v="0"/>
    <x v="0"/>
    <x v="3"/>
    <n v="2034402.4642741005"/>
  </r>
  <r>
    <n v="776"/>
    <x v="775"/>
    <x v="2"/>
    <x v="2"/>
    <x v="1"/>
    <x v="2"/>
    <x v="3"/>
    <x v="3"/>
    <x v="3"/>
    <x v="2"/>
    <x v="3"/>
    <x v="3"/>
    <x v="2"/>
    <x v="1"/>
    <x v="1"/>
    <x v="1"/>
    <x v="1"/>
    <x v="1"/>
    <x v="0"/>
    <x v="11"/>
    <x v="1"/>
    <x v="1"/>
    <m/>
  </r>
  <r>
    <n v="777"/>
    <x v="77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82384.48772923485"/>
  </r>
  <r>
    <n v="778"/>
    <x v="777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305943.41758559085"/>
  </r>
  <r>
    <n v="779"/>
    <x v="778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18824.31094038603"/>
  </r>
  <r>
    <n v="780"/>
    <x v="779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3"/>
    <x v="0"/>
    <n v="122071.68591168552"/>
  </r>
  <r>
    <n v="781"/>
    <x v="780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2"/>
    <n v="108096.36688152059"/>
  </r>
  <r>
    <n v="782"/>
    <x v="781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1"/>
    <m/>
  </r>
  <r>
    <n v="783"/>
    <x v="782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7"/>
    <n v="297907.92405077902"/>
  </r>
  <r>
    <n v="784"/>
    <x v="783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568.68705821547"/>
  </r>
  <r>
    <n v="785"/>
    <x v="784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1"/>
    <x v="1"/>
    <m/>
  </r>
  <r>
    <n v="786"/>
    <x v="785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0"/>
    <x v="7"/>
    <n v="841006.12533147924"/>
  </r>
  <r>
    <n v="787"/>
    <x v="786"/>
    <x v="2"/>
    <x v="2"/>
    <x v="1"/>
    <x v="2"/>
    <x v="3"/>
    <x v="3"/>
    <x v="3"/>
    <x v="2"/>
    <x v="3"/>
    <x v="3"/>
    <x v="2"/>
    <x v="1"/>
    <x v="1"/>
    <x v="1"/>
    <x v="1"/>
    <x v="1"/>
    <x v="2"/>
    <x v="2"/>
    <x v="2"/>
    <x v="1"/>
    <m/>
  </r>
  <r>
    <n v="788"/>
    <x v="787"/>
    <x v="2"/>
    <x v="2"/>
    <x v="1"/>
    <x v="2"/>
    <x v="3"/>
    <x v="3"/>
    <x v="3"/>
    <x v="2"/>
    <x v="3"/>
    <x v="3"/>
    <x v="2"/>
    <x v="1"/>
    <x v="1"/>
    <x v="1"/>
    <x v="1"/>
    <x v="1"/>
    <x v="8"/>
    <x v="0"/>
    <x v="0"/>
    <x v="7"/>
    <n v="188766.97969300565"/>
  </r>
  <r>
    <n v="789"/>
    <x v="788"/>
    <x v="2"/>
    <x v="2"/>
    <x v="1"/>
    <x v="2"/>
    <x v="3"/>
    <x v="3"/>
    <x v="3"/>
    <x v="2"/>
    <x v="3"/>
    <x v="3"/>
    <x v="2"/>
    <x v="1"/>
    <x v="1"/>
    <x v="1"/>
    <x v="1"/>
    <x v="1"/>
    <x v="0"/>
    <x v="2"/>
    <x v="3"/>
    <x v="3"/>
    <n v="684377.903970454"/>
  </r>
  <r>
    <n v="790"/>
    <x v="78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821315.56562346022"/>
  </r>
  <r>
    <n v="791"/>
    <x v="790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729.37740273296"/>
  </r>
  <r>
    <n v="792"/>
    <x v="791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141688.36046954271"/>
  </r>
  <r>
    <n v="793"/>
    <x v="792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3"/>
    <x v="3"/>
    <n v="960182.50572998542"/>
  </r>
  <r>
    <n v="794"/>
    <x v="793"/>
    <x v="2"/>
    <x v="2"/>
    <x v="1"/>
    <x v="2"/>
    <x v="3"/>
    <x v="3"/>
    <x v="3"/>
    <x v="2"/>
    <x v="3"/>
    <x v="3"/>
    <x v="2"/>
    <x v="1"/>
    <x v="1"/>
    <x v="1"/>
    <x v="1"/>
    <x v="1"/>
    <x v="1"/>
    <x v="9"/>
    <x v="5"/>
    <x v="9"/>
    <n v="180437.62183506083"/>
  </r>
  <r>
    <n v="795"/>
    <x v="794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1"/>
    <x v="7"/>
    <n v="121748.86742391901"/>
  </r>
  <r>
    <n v="796"/>
    <x v="795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9"/>
    <n v="648043.37063237489"/>
  </r>
  <r>
    <n v="797"/>
    <x v="796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457985.27403578308"/>
  </r>
  <r>
    <n v="798"/>
    <x v="797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261973.35068796473"/>
  </r>
  <r>
    <n v="799"/>
    <x v="798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0769.2043750071"/>
  </r>
  <r>
    <n v="800"/>
    <x v="79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326368.79790635512"/>
  </r>
  <r>
    <n v="801"/>
    <x v="800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2"/>
    <x v="3"/>
    <n v="445754.62476010114"/>
  </r>
  <r>
    <n v="802"/>
    <x v="801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149860.96157744181"/>
  </r>
  <r>
    <n v="803"/>
    <x v="802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3"/>
    <n v="116199.1879219674"/>
  </r>
  <r>
    <n v="804"/>
    <x v="803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7993.8838409505"/>
  </r>
  <r>
    <n v="805"/>
    <x v="804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3"/>
    <n v="530491.33557975327"/>
  </r>
  <r>
    <n v="806"/>
    <x v="805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352466.6941925734"/>
  </r>
  <r>
    <n v="807"/>
    <x v="806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0"/>
    <x v="7"/>
    <n v="292675.65346847277"/>
  </r>
  <r>
    <n v="808"/>
    <x v="807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252932.32653306751"/>
  </r>
  <r>
    <n v="809"/>
    <x v="808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40288.01292172735"/>
  </r>
  <r>
    <n v="810"/>
    <x v="809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0"/>
    <n v="992689.92803475657"/>
  </r>
  <r>
    <n v="811"/>
    <x v="810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48527.58316266787"/>
  </r>
  <r>
    <n v="812"/>
    <x v="811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12007.93692459261"/>
  </r>
  <r>
    <n v="813"/>
    <x v="812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1"/>
    <x v="1"/>
    <m/>
  </r>
  <r>
    <n v="814"/>
    <x v="8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17014.52123774895"/>
  </r>
  <r>
    <n v="815"/>
    <x v="8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687562.39442194905"/>
  </r>
  <r>
    <n v="816"/>
    <x v="8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9976907.9483182952"/>
  </r>
  <r>
    <n v="817"/>
    <x v="8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18"/>
    <x v="8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130460.37251102962"/>
  </r>
  <r>
    <n v="819"/>
    <x v="8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73770.29222432332"/>
  </r>
  <r>
    <n v="820"/>
    <x v="8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10046.28264069486"/>
  </r>
  <r>
    <n v="821"/>
    <x v="8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125272.5443764704"/>
  </r>
  <r>
    <n v="822"/>
    <x v="8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23"/>
    <x v="8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0"/>
    <n v="263728.03146354243"/>
  </r>
  <r>
    <n v="824"/>
    <x v="8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802360.7549392111"/>
  </r>
  <r>
    <n v="825"/>
    <x v="8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3"/>
    <n v="473399.00837007852"/>
  </r>
  <r>
    <n v="826"/>
    <x v="8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1"/>
    <m/>
  </r>
  <r>
    <n v="827"/>
    <x v="8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67076.47445462181"/>
  </r>
  <r>
    <n v="828"/>
    <x v="8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7"/>
    <n v="129512.54043040622"/>
  </r>
  <r>
    <n v="829"/>
    <x v="8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0"/>
    <n v="185805.47212038565"/>
  </r>
  <r>
    <n v="830"/>
    <x v="8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23936.4775899216"/>
  </r>
  <r>
    <n v="831"/>
    <x v="8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27024.38436230199"/>
  </r>
  <r>
    <n v="832"/>
    <x v="8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33"/>
    <x v="8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9"/>
    <n v="428211.51641021878"/>
  </r>
  <r>
    <n v="834"/>
    <x v="8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49119.52762792056"/>
  </r>
  <r>
    <n v="835"/>
    <x v="8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52738.59250446287"/>
  </r>
  <r>
    <n v="836"/>
    <x v="8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7"/>
    <n v="116351.93529717707"/>
  </r>
  <r>
    <n v="837"/>
    <x v="8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6592.48993394032"/>
  </r>
  <r>
    <n v="838"/>
    <x v="8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7849.29847293596"/>
  </r>
  <r>
    <n v="839"/>
    <x v="8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389498.84172410012"/>
  </r>
  <r>
    <n v="840"/>
    <x v="8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794776.91652700445"/>
  </r>
  <r>
    <n v="841"/>
    <x v="8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590929.62763628806"/>
  </r>
  <r>
    <n v="842"/>
    <x v="8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1455.21216584436"/>
  </r>
  <r>
    <n v="843"/>
    <x v="8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18710.19607293297"/>
  </r>
  <r>
    <n v="844"/>
    <x v="8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3483.88959239621"/>
  </r>
  <r>
    <n v="845"/>
    <x v="8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175255.736403344"/>
  </r>
  <r>
    <n v="846"/>
    <x v="8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92886.7967921948"/>
  </r>
  <r>
    <n v="847"/>
    <x v="8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6830.2767877584"/>
  </r>
  <r>
    <n v="848"/>
    <x v="8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143876.32681139116"/>
  </r>
  <r>
    <n v="849"/>
    <x v="8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0"/>
    <x v="8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318125.83654752752"/>
  </r>
  <r>
    <n v="851"/>
    <x v="8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355492.12283276266"/>
  </r>
  <r>
    <n v="852"/>
    <x v="8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25711.40392601579"/>
  </r>
  <r>
    <n v="853"/>
    <x v="8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73380.25505688234"/>
  </r>
  <r>
    <n v="854"/>
    <x v="8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20312.00026370742"/>
  </r>
  <r>
    <n v="855"/>
    <x v="8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8531.56973089748"/>
  </r>
  <r>
    <n v="856"/>
    <x v="8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03599.49213282959"/>
  </r>
  <r>
    <n v="857"/>
    <x v="8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422170.70941182959"/>
  </r>
  <r>
    <n v="858"/>
    <x v="8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38106.9789653995"/>
  </r>
  <r>
    <n v="859"/>
    <x v="8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8"/>
    <n v="374182.08411485929"/>
  </r>
  <r>
    <n v="860"/>
    <x v="8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9"/>
    <n v="113298.30021249058"/>
  </r>
  <r>
    <n v="861"/>
    <x v="8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2"/>
    <x v="8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3"/>
    <x v="8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4"/>
    <x v="8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5"/>
    <x v="8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6"/>
    <x v="8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7"/>
    <x v="8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8"/>
    <x v="8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9"/>
    <x v="8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0"/>
    <x v="8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1"/>
    <x v="8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2"/>
    <x v="8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3"/>
    <x v="8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4"/>
    <x v="8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5"/>
    <x v="8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6"/>
    <x v="8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7"/>
    <x v="8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8"/>
    <x v="8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9"/>
    <x v="878"/>
    <x v="2"/>
    <x v="2"/>
    <x v="0"/>
    <x v="0"/>
    <x v="0"/>
    <x v="0"/>
    <x v="2"/>
    <x v="6"/>
    <x v="2"/>
    <x v="6"/>
    <x v="4"/>
    <x v="2"/>
    <x v="3"/>
    <x v="7"/>
    <x v="3"/>
    <x v="3"/>
    <x v="3"/>
    <x v="2"/>
    <x v="3"/>
    <x v="7"/>
    <n v="158105.18315196745"/>
  </r>
  <r>
    <n v="880"/>
    <x v="879"/>
    <x v="2"/>
    <x v="2"/>
    <x v="0"/>
    <x v="0"/>
    <x v="5"/>
    <x v="2"/>
    <x v="9"/>
    <x v="1"/>
    <x v="5"/>
    <x v="8"/>
    <x v="8"/>
    <x v="0"/>
    <x v="7"/>
    <x v="5"/>
    <x v="0"/>
    <x v="9"/>
    <x v="8"/>
    <x v="11"/>
    <x v="7"/>
    <x v="9"/>
    <n v="345952.60520431603"/>
  </r>
  <r>
    <n v="881"/>
    <x v="880"/>
    <x v="2"/>
    <x v="2"/>
    <x v="1"/>
    <x v="2"/>
    <x v="3"/>
    <x v="3"/>
    <x v="3"/>
    <x v="2"/>
    <x v="3"/>
    <x v="3"/>
    <x v="8"/>
    <x v="1"/>
    <x v="3"/>
    <x v="5"/>
    <x v="10"/>
    <x v="10"/>
    <x v="8"/>
    <x v="4"/>
    <x v="1"/>
    <x v="1"/>
    <m/>
  </r>
  <r>
    <n v="882"/>
    <x v="881"/>
    <x v="0"/>
    <x v="11"/>
    <x v="2"/>
    <x v="3"/>
    <x v="4"/>
    <x v="4"/>
    <x v="5"/>
    <x v="6"/>
    <x v="4"/>
    <x v="4"/>
    <x v="9"/>
    <x v="3"/>
    <x v="9"/>
    <x v="4"/>
    <x v="4"/>
    <x v="4"/>
    <x v="4"/>
    <x v="3"/>
    <x v="4"/>
    <x v="4"/>
    <n v="7832391.9835743932"/>
  </r>
  <r>
    <n v="883"/>
    <x v="882"/>
    <x v="2"/>
    <x v="2"/>
    <x v="1"/>
    <x v="2"/>
    <x v="3"/>
    <x v="3"/>
    <x v="3"/>
    <x v="1"/>
    <x v="4"/>
    <x v="6"/>
    <x v="8"/>
    <x v="4"/>
    <x v="2"/>
    <x v="3"/>
    <x v="6"/>
    <x v="0"/>
    <x v="0"/>
    <x v="0"/>
    <x v="0"/>
    <x v="7"/>
    <n v="177186.77966010291"/>
  </r>
  <r>
    <n v="884"/>
    <x v="883"/>
    <x v="6"/>
    <x v="7"/>
    <x v="3"/>
    <x v="4"/>
    <x v="5"/>
    <x v="7"/>
    <x v="0"/>
    <x v="7"/>
    <x v="8"/>
    <x v="9"/>
    <x v="10"/>
    <x v="10"/>
    <x v="10"/>
    <x v="10"/>
    <x v="10"/>
    <x v="10"/>
    <x v="9"/>
    <x v="11"/>
    <x v="9"/>
    <x v="5"/>
    <n v="120421.74101358032"/>
  </r>
  <r>
    <n v="885"/>
    <x v="884"/>
    <x v="2"/>
    <x v="2"/>
    <x v="1"/>
    <x v="2"/>
    <x v="3"/>
    <x v="3"/>
    <x v="3"/>
    <x v="2"/>
    <x v="4"/>
    <x v="6"/>
    <x v="4"/>
    <x v="6"/>
    <x v="3"/>
    <x v="3"/>
    <x v="10"/>
    <x v="10"/>
    <x v="8"/>
    <x v="9"/>
    <x v="7"/>
    <x v="0"/>
    <n v="150103.30344570099"/>
  </r>
  <r>
    <n v="886"/>
    <x v="885"/>
    <x v="4"/>
    <x v="7"/>
    <x v="3"/>
    <x v="4"/>
    <x v="8"/>
    <x v="5"/>
    <x v="5"/>
    <x v="6"/>
    <x v="2"/>
    <x v="6"/>
    <x v="4"/>
    <x v="2"/>
    <x v="3"/>
    <x v="7"/>
    <x v="3"/>
    <x v="3"/>
    <x v="3"/>
    <x v="2"/>
    <x v="0"/>
    <x v="5"/>
    <n v="2100731.8418637854"/>
  </r>
  <r>
    <n v="887"/>
    <x v="886"/>
    <x v="4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88"/>
    <x v="887"/>
    <x v="2"/>
    <x v="2"/>
    <x v="1"/>
    <x v="2"/>
    <x v="3"/>
    <x v="3"/>
    <x v="3"/>
    <x v="6"/>
    <x v="5"/>
    <x v="5"/>
    <x v="4"/>
    <x v="6"/>
    <x v="7"/>
    <x v="3"/>
    <x v="0"/>
    <x v="0"/>
    <x v="8"/>
    <x v="9"/>
    <x v="5"/>
    <x v="7"/>
    <n v="110909.08378264075"/>
  </r>
  <r>
    <n v="889"/>
    <x v="888"/>
    <x v="2"/>
    <x v="2"/>
    <x v="1"/>
    <x v="2"/>
    <x v="3"/>
    <x v="3"/>
    <x v="9"/>
    <x v="12"/>
    <x v="11"/>
    <x v="6"/>
    <x v="4"/>
    <x v="3"/>
    <x v="0"/>
    <x v="0"/>
    <x v="6"/>
    <x v="2"/>
    <x v="1"/>
    <x v="1"/>
    <x v="1"/>
    <x v="1"/>
    <m/>
  </r>
  <r>
    <n v="890"/>
    <x v="8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1"/>
    <x v="8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2"/>
    <x v="8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3"/>
    <x v="8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4"/>
    <x v="8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5"/>
    <x v="8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6"/>
    <x v="8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7"/>
    <x v="8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8"/>
    <x v="8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9"/>
    <x v="8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0"/>
    <x v="8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1"/>
    <x v="9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2"/>
    <x v="9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3"/>
    <x v="9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4"/>
    <x v="9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5"/>
    <x v="9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6"/>
    <x v="9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7"/>
    <x v="9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8"/>
    <x v="9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9"/>
    <x v="9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0"/>
    <x v="9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1"/>
    <x v="9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2"/>
    <x v="9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3"/>
    <x v="9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4"/>
    <x v="9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5"/>
    <x v="9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6"/>
    <x v="9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7"/>
    <x v="9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8"/>
    <x v="9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9"/>
    <x v="9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0"/>
    <x v="9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1"/>
    <x v="9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2"/>
    <x v="9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3"/>
    <x v="9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4"/>
    <x v="9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5"/>
    <x v="9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6"/>
    <x v="9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7"/>
    <x v="9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8"/>
    <x v="9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9"/>
    <x v="9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0"/>
    <x v="9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1"/>
    <x v="9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2"/>
    <x v="9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3"/>
    <x v="9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4"/>
    <x v="9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5"/>
    <x v="9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6"/>
    <x v="9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7"/>
    <x v="9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8"/>
    <x v="9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9"/>
    <x v="9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0"/>
    <x v="9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1"/>
    <x v="9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2"/>
    <x v="9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3"/>
    <x v="9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4"/>
    <x v="9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5"/>
    <x v="9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6"/>
    <x v="9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7"/>
    <x v="9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8"/>
    <x v="9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9"/>
    <x v="9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0"/>
    <x v="9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1"/>
    <x v="9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2"/>
    <x v="9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3"/>
    <x v="9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4"/>
    <x v="9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5"/>
    <x v="9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6"/>
    <x v="9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7"/>
    <x v="9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8"/>
    <x v="9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9"/>
    <x v="9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0"/>
    <x v="9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1"/>
    <x v="9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2"/>
    <x v="9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3"/>
    <x v="9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4"/>
    <x v="9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5"/>
    <x v="9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6"/>
    <x v="9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7"/>
    <x v="9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8"/>
    <x v="9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9"/>
    <x v="9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0"/>
    <x v="9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1"/>
    <x v="9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2"/>
    <x v="9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3"/>
    <x v="9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4"/>
    <x v="9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5"/>
    <x v="9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6"/>
    <x v="9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7"/>
    <x v="9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8"/>
    <x v="9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9"/>
    <x v="9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0"/>
    <x v="9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1"/>
    <x v="9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2"/>
    <x v="9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3"/>
    <x v="9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4"/>
    <x v="9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5"/>
    <x v="9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6"/>
    <x v="9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7"/>
    <x v="9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8"/>
    <x v="9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9"/>
    <x v="9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0"/>
    <x v="9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1"/>
    <x v="9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2"/>
    <x v="9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3"/>
    <x v="9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4"/>
    <x v="9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5"/>
    <x v="9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6"/>
    <x v="9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7"/>
    <x v="9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8"/>
    <x v="9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9"/>
    <x v="9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0"/>
    <x v="9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1"/>
    <x v="10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2"/>
    <x v="10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3"/>
    <x v="10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4"/>
    <x v="10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5"/>
    <x v="10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6"/>
    <x v="10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7"/>
    <x v="10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8"/>
    <x v="10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9"/>
    <x v="10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0"/>
    <x v="10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1"/>
    <x v="10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2"/>
    <x v="10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3"/>
    <x v="10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4"/>
    <x v="10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5"/>
    <x v="10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6"/>
    <x v="10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7"/>
    <x v="1016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19450.82890315991"/>
  </r>
  <r>
    <n v="1018"/>
    <x v="1017"/>
    <x v="2"/>
    <x v="2"/>
    <x v="1"/>
    <x v="2"/>
    <x v="3"/>
    <x v="3"/>
    <x v="3"/>
    <x v="2"/>
    <x v="3"/>
    <x v="6"/>
    <x v="3"/>
    <x v="4"/>
    <x v="3"/>
    <x v="5"/>
    <x v="3"/>
    <x v="0"/>
    <x v="0"/>
    <x v="0"/>
    <x v="3"/>
    <x v="3"/>
    <n v="321949.43454865244"/>
  </r>
  <r>
    <n v="1019"/>
    <x v="1018"/>
    <x v="2"/>
    <x v="2"/>
    <x v="1"/>
    <x v="2"/>
    <x v="3"/>
    <x v="3"/>
    <x v="3"/>
    <x v="2"/>
    <x v="3"/>
    <x v="3"/>
    <x v="2"/>
    <x v="6"/>
    <x v="3"/>
    <x v="3"/>
    <x v="1"/>
    <x v="3"/>
    <x v="3"/>
    <x v="2"/>
    <x v="3"/>
    <x v="7"/>
    <n v="107894.70320317696"/>
  </r>
  <r>
    <n v="1020"/>
    <x v="1019"/>
    <x v="2"/>
    <x v="2"/>
    <x v="1"/>
    <x v="2"/>
    <x v="3"/>
    <x v="3"/>
    <x v="5"/>
    <x v="3"/>
    <x v="3"/>
    <x v="3"/>
    <x v="2"/>
    <x v="1"/>
    <x v="1"/>
    <x v="1"/>
    <x v="6"/>
    <x v="0"/>
    <x v="3"/>
    <x v="2"/>
    <x v="7"/>
    <x v="0"/>
    <n v="463291.90209294826"/>
  </r>
  <r>
    <n v="1021"/>
    <x v="1020"/>
    <x v="2"/>
    <x v="2"/>
    <x v="1"/>
    <x v="2"/>
    <x v="3"/>
    <x v="3"/>
    <x v="3"/>
    <x v="2"/>
    <x v="3"/>
    <x v="3"/>
    <x v="7"/>
    <x v="8"/>
    <x v="11"/>
    <x v="7"/>
    <x v="2"/>
    <x v="2"/>
    <x v="2"/>
    <x v="2"/>
    <x v="2"/>
    <x v="2"/>
    <n v="143788.61639860622"/>
  </r>
  <r>
    <n v="1022"/>
    <x v="10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3"/>
    <x v="1022"/>
    <x v="2"/>
    <x v="2"/>
    <x v="1"/>
    <x v="2"/>
    <x v="3"/>
    <x v="5"/>
    <x v="5"/>
    <x v="6"/>
    <x v="2"/>
    <x v="8"/>
    <x v="8"/>
    <x v="4"/>
    <x v="1"/>
    <x v="1"/>
    <x v="1"/>
    <x v="0"/>
    <x v="0"/>
    <x v="0"/>
    <x v="0"/>
    <x v="7"/>
    <n v="112034.50966118748"/>
  </r>
  <r>
    <n v="1024"/>
    <x v="1023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0"/>
    <x v="3"/>
    <n v="119428.71080020462"/>
  </r>
  <r>
    <n v="1025"/>
    <x v="10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6"/>
    <x v="1025"/>
    <x v="0"/>
    <x v="4"/>
    <x v="10"/>
    <x v="10"/>
    <x v="9"/>
    <x v="8"/>
    <x v="2"/>
    <x v="8"/>
    <x v="4"/>
    <x v="8"/>
    <x v="3"/>
    <x v="4"/>
    <x v="3"/>
    <x v="5"/>
    <x v="10"/>
    <x v="0"/>
    <x v="3"/>
    <x v="2"/>
    <x v="3"/>
    <x v="3"/>
    <n v="119945.43493030228"/>
  </r>
  <r>
    <n v="1027"/>
    <x v="1026"/>
    <x v="0"/>
    <x v="0"/>
    <x v="3"/>
    <x v="4"/>
    <x v="5"/>
    <x v="4"/>
    <x v="5"/>
    <x v="12"/>
    <x v="11"/>
    <x v="10"/>
    <x v="9"/>
    <x v="11"/>
    <x v="12"/>
    <x v="8"/>
    <x v="8"/>
    <x v="9"/>
    <x v="9"/>
    <x v="9"/>
    <x v="9"/>
    <x v="9"/>
    <n v="197398.48153162136"/>
  </r>
  <r>
    <n v="1028"/>
    <x v="1027"/>
    <x v="11"/>
    <x v="2"/>
    <x v="10"/>
    <x v="10"/>
    <x v="6"/>
    <x v="4"/>
    <x v="5"/>
    <x v="4"/>
    <x v="7"/>
    <x v="4"/>
    <x v="4"/>
    <x v="4"/>
    <x v="3"/>
    <x v="5"/>
    <x v="0"/>
    <x v="3"/>
    <x v="3"/>
    <x v="2"/>
    <x v="3"/>
    <x v="3"/>
    <n v="135728.36877802198"/>
  </r>
  <r>
    <n v="1029"/>
    <x v="1028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53435.45418125263"/>
  </r>
  <r>
    <n v="1030"/>
    <x v="1029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26809.8423074067"/>
  </r>
  <r>
    <n v="1031"/>
    <x v="10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794298.9144430497"/>
  </r>
  <r>
    <n v="1032"/>
    <x v="103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42094.99303467761"/>
  </r>
  <r>
    <n v="1033"/>
    <x v="103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3419.48045382841"/>
  </r>
  <r>
    <n v="1034"/>
    <x v="103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93378.88540198328"/>
  </r>
  <r>
    <n v="1035"/>
    <x v="10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56985.17654444376"/>
  </r>
  <r>
    <n v="1036"/>
    <x v="1035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100116.493970979"/>
  </r>
  <r>
    <n v="1037"/>
    <x v="10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691245.59528985131"/>
  </r>
  <r>
    <n v="1038"/>
    <x v="103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00543.04564966654"/>
  </r>
  <r>
    <n v="1039"/>
    <x v="1038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20599.6944582407"/>
  </r>
  <r>
    <n v="1040"/>
    <x v="10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66755.80695639396"/>
  </r>
  <r>
    <n v="1041"/>
    <x v="10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2"/>
    <x v="104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870862.35014208418"/>
  </r>
  <r>
    <n v="1043"/>
    <x v="1042"/>
    <x v="0"/>
    <x v="11"/>
    <x v="3"/>
    <x v="4"/>
    <x v="4"/>
    <x v="5"/>
    <x v="4"/>
    <x v="4"/>
    <x v="3"/>
    <x v="3"/>
    <x v="2"/>
    <x v="1"/>
    <x v="1"/>
    <x v="1"/>
    <x v="1"/>
    <x v="1"/>
    <x v="1"/>
    <x v="1"/>
    <x v="1"/>
    <x v="1"/>
    <m/>
  </r>
  <r>
    <n v="1044"/>
    <x v="1043"/>
    <x v="6"/>
    <x v="4"/>
    <x v="1"/>
    <x v="10"/>
    <x v="6"/>
    <x v="4"/>
    <x v="4"/>
    <x v="8"/>
    <x v="7"/>
    <x v="4"/>
    <x v="7"/>
    <x v="2"/>
    <x v="6"/>
    <x v="2"/>
    <x v="2"/>
    <x v="3"/>
    <x v="2"/>
    <x v="10"/>
    <x v="2"/>
    <x v="2"/>
    <n v="114098.66456342922"/>
  </r>
  <r>
    <n v="1045"/>
    <x v="1044"/>
    <x v="2"/>
    <x v="2"/>
    <x v="1"/>
    <x v="2"/>
    <x v="3"/>
    <x v="3"/>
    <x v="3"/>
    <x v="3"/>
    <x v="4"/>
    <x v="6"/>
    <x v="4"/>
    <x v="4"/>
    <x v="3"/>
    <x v="3"/>
    <x v="3"/>
    <x v="9"/>
    <x v="8"/>
    <x v="4"/>
    <x v="7"/>
    <x v="0"/>
    <n v="133062.51784996068"/>
  </r>
  <r>
    <n v="1046"/>
    <x v="1045"/>
    <x v="2"/>
    <x v="2"/>
    <x v="1"/>
    <x v="2"/>
    <x v="3"/>
    <x v="3"/>
    <x v="4"/>
    <x v="6"/>
    <x v="8"/>
    <x v="0"/>
    <x v="6"/>
    <x v="6"/>
    <x v="0"/>
    <x v="3"/>
    <x v="0"/>
    <x v="9"/>
    <x v="9"/>
    <x v="11"/>
    <x v="8"/>
    <x v="8"/>
    <n v="490461.16726755002"/>
  </r>
  <r>
    <n v="1047"/>
    <x v="1046"/>
    <x v="2"/>
    <x v="2"/>
    <x v="1"/>
    <x v="2"/>
    <x v="3"/>
    <x v="3"/>
    <x v="5"/>
    <x v="6"/>
    <x v="8"/>
    <x v="0"/>
    <x v="6"/>
    <x v="0"/>
    <x v="0"/>
    <x v="5"/>
    <x v="0"/>
    <x v="9"/>
    <x v="9"/>
    <x v="11"/>
    <x v="8"/>
    <x v="8"/>
    <n v="205305.75638887906"/>
  </r>
  <r>
    <n v="1048"/>
    <x v="1047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23540.49568125373"/>
  </r>
  <r>
    <n v="1049"/>
    <x v="1048"/>
    <x v="2"/>
    <x v="2"/>
    <x v="1"/>
    <x v="2"/>
    <x v="3"/>
    <x v="5"/>
    <x v="4"/>
    <x v="6"/>
    <x v="5"/>
    <x v="6"/>
    <x v="8"/>
    <x v="0"/>
    <x v="7"/>
    <x v="5"/>
    <x v="0"/>
    <x v="0"/>
    <x v="0"/>
    <x v="4"/>
    <x v="7"/>
    <x v="0"/>
    <n v="200363.75021732657"/>
  </r>
  <r>
    <n v="1050"/>
    <x v="104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2043830.1550712578"/>
  </r>
  <r>
    <n v="1051"/>
    <x v="1050"/>
    <x v="2"/>
    <x v="2"/>
    <x v="1"/>
    <x v="2"/>
    <x v="3"/>
    <x v="3"/>
    <x v="3"/>
    <x v="2"/>
    <x v="3"/>
    <x v="3"/>
    <x v="2"/>
    <x v="1"/>
    <x v="1"/>
    <x v="1"/>
    <x v="1"/>
    <x v="1"/>
    <x v="11"/>
    <x v="10"/>
    <x v="11"/>
    <x v="10"/>
    <n v="435568.74059459468"/>
  </r>
  <r>
    <n v="1052"/>
    <x v="10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3"/>
    <x v="105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9"/>
    <n v="260653.02566221671"/>
  </r>
  <r>
    <n v="1054"/>
    <x v="10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5"/>
    <x v="10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6"/>
    <x v="1055"/>
    <x v="2"/>
    <x v="2"/>
    <x v="7"/>
    <x v="7"/>
    <x v="5"/>
    <x v="7"/>
    <x v="2"/>
    <x v="1"/>
    <x v="5"/>
    <x v="8"/>
    <x v="0"/>
    <x v="0"/>
    <x v="1"/>
    <x v="1"/>
    <x v="10"/>
    <x v="9"/>
    <x v="0"/>
    <x v="1"/>
    <x v="1"/>
    <x v="2"/>
    <n v="185222.14844826132"/>
  </r>
  <r>
    <n v="1057"/>
    <x v="1056"/>
    <x v="2"/>
    <x v="2"/>
    <x v="1"/>
    <x v="2"/>
    <x v="3"/>
    <x v="3"/>
    <x v="3"/>
    <x v="4"/>
    <x v="4"/>
    <x v="2"/>
    <x v="3"/>
    <x v="2"/>
    <x v="2"/>
    <x v="2"/>
    <x v="2"/>
    <x v="2"/>
    <x v="2"/>
    <x v="5"/>
    <x v="2"/>
    <x v="2"/>
    <n v="176872.16389045285"/>
  </r>
  <r>
    <n v="1058"/>
    <x v="10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227590.71841668003"/>
  </r>
  <r>
    <n v="1059"/>
    <x v="1058"/>
    <x v="2"/>
    <x v="2"/>
    <x v="1"/>
    <x v="2"/>
    <x v="3"/>
    <x v="3"/>
    <x v="3"/>
    <x v="2"/>
    <x v="3"/>
    <x v="3"/>
    <x v="2"/>
    <x v="1"/>
    <x v="1"/>
    <x v="1"/>
    <x v="1"/>
    <x v="10"/>
    <x v="1"/>
    <x v="1"/>
    <x v="1"/>
    <x v="3"/>
    <n v="153938.8376285751"/>
  </r>
  <r>
    <n v="1060"/>
    <x v="1059"/>
    <x v="2"/>
    <x v="2"/>
    <x v="1"/>
    <x v="2"/>
    <x v="3"/>
    <x v="7"/>
    <x v="6"/>
    <x v="5"/>
    <x v="6"/>
    <x v="7"/>
    <x v="5"/>
    <x v="5"/>
    <x v="4"/>
    <x v="4"/>
    <x v="4"/>
    <x v="4"/>
    <x v="4"/>
    <x v="3"/>
    <x v="4"/>
    <x v="4"/>
    <n v="1009542.3290224387"/>
  </r>
  <r>
    <n v="1061"/>
    <x v="1060"/>
    <x v="2"/>
    <x v="2"/>
    <x v="1"/>
    <x v="2"/>
    <x v="3"/>
    <x v="3"/>
    <x v="3"/>
    <x v="0"/>
    <x v="9"/>
    <x v="7"/>
    <x v="5"/>
    <x v="5"/>
    <x v="4"/>
    <x v="4"/>
    <x v="4"/>
    <x v="4"/>
    <x v="4"/>
    <x v="3"/>
    <x v="4"/>
    <x v="4"/>
    <n v="121268.29016147782"/>
  </r>
  <r>
    <n v="1062"/>
    <x v="10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3"/>
    <x v="1062"/>
    <x v="2"/>
    <x v="2"/>
    <x v="1"/>
    <x v="2"/>
    <x v="3"/>
    <x v="3"/>
    <x v="3"/>
    <x v="2"/>
    <x v="3"/>
    <x v="3"/>
    <x v="2"/>
    <x v="1"/>
    <x v="1"/>
    <x v="13"/>
    <x v="4"/>
    <x v="4"/>
    <x v="4"/>
    <x v="3"/>
    <x v="4"/>
    <x v="4"/>
    <n v="254862.2612248917"/>
  </r>
  <r>
    <n v="1064"/>
    <x v="10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5"/>
    <x v="1064"/>
    <x v="2"/>
    <x v="2"/>
    <x v="1"/>
    <x v="2"/>
    <x v="3"/>
    <x v="3"/>
    <x v="3"/>
    <x v="2"/>
    <x v="3"/>
    <x v="3"/>
    <x v="2"/>
    <x v="1"/>
    <x v="1"/>
    <x v="1"/>
    <x v="1"/>
    <x v="8"/>
    <x v="6"/>
    <x v="7"/>
    <x v="6"/>
    <x v="14"/>
    <n v="281055.47847860679"/>
  </r>
  <r>
    <n v="1066"/>
    <x v="1065"/>
    <x v="2"/>
    <x v="2"/>
    <x v="4"/>
    <x v="1"/>
    <x v="2"/>
    <x v="12"/>
    <x v="8"/>
    <x v="10"/>
    <x v="1"/>
    <x v="1"/>
    <x v="12"/>
    <x v="5"/>
    <x v="4"/>
    <x v="4"/>
    <x v="4"/>
    <x v="4"/>
    <x v="4"/>
    <x v="3"/>
    <x v="4"/>
    <x v="4"/>
    <n v="124088.22417520013"/>
  </r>
  <r>
    <n v="1067"/>
    <x v="1066"/>
    <x v="2"/>
    <x v="2"/>
    <x v="1"/>
    <x v="2"/>
    <x v="3"/>
    <x v="3"/>
    <x v="3"/>
    <x v="2"/>
    <x v="3"/>
    <x v="3"/>
    <x v="2"/>
    <x v="1"/>
    <x v="5"/>
    <x v="4"/>
    <x v="4"/>
    <x v="4"/>
    <x v="4"/>
    <x v="3"/>
    <x v="4"/>
    <x v="4"/>
    <n v="155535.40704068498"/>
  </r>
  <r>
    <n v="1068"/>
    <x v="1067"/>
    <x v="2"/>
    <x v="2"/>
    <x v="1"/>
    <x v="2"/>
    <x v="3"/>
    <x v="3"/>
    <x v="3"/>
    <x v="2"/>
    <x v="3"/>
    <x v="3"/>
    <x v="2"/>
    <x v="1"/>
    <x v="1"/>
    <x v="1"/>
    <x v="13"/>
    <x v="10"/>
    <x v="9"/>
    <x v="8"/>
    <x v="8"/>
    <x v="4"/>
    <n v="284476.4748803351"/>
  </r>
  <r>
    <n v="1069"/>
    <x v="1068"/>
    <x v="2"/>
    <x v="2"/>
    <x v="1"/>
    <x v="2"/>
    <x v="3"/>
    <x v="3"/>
    <x v="3"/>
    <x v="2"/>
    <x v="3"/>
    <x v="3"/>
    <x v="2"/>
    <x v="1"/>
    <x v="14"/>
    <x v="13"/>
    <x v="12"/>
    <x v="7"/>
    <x v="6"/>
    <x v="1"/>
    <x v="1"/>
    <x v="1"/>
    <m/>
  </r>
  <r>
    <n v="1070"/>
    <x v="10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6"/>
    <x v="12"/>
    <n v="310659.118239036"/>
  </r>
  <r>
    <n v="1071"/>
    <x v="1070"/>
    <x v="2"/>
    <x v="2"/>
    <x v="1"/>
    <x v="2"/>
    <x v="3"/>
    <x v="3"/>
    <x v="3"/>
    <x v="2"/>
    <x v="10"/>
    <x v="11"/>
    <x v="1"/>
    <x v="9"/>
    <x v="1"/>
    <x v="1"/>
    <x v="1"/>
    <x v="1"/>
    <x v="1"/>
    <x v="1"/>
    <x v="1"/>
    <x v="1"/>
    <m/>
  </r>
  <r>
    <n v="1072"/>
    <x v="10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3"/>
    <x v="10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4"/>
    <x v="10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5"/>
    <x v="10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6"/>
    <x v="10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7"/>
    <x v="10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8"/>
    <x v="10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9"/>
    <x v="10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0"/>
    <x v="10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1"/>
    <x v="10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2"/>
    <x v="10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3"/>
    <x v="10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4"/>
    <x v="10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5"/>
    <x v="10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6"/>
    <x v="10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7"/>
    <x v="10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8"/>
    <x v="10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9"/>
    <x v="10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0"/>
    <x v="10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1"/>
    <x v="10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2"/>
    <x v="10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3"/>
    <x v="10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4"/>
    <x v="10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5"/>
    <x v="10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6"/>
    <x v="10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7"/>
    <x v="10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8"/>
    <x v="10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9"/>
    <x v="10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0"/>
    <x v="10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1"/>
    <x v="11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2"/>
    <x v="11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3"/>
    <x v="11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4"/>
    <x v="11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5"/>
    <x v="11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6"/>
    <x v="11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7"/>
    <x v="11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8"/>
    <x v="11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9"/>
    <x v="11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0"/>
    <x v="11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1"/>
    <x v="11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2"/>
    <x v="11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3"/>
    <x v="11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4"/>
    <x v="11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5"/>
    <x v="11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6"/>
    <x v="11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7"/>
    <x v="11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8"/>
    <x v="11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9"/>
    <x v="11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0"/>
    <x v="11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1"/>
    <x v="11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2"/>
    <x v="11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3"/>
    <x v="11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4"/>
    <x v="11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5"/>
    <x v="11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6"/>
    <x v="11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7"/>
    <x v="11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8"/>
    <x v="11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9"/>
    <x v="11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0"/>
    <x v="11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1"/>
    <x v="11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2"/>
    <x v="11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3"/>
    <x v="11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4"/>
    <x v="11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5"/>
    <x v="11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6"/>
    <x v="11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7"/>
    <x v="11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8"/>
    <x v="11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9"/>
    <x v="11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0"/>
    <x v="11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1"/>
    <x v="11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2"/>
    <x v="11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3"/>
    <x v="11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4"/>
    <x v="11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5"/>
    <x v="11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6"/>
    <x v="11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7"/>
    <x v="11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8"/>
    <x v="11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9"/>
    <x v="11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0"/>
    <x v="11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1"/>
    <x v="11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2"/>
    <x v="11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3"/>
    <x v="11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4"/>
    <x v="11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5"/>
    <x v="11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6"/>
    <x v="11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7"/>
    <x v="11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8"/>
    <x v="11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9"/>
    <x v="11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0"/>
    <x v="11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1"/>
    <x v="11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2"/>
    <x v="11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3"/>
    <x v="11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4"/>
    <x v="11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5"/>
    <x v="11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6"/>
    <x v="11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7"/>
    <x v="11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8"/>
    <x v="11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9"/>
    <x v="11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70"/>
    <x v="11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m/>
  </r>
  <r>
    <s v="t"/>
    <x v="1170"/>
    <x v="9"/>
    <x v="10"/>
    <x v="8"/>
    <x v="9"/>
    <x v="1"/>
    <x v="9"/>
    <x v="13"/>
    <x v="9"/>
    <x v="10"/>
    <x v="12"/>
    <x v="12"/>
    <x v="13"/>
    <x v="14"/>
    <x v="13"/>
    <x v="13"/>
    <x v="13"/>
    <x v="13"/>
    <x v="14"/>
    <x v="14"/>
    <x v="14"/>
    <m/>
  </r>
  <r>
    <s v="t"/>
    <x v="1170"/>
    <x v="7"/>
    <x v="1"/>
    <x v="9"/>
    <x v="8"/>
    <x v="10"/>
    <x v="1"/>
    <x v="10"/>
    <x v="11"/>
    <x v="12"/>
    <x v="11"/>
    <x v="11"/>
    <x v="11"/>
    <x v="9"/>
    <x v="12"/>
    <x v="12"/>
    <x v="7"/>
    <x v="6"/>
    <x v="7"/>
    <x v="6"/>
    <x v="6"/>
    <m/>
  </r>
  <r>
    <s v="t"/>
    <x v="1170"/>
    <x v="12"/>
    <x v="12"/>
    <x v="4"/>
    <x v="1"/>
    <x v="2"/>
    <x v="10"/>
    <x v="1"/>
    <x v="0"/>
    <x v="9"/>
    <x v="1"/>
    <x v="1"/>
    <x v="9"/>
    <x v="5"/>
    <x v="6"/>
    <x v="5"/>
    <x v="6"/>
    <x v="5"/>
    <x v="6"/>
    <x v="10"/>
    <x v="12"/>
    <m/>
  </r>
  <r>
    <s v="t"/>
    <x v="1170"/>
    <x v="13"/>
    <x v="13"/>
    <x v="11"/>
    <x v="11"/>
    <x v="11"/>
    <x v="12"/>
    <x v="8"/>
    <x v="10"/>
    <x v="1"/>
    <x v="10"/>
    <x v="9"/>
    <x v="7"/>
    <x v="12"/>
    <x v="9"/>
    <x v="8"/>
    <x v="5"/>
    <x v="12"/>
    <x v="13"/>
    <x v="13"/>
    <x v="13"/>
    <m/>
  </r>
  <r>
    <s v="t"/>
    <x v="1170"/>
    <x v="5"/>
    <x v="6"/>
    <x v="0"/>
    <x v="0"/>
    <x v="0"/>
    <x v="7"/>
    <x v="0"/>
    <x v="7"/>
    <x v="8"/>
    <x v="9"/>
    <x v="10"/>
    <x v="10"/>
    <x v="8"/>
    <x v="8"/>
    <x v="7"/>
    <x v="8"/>
    <x v="7"/>
    <x v="8"/>
    <x v="8"/>
    <x v="8"/>
    <m/>
  </r>
  <r>
    <s v="t"/>
    <x v="1170"/>
    <x v="1"/>
    <x v="5"/>
    <x v="12"/>
    <x v="12"/>
    <x v="12"/>
    <x v="11"/>
    <x v="11"/>
    <x v="12"/>
    <x v="11"/>
    <x v="0"/>
    <x v="6"/>
    <x v="3"/>
    <x v="10"/>
    <x v="10"/>
    <x v="9"/>
    <x v="11"/>
    <x v="10"/>
    <x v="11"/>
    <x v="9"/>
    <x v="5"/>
    <m/>
  </r>
  <r>
    <s v="t"/>
    <x v="1170"/>
    <x v="4"/>
    <x v="7"/>
    <x v="7"/>
    <x v="7"/>
    <x v="5"/>
    <x v="0"/>
    <x v="9"/>
    <x v="1"/>
    <x v="0"/>
    <x v="5"/>
    <x v="0"/>
    <x v="0"/>
    <x v="0"/>
    <x v="0"/>
    <x v="10"/>
    <x v="10"/>
    <x v="9"/>
    <x v="9"/>
    <x v="5"/>
    <x v="9"/>
    <m/>
  </r>
  <r>
    <s v="t"/>
    <x v="1170"/>
    <x v="3"/>
    <x v="0"/>
    <x v="3"/>
    <x v="4"/>
    <x v="8"/>
    <x v="2"/>
    <x v="2"/>
    <x v="3"/>
    <x v="5"/>
    <x v="8"/>
    <x v="8"/>
    <x v="6"/>
    <x v="7"/>
    <x v="5"/>
    <x v="0"/>
    <x v="9"/>
    <x v="8"/>
    <x v="4"/>
    <x v="7"/>
    <x v="0"/>
    <m/>
  </r>
  <r>
    <s v="t"/>
    <x v="1170"/>
    <x v="0"/>
    <x v="11"/>
    <x v="2"/>
    <x v="3"/>
    <x v="4"/>
    <x v="5"/>
    <x v="5"/>
    <x v="6"/>
    <x v="2"/>
    <x v="6"/>
    <x v="4"/>
    <x v="4"/>
    <x v="3"/>
    <x v="3"/>
    <x v="3"/>
    <x v="0"/>
    <x v="0"/>
    <x v="0"/>
    <x v="0"/>
    <x v="7"/>
    <m/>
  </r>
  <r>
    <s v="t"/>
    <x v="1170"/>
    <x v="11"/>
    <x v="4"/>
    <x v="10"/>
    <x v="10"/>
    <x v="6"/>
    <x v="4"/>
    <x v="4"/>
    <x v="4"/>
    <x v="4"/>
    <x v="4"/>
    <x v="3"/>
    <x v="2"/>
    <x v="2"/>
    <x v="7"/>
    <x v="6"/>
    <x v="3"/>
    <x v="3"/>
    <x v="2"/>
    <x v="3"/>
    <x v="3"/>
    <m/>
  </r>
  <r>
    <s v="t"/>
    <x v="1170"/>
    <x v="6"/>
    <x v="3"/>
    <x v="6"/>
    <x v="6"/>
    <x v="9"/>
    <x v="8"/>
    <x v="7"/>
    <x v="8"/>
    <x v="7"/>
    <x v="2"/>
    <x v="7"/>
    <x v="8"/>
    <x v="6"/>
    <x v="2"/>
    <x v="2"/>
    <x v="2"/>
    <x v="2"/>
    <x v="5"/>
    <x v="2"/>
    <x v="2"/>
    <m/>
  </r>
  <r>
    <s v="t"/>
    <x v="1170"/>
    <x v="10"/>
    <x v="9"/>
    <x v="13"/>
    <x v="13"/>
    <x v="13"/>
    <x v="13"/>
    <x v="12"/>
    <x v="13"/>
    <x v="13"/>
    <x v="13"/>
    <x v="13"/>
    <x v="12"/>
    <x v="11"/>
    <x v="11"/>
    <x v="11"/>
    <x v="12"/>
    <x v="11"/>
    <x v="10"/>
    <x v="11"/>
    <x v="10"/>
    <m/>
  </r>
  <r>
    <s v="t"/>
    <x v="1170"/>
    <x v="15"/>
    <x v="15"/>
    <x v="15"/>
    <x v="15"/>
    <x v="14"/>
    <x v="14"/>
    <x v="14"/>
    <x v="14"/>
    <x v="14"/>
    <x v="14"/>
    <x v="14"/>
    <x v="14"/>
    <x v="15"/>
    <x v="14"/>
    <x v="14"/>
    <x v="14"/>
    <x v="14"/>
    <x v="15"/>
    <x v="15"/>
    <x v="15"/>
    <m/>
  </r>
  <r>
    <s v="t"/>
    <x v="1170"/>
    <x v="14"/>
    <x v="14"/>
    <x v="14"/>
    <x v="14"/>
    <x v="15"/>
    <x v="15"/>
    <x v="15"/>
    <x v="15"/>
    <x v="15"/>
    <x v="15"/>
    <x v="15"/>
    <x v="15"/>
    <x v="16"/>
    <x v="15"/>
    <x v="15"/>
    <x v="15"/>
    <x v="15"/>
    <x v="12"/>
    <x v="12"/>
    <x v="11"/>
    <m/>
  </r>
  <r>
    <s v="t"/>
    <x v="1170"/>
    <x v="16"/>
    <x v="16"/>
    <x v="16"/>
    <x v="16"/>
    <x v="16"/>
    <x v="16"/>
    <x v="16"/>
    <x v="16"/>
    <x v="16"/>
    <x v="16"/>
    <x v="16"/>
    <x v="16"/>
    <x v="13"/>
    <x v="16"/>
    <x v="16"/>
    <x v="16"/>
    <x v="16"/>
    <x v="16"/>
    <x v="16"/>
    <x v="1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7">
  <r>
    <n v="1"/>
    <s v="cliente1"/>
    <x v="0"/>
    <x v="0"/>
    <n v="73"/>
    <n v="73"/>
    <x v="0"/>
    <n v="77"/>
    <n v="73"/>
    <n v="65"/>
    <n v="77"/>
    <n v="75"/>
    <n v="77"/>
    <n v="77"/>
    <n v="77"/>
    <n v="77"/>
    <n v="80"/>
    <n v="83"/>
    <n v="83"/>
    <n v="83"/>
    <n v="83"/>
    <n v="80"/>
    <n v="121154.30969756437"/>
    <n v="77"/>
  </r>
  <r>
    <n v="2"/>
    <s v="cliente2"/>
    <x v="1"/>
    <x v="1"/>
    <n v="73"/>
    <n v="73"/>
    <x v="1"/>
    <n v="60"/>
    <n v="65"/>
    <n v="65"/>
    <n v="70"/>
    <n v="65"/>
    <n v="65"/>
    <n v="0"/>
    <n v="0"/>
    <n v="0"/>
    <n v="0"/>
    <n v="0"/>
    <n v="0"/>
    <n v="0"/>
    <n v="0"/>
    <n v="0"/>
    <m/>
    <n v="0"/>
  </r>
  <r>
    <n v="3"/>
    <s v="cliente3"/>
    <x v="2"/>
    <x v="2"/>
    <n v="0"/>
    <n v="65"/>
    <x v="2"/>
    <n v="80"/>
    <n v="80"/>
    <n v="77"/>
    <n v="83"/>
    <n v="87"/>
    <n v="0"/>
    <n v="0"/>
    <n v="0"/>
    <n v="0"/>
    <n v="0"/>
    <n v="0"/>
    <n v="0"/>
    <n v="0"/>
    <n v="0"/>
    <n v="0"/>
    <m/>
    <n v="0"/>
  </r>
  <r>
    <n v="4"/>
    <s v="cliente4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"/>
    <s v="cliente5"/>
    <x v="0"/>
    <x v="3"/>
    <n v="83"/>
    <n v="83"/>
    <x v="4"/>
    <n v="80"/>
    <n v="0"/>
    <n v="80"/>
    <n v="0"/>
    <n v="0"/>
    <n v="0"/>
    <n v="0"/>
    <n v="0"/>
    <n v="0"/>
    <n v="0"/>
    <n v="0"/>
    <n v="0"/>
    <n v="0"/>
    <n v="0"/>
    <n v="0"/>
    <m/>
    <n v="0"/>
  </r>
  <r>
    <n v="6"/>
    <s v="cliente6"/>
    <x v="0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"/>
    <s v="cliente7"/>
    <x v="0"/>
    <x v="4"/>
    <n v="83"/>
    <n v="83"/>
    <x v="4"/>
    <n v="85"/>
    <n v="85"/>
    <n v="85"/>
    <n v="85"/>
    <n v="85"/>
    <n v="85"/>
    <n v="85"/>
    <n v="85"/>
    <n v="87"/>
    <n v="87"/>
    <n v="87"/>
    <n v="87"/>
    <n v="85"/>
    <n v="87"/>
    <n v="87"/>
    <n v="2909745.8290977613"/>
    <n v="83"/>
  </r>
  <r>
    <n v="8"/>
    <s v="cliente8"/>
    <x v="3"/>
    <x v="4"/>
    <n v="80"/>
    <n v="80"/>
    <x v="5"/>
    <n v="80"/>
    <n v="80"/>
    <n v="80"/>
    <n v="80"/>
    <n v="77"/>
    <n v="77"/>
    <n v="75"/>
    <n v="0"/>
    <n v="0"/>
    <n v="0"/>
    <n v="0"/>
    <n v="0"/>
    <n v="0"/>
    <n v="0"/>
    <n v="0"/>
    <m/>
    <n v="0"/>
  </r>
  <r>
    <n v="9"/>
    <s v="cliente9"/>
    <x v="2"/>
    <x v="2"/>
    <n v="0"/>
    <n v="0"/>
    <x v="3"/>
    <n v="0"/>
    <n v="0"/>
    <n v="0"/>
    <n v="85"/>
    <n v="85"/>
    <n v="85"/>
    <n v="83"/>
    <n v="83"/>
    <n v="83"/>
    <n v="83"/>
    <n v="85"/>
    <n v="85"/>
    <n v="85"/>
    <n v="85"/>
    <n v="85"/>
    <n v="153952.70638204354"/>
    <n v="87"/>
  </r>
  <r>
    <n v="10"/>
    <s v="cliente10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"/>
    <s v="cliente11"/>
    <x v="5"/>
    <x v="6"/>
    <n v="65"/>
    <n v="6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"/>
    <s v="cliente12"/>
    <x v="4"/>
    <x v="7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"/>
    <s v="cliente13"/>
    <x v="6"/>
    <x v="4"/>
    <n v="83"/>
    <n v="83"/>
    <x v="6"/>
    <n v="83"/>
    <n v="83"/>
    <n v="85"/>
    <n v="85"/>
    <n v="83"/>
    <n v="83"/>
    <n v="83"/>
    <n v="83"/>
    <n v="83"/>
    <n v="83"/>
    <n v="87"/>
    <n v="87"/>
    <n v="85"/>
    <n v="85"/>
    <n v="87"/>
    <n v="154259.94145538335"/>
    <n v="85"/>
  </r>
  <r>
    <n v="14"/>
    <s v="cliente14"/>
    <x v="7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"/>
    <s v="cliente15"/>
    <x v="2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6"/>
    <s v="cliente1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0220.82887021769"/>
    <n v="22"/>
  </r>
  <r>
    <n v="17"/>
    <s v="cliente17"/>
    <x v="0"/>
    <x v="0"/>
    <n v="80"/>
    <n v="80"/>
    <x v="8"/>
    <n v="83"/>
    <n v="87"/>
    <n v="83"/>
    <n v="80"/>
    <n v="80"/>
    <n v="75"/>
    <n v="80"/>
    <n v="83"/>
    <n v="80"/>
    <n v="80"/>
    <n v="83"/>
    <n v="83"/>
    <n v="80"/>
    <n v="77"/>
    <n v="75"/>
    <n v="876105.65538350458"/>
    <n v="75"/>
  </r>
  <r>
    <n v="18"/>
    <s v="cliente18"/>
    <x v="0"/>
    <x v="4"/>
    <n v="80"/>
    <n v="83"/>
    <x v="4"/>
    <n v="83"/>
    <n v="87"/>
    <n v="85"/>
    <n v="87"/>
    <n v="85"/>
    <n v="85"/>
    <n v="85"/>
    <n v="85"/>
    <n v="87"/>
    <n v="87"/>
    <n v="85"/>
    <n v="87"/>
    <n v="85"/>
    <n v="87"/>
    <n v="87"/>
    <n v="144278.75824828292"/>
    <n v="77"/>
  </r>
  <r>
    <n v="19"/>
    <s v="cliente19"/>
    <x v="7"/>
    <x v="1"/>
    <n v="73"/>
    <n v="73"/>
    <x v="0"/>
    <n v="73"/>
    <n v="0"/>
    <n v="73"/>
    <n v="73"/>
    <n v="73"/>
    <n v="65"/>
    <n v="70"/>
    <n v="65"/>
    <n v="65"/>
    <n v="65"/>
    <n v="70"/>
    <n v="0"/>
    <n v="0"/>
    <n v="0"/>
    <n v="0"/>
    <m/>
    <n v="0"/>
  </r>
  <r>
    <n v="20"/>
    <s v="cliente20"/>
    <x v="2"/>
    <x v="2"/>
    <n v="0"/>
    <n v="0"/>
    <x v="3"/>
    <n v="0"/>
    <n v="0"/>
    <n v="0"/>
    <n v="85"/>
    <n v="85"/>
    <n v="85"/>
    <n v="85"/>
    <n v="85"/>
    <n v="85"/>
    <n v="85"/>
    <n v="87"/>
    <n v="87"/>
    <n v="85"/>
    <n v="87"/>
    <n v="85"/>
    <n v="509831.37835489068"/>
    <n v="85"/>
  </r>
  <r>
    <n v="21"/>
    <s v="cliente21"/>
    <x v="9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7996.75418967498"/>
    <n v="22"/>
  </r>
  <r>
    <n v="22"/>
    <s v="cliente22"/>
    <x v="10"/>
    <x v="9"/>
    <n v="87"/>
    <n v="87"/>
    <x v="9"/>
    <n v="87"/>
    <n v="87"/>
    <n v="85"/>
    <n v="87"/>
    <n v="87"/>
    <n v="87"/>
    <n v="87"/>
    <n v="87"/>
    <n v="87"/>
    <n v="85"/>
    <n v="87"/>
    <n v="87"/>
    <n v="85"/>
    <n v="85"/>
    <n v="85"/>
    <n v="126744.29809753953"/>
    <n v="87"/>
  </r>
  <r>
    <n v="23"/>
    <s v="cliente23"/>
    <x v="11"/>
    <x v="5"/>
    <n v="77"/>
    <n v="77"/>
    <x v="8"/>
    <n v="83"/>
    <n v="85"/>
    <n v="87"/>
    <n v="87"/>
    <n v="80"/>
    <n v="83"/>
    <n v="80"/>
    <n v="83"/>
    <n v="85"/>
    <n v="85"/>
    <n v="85"/>
    <n v="85"/>
    <n v="87"/>
    <n v="85"/>
    <n v="85"/>
    <n v="186947.35710366807"/>
    <n v="85"/>
  </r>
  <r>
    <n v="24"/>
    <s v="cliente24"/>
    <x v="7"/>
    <x v="10"/>
    <n v="40"/>
    <n v="60"/>
    <x v="1"/>
    <n v="40"/>
    <n v="0"/>
    <n v="40"/>
    <n v="0"/>
    <n v="0"/>
    <n v="0"/>
    <n v="0"/>
    <n v="0"/>
    <n v="0"/>
    <n v="0"/>
    <n v="0"/>
    <n v="0"/>
    <n v="0"/>
    <n v="0"/>
    <n v="0"/>
    <m/>
    <n v="0"/>
  </r>
  <r>
    <n v="25"/>
    <s v="cliente25"/>
    <x v="11"/>
    <x v="11"/>
    <n v="83"/>
    <n v="83"/>
    <x v="8"/>
    <n v="85"/>
    <n v="85"/>
    <n v="83"/>
    <n v="80"/>
    <n v="80"/>
    <n v="77"/>
    <n v="75"/>
    <n v="77"/>
    <n v="0"/>
    <n v="0"/>
    <n v="0"/>
    <n v="0"/>
    <n v="0"/>
    <n v="0"/>
    <n v="0"/>
    <m/>
    <n v="0"/>
  </r>
  <r>
    <n v="26"/>
    <s v="cliente26"/>
    <x v="12"/>
    <x v="11"/>
    <n v="60"/>
    <n v="60"/>
    <x v="10"/>
    <n v="0"/>
    <n v="0"/>
    <n v="0"/>
    <n v="0"/>
    <n v="0"/>
    <n v="0"/>
    <n v="0"/>
    <n v="0"/>
    <n v="0"/>
    <n v="0"/>
    <n v="0"/>
    <n v="0"/>
    <n v="0"/>
    <n v="0"/>
    <n v="0"/>
    <m/>
    <n v="0"/>
  </r>
  <r>
    <n v="27"/>
    <s v="cliente27"/>
    <x v="6"/>
    <x v="0"/>
    <n v="87"/>
    <n v="87"/>
    <x v="6"/>
    <n v="87"/>
    <n v="85"/>
    <n v="85"/>
    <n v="83"/>
    <n v="83"/>
    <n v="85"/>
    <n v="0"/>
    <n v="0"/>
    <n v="0"/>
    <n v="0"/>
    <n v="0"/>
    <n v="0"/>
    <n v="0"/>
    <n v="0"/>
    <n v="0"/>
    <m/>
    <n v="0"/>
  </r>
  <r>
    <n v="28"/>
    <s v="cliente28"/>
    <x v="3"/>
    <x v="12"/>
    <n v="83"/>
    <n v="83"/>
    <x v="4"/>
    <n v="85"/>
    <n v="85"/>
    <n v="85"/>
    <n v="83"/>
    <n v="83"/>
    <n v="85"/>
    <n v="87"/>
    <n v="85"/>
    <n v="87"/>
    <n v="87"/>
    <n v="87"/>
    <n v="87"/>
    <n v="87"/>
    <n v="87"/>
    <n v="85"/>
    <n v="386949.67519523733"/>
    <n v="83"/>
  </r>
  <r>
    <n v="29"/>
    <s v="cliente29"/>
    <x v="13"/>
    <x v="1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0"/>
    <s v="cliente30"/>
    <x v="10"/>
    <x v="0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1"/>
    <s v="cliente31"/>
    <x v="2"/>
    <x v="2"/>
    <n v="0"/>
    <n v="83"/>
    <x v="5"/>
    <n v="85"/>
    <n v="83"/>
    <n v="83"/>
    <n v="85"/>
    <n v="87"/>
    <n v="0"/>
    <n v="0"/>
    <n v="0"/>
    <n v="0"/>
    <n v="0"/>
    <n v="0"/>
    <n v="0"/>
    <n v="0"/>
    <n v="0"/>
    <n v="0"/>
    <m/>
    <n v="0"/>
  </r>
  <r>
    <n v="32"/>
    <s v="cliente32"/>
    <x v="11"/>
    <x v="4"/>
    <n v="83"/>
    <n v="83"/>
    <x v="4"/>
    <n v="83"/>
    <n v="85"/>
    <n v="83"/>
    <n v="83"/>
    <n v="85"/>
    <n v="80"/>
    <n v="80"/>
    <n v="65"/>
    <n v="73"/>
    <n v="73"/>
    <n v="65"/>
    <n v="65"/>
    <n v="65"/>
    <n v="0"/>
    <n v="0"/>
    <m/>
    <n v="0"/>
  </r>
  <r>
    <n v="33"/>
    <s v="cliente33"/>
    <x v="9"/>
    <x v="10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4"/>
    <s v="cliente34"/>
    <x v="7"/>
    <x v="10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600311.23421961826"/>
    <n v="22"/>
  </r>
  <r>
    <n v="35"/>
    <s v="cliente3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5072.36647359518"/>
    <n v="22"/>
  </r>
  <r>
    <n v="36"/>
    <s v="cliente36"/>
    <x v="11"/>
    <x v="11"/>
    <n v="85"/>
    <n v="85"/>
    <x v="6"/>
    <n v="0"/>
    <n v="85"/>
    <n v="85"/>
    <n v="83"/>
    <n v="85"/>
    <n v="80"/>
    <n v="83"/>
    <n v="80"/>
    <n v="83"/>
    <n v="0"/>
    <n v="0"/>
    <n v="0"/>
    <n v="0"/>
    <n v="0"/>
    <n v="0"/>
    <m/>
    <n v="0"/>
  </r>
  <r>
    <n v="37"/>
    <s v="cliente37"/>
    <x v="3"/>
    <x v="12"/>
    <n v="83"/>
    <n v="83"/>
    <x v="4"/>
    <n v="83"/>
    <n v="70"/>
    <n v="70"/>
    <n v="70"/>
    <n v="65"/>
    <n v="65"/>
    <n v="0"/>
    <n v="0"/>
    <n v="0"/>
    <n v="0"/>
    <n v="0"/>
    <n v="0"/>
    <n v="0"/>
    <n v="0"/>
    <n v="0"/>
    <m/>
    <n v="0"/>
  </r>
  <r>
    <n v="38"/>
    <s v="cliente38"/>
    <x v="2"/>
    <x v="2"/>
    <n v="0"/>
    <n v="0"/>
    <x v="3"/>
    <n v="0"/>
    <n v="0"/>
    <n v="0"/>
    <n v="0"/>
    <n v="65"/>
    <n v="65"/>
    <n v="65"/>
    <n v="65"/>
    <n v="70"/>
    <n v="0"/>
    <n v="0"/>
    <n v="0"/>
    <n v="0"/>
    <n v="0"/>
    <n v="0"/>
    <m/>
    <n v="0"/>
  </r>
  <r>
    <n v="39"/>
    <s v="cliente39"/>
    <x v="5"/>
    <x v="6"/>
    <n v="70"/>
    <n v="70"/>
    <x v="11"/>
    <n v="73"/>
    <n v="77"/>
    <n v="77"/>
    <n v="77"/>
    <n v="0"/>
    <n v="0"/>
    <n v="0"/>
    <n v="0"/>
    <n v="0"/>
    <n v="0"/>
    <n v="0"/>
    <n v="0"/>
    <n v="0"/>
    <n v="0"/>
    <n v="0"/>
    <m/>
    <n v="0"/>
  </r>
  <r>
    <n v="40"/>
    <s v="cliente40"/>
    <x v="7"/>
    <x v="1"/>
    <n v="60"/>
    <n v="60"/>
    <x v="1"/>
    <n v="65"/>
    <n v="0"/>
    <n v="65"/>
    <n v="70"/>
    <n v="70"/>
    <n v="70"/>
    <n v="70"/>
    <n v="65"/>
    <n v="65"/>
    <n v="65"/>
    <n v="60"/>
    <n v="60"/>
    <n v="60"/>
    <n v="0"/>
    <n v="0"/>
    <m/>
    <n v="0"/>
  </r>
  <r>
    <n v="41"/>
    <s v="cliente41"/>
    <x v="13"/>
    <x v="13"/>
    <n v="6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"/>
    <s v="cliente42"/>
    <x v="7"/>
    <x v="1"/>
    <n v="65"/>
    <n v="65"/>
    <x v="10"/>
    <n v="65"/>
    <n v="65"/>
    <n v="65"/>
    <n v="70"/>
    <n v="70"/>
    <n v="70"/>
    <n v="70"/>
    <n v="65"/>
    <n v="65"/>
    <n v="65"/>
    <n v="70"/>
    <n v="0"/>
    <n v="0"/>
    <n v="0"/>
    <n v="0"/>
    <m/>
    <n v="0"/>
  </r>
  <r>
    <n v="43"/>
    <s v="cliente4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08365.54356489802"/>
    <n v="22"/>
  </r>
  <r>
    <n v="44"/>
    <s v="cliente44"/>
    <x v="7"/>
    <x v="1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83712.70596158289"/>
    <n v="22"/>
  </r>
  <r>
    <n v="45"/>
    <s v="cliente45"/>
    <x v="3"/>
    <x v="1"/>
    <n v="73"/>
    <n v="73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46"/>
    <s v="cliente46"/>
    <x v="7"/>
    <x v="1"/>
    <n v="75"/>
    <n v="75"/>
    <x v="12"/>
    <n v="75"/>
    <n v="70"/>
    <n v="70"/>
    <n v="73"/>
    <n v="73"/>
    <n v="73"/>
    <n v="73"/>
    <n v="73"/>
    <n v="70"/>
    <n v="70"/>
    <n v="73"/>
    <n v="73"/>
    <n v="0"/>
    <n v="0"/>
    <n v="0"/>
    <m/>
    <n v="0"/>
  </r>
  <r>
    <n v="47"/>
    <s v="cliente47"/>
    <x v="7"/>
    <x v="1"/>
    <n v="60"/>
    <n v="60"/>
    <x v="10"/>
    <n v="70"/>
    <n v="70"/>
    <n v="60"/>
    <n v="65"/>
    <n v="65"/>
    <n v="60"/>
    <n v="60"/>
    <n v="60"/>
    <n v="0"/>
    <n v="0"/>
    <n v="0"/>
    <n v="0"/>
    <n v="0"/>
    <n v="0"/>
    <n v="0"/>
    <m/>
    <n v="0"/>
  </r>
  <r>
    <n v="48"/>
    <s v="cliente48"/>
    <x v="4"/>
    <x v="7"/>
    <n v="83"/>
    <n v="83"/>
    <x v="4"/>
    <n v="83"/>
    <n v="83"/>
    <n v="87"/>
    <n v="85"/>
    <n v="85"/>
    <n v="85"/>
    <n v="85"/>
    <n v="83"/>
    <n v="85"/>
    <n v="87"/>
    <n v="87"/>
    <n v="87"/>
    <n v="87"/>
    <n v="87"/>
    <n v="87"/>
    <n v="269205.54747760558"/>
    <n v="87"/>
  </r>
  <r>
    <n v="49"/>
    <s v="cliente49"/>
    <x v="2"/>
    <x v="6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0"/>
    <s v="cliente50"/>
    <x v="9"/>
    <x v="10"/>
    <n v="40"/>
    <n v="40"/>
    <x v="1"/>
    <n v="22"/>
    <n v="22"/>
    <n v="22"/>
    <n v="22"/>
    <n v="22"/>
    <n v="22"/>
    <n v="22"/>
    <n v="22"/>
    <n v="22"/>
    <n v="22"/>
    <n v="22"/>
    <n v="22"/>
    <n v="22"/>
    <n v="22"/>
    <n v="22"/>
    <n v="624124.90595709218"/>
    <n v="22"/>
  </r>
  <r>
    <n v="51"/>
    <s v="cliente51"/>
    <x v="0"/>
    <x v="7"/>
    <n v="77"/>
    <n v="80"/>
    <x v="8"/>
    <n v="83"/>
    <n v="0"/>
    <n v="0"/>
    <n v="0"/>
    <n v="0"/>
    <n v="0"/>
    <n v="0"/>
    <n v="0"/>
    <n v="85"/>
    <n v="0"/>
    <n v="0"/>
    <n v="0"/>
    <n v="0"/>
    <n v="0"/>
    <n v="0"/>
    <m/>
    <n v="0"/>
  </r>
  <r>
    <n v="52"/>
    <s v="cliente52"/>
    <x v="2"/>
    <x v="2"/>
    <n v="0"/>
    <n v="85"/>
    <x v="4"/>
    <n v="83"/>
    <n v="83"/>
    <n v="83"/>
    <n v="83"/>
    <n v="83"/>
    <n v="85"/>
    <n v="85"/>
    <n v="85"/>
    <n v="83"/>
    <n v="85"/>
    <n v="85"/>
    <n v="85"/>
    <n v="83"/>
    <n v="85"/>
    <n v="87"/>
    <n v="114071.49156081863"/>
    <n v="85"/>
  </r>
  <r>
    <n v="53"/>
    <s v="cliente53"/>
    <x v="0"/>
    <x v="11"/>
    <n v="70"/>
    <n v="7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4"/>
    <s v="cliente54"/>
    <x v="3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5"/>
    <s v="cliente55"/>
    <x v="3"/>
    <x v="11"/>
    <n v="85"/>
    <n v="85"/>
    <x v="5"/>
    <n v="83"/>
    <n v="80"/>
    <n v="80"/>
    <n v="80"/>
    <n v="85"/>
    <n v="87"/>
    <n v="85"/>
    <n v="85"/>
    <n v="85"/>
    <n v="85"/>
    <n v="87"/>
    <n v="87"/>
    <n v="87"/>
    <n v="87"/>
    <n v="87"/>
    <n v="113788.97750583821"/>
    <n v="87"/>
  </r>
  <r>
    <n v="56"/>
    <s v="cliente56"/>
    <x v="14"/>
    <x v="13"/>
    <n v="65"/>
    <n v="65"/>
    <x v="2"/>
    <n v="65"/>
    <n v="0"/>
    <n v="0"/>
    <n v="0"/>
    <n v="0"/>
    <n v="0"/>
    <n v="0"/>
    <n v="0"/>
    <n v="0"/>
    <n v="0"/>
    <n v="0"/>
    <n v="0"/>
    <n v="0"/>
    <n v="0"/>
    <n v="0"/>
    <m/>
    <n v="0"/>
  </r>
  <r>
    <n v="57"/>
    <s v="cliente57"/>
    <x v="7"/>
    <x v="10"/>
    <n v="40"/>
    <n v="40"/>
    <x v="2"/>
    <n v="75"/>
    <n v="65"/>
    <n v="65"/>
    <n v="77"/>
    <n v="0"/>
    <n v="0"/>
    <n v="0"/>
    <n v="0"/>
    <n v="0"/>
    <n v="0"/>
    <n v="0"/>
    <n v="0"/>
    <n v="0"/>
    <n v="0"/>
    <n v="0"/>
    <m/>
    <n v="0"/>
  </r>
  <r>
    <n v="58"/>
    <s v="cliente58"/>
    <x v="12"/>
    <x v="1"/>
    <n v="60"/>
    <n v="6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9"/>
    <s v="cliente59"/>
    <x v="2"/>
    <x v="6"/>
    <n v="40"/>
    <n v="40"/>
    <x v="1"/>
    <n v="40"/>
    <n v="60"/>
    <n v="60"/>
    <n v="40"/>
    <n v="70"/>
    <n v="70"/>
    <n v="65"/>
    <n v="65"/>
    <n v="65"/>
    <n v="65"/>
    <n v="65"/>
    <n v="65"/>
    <n v="60"/>
    <n v="60"/>
    <n v="60"/>
    <n v="169733.49963253518"/>
    <n v="60"/>
  </r>
  <r>
    <n v="60"/>
    <s v="cliente60"/>
    <x v="6"/>
    <x v="11"/>
    <n v="73"/>
    <n v="73"/>
    <x v="0"/>
    <n v="80"/>
    <n v="77"/>
    <n v="77"/>
    <n v="77"/>
    <n v="73"/>
    <n v="0"/>
    <n v="0"/>
    <n v="0"/>
    <n v="0"/>
    <n v="0"/>
    <n v="0"/>
    <n v="0"/>
    <n v="0"/>
    <n v="0"/>
    <n v="0"/>
    <m/>
    <n v="0"/>
  </r>
  <r>
    <n v="61"/>
    <s v="cliente61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012737.0604589483"/>
    <n v="22"/>
  </r>
  <r>
    <n v="62"/>
    <s v="cliente62"/>
    <x v="5"/>
    <x v="1"/>
    <n v="73"/>
    <n v="73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63"/>
    <s v="cliente63"/>
    <x v="1"/>
    <x v="6"/>
    <n v="73"/>
    <n v="73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64"/>
    <s v="cliente64"/>
    <x v="0"/>
    <x v="11"/>
    <n v="83"/>
    <n v="83"/>
    <x v="6"/>
    <n v="85"/>
    <n v="83"/>
    <n v="87"/>
    <n v="0"/>
    <n v="0"/>
    <n v="0"/>
    <n v="0"/>
    <n v="0"/>
    <n v="0"/>
    <n v="0"/>
    <n v="0"/>
    <n v="0"/>
    <n v="0"/>
    <n v="0"/>
    <n v="0"/>
    <m/>
    <n v="0"/>
  </r>
  <r>
    <n v="65"/>
    <s v="cliente65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6"/>
    <s v="cliente66"/>
    <x v="6"/>
    <x v="11"/>
    <n v="80"/>
    <n v="80"/>
    <x v="6"/>
    <n v="0"/>
    <n v="0"/>
    <n v="0"/>
    <n v="0"/>
    <n v="0"/>
    <n v="0"/>
    <n v="0"/>
    <n v="0"/>
    <n v="0"/>
    <n v="0"/>
    <n v="0"/>
    <n v="0"/>
    <n v="0"/>
    <n v="0"/>
    <n v="0"/>
    <m/>
    <n v="0"/>
  </r>
  <r>
    <n v="67"/>
    <s v="cliente67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2744.33000226223"/>
    <n v="22"/>
  </r>
  <r>
    <n v="68"/>
    <s v="cliente68"/>
    <x v="7"/>
    <x v="10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28702.9480048921"/>
    <n v="22"/>
  </r>
  <r>
    <n v="69"/>
    <s v="cliente69"/>
    <x v="11"/>
    <x v="4"/>
    <n v="80"/>
    <n v="8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70"/>
    <s v="cliente70"/>
    <x v="13"/>
    <x v="6"/>
    <n v="77"/>
    <n v="77"/>
    <x v="5"/>
    <n v="73"/>
    <n v="73"/>
    <n v="75"/>
    <n v="75"/>
    <n v="77"/>
    <n v="75"/>
    <n v="75"/>
    <n v="73"/>
    <n v="77"/>
    <n v="80"/>
    <n v="80"/>
    <n v="0"/>
    <n v="0"/>
    <n v="0"/>
    <n v="0"/>
    <m/>
    <n v="0"/>
  </r>
  <r>
    <n v="71"/>
    <s v="cliente71"/>
    <x v="5"/>
    <x v="13"/>
    <n v="73"/>
    <n v="73"/>
    <x v="0"/>
    <n v="70"/>
    <n v="75"/>
    <n v="75"/>
    <n v="73"/>
    <n v="73"/>
    <n v="0"/>
    <n v="0"/>
    <n v="0"/>
    <n v="0"/>
    <n v="0"/>
    <n v="0"/>
    <n v="0"/>
    <n v="0"/>
    <n v="0"/>
    <n v="0"/>
    <m/>
    <n v="0"/>
  </r>
  <r>
    <n v="72"/>
    <s v="cliente72"/>
    <x v="0"/>
    <x v="11"/>
    <n v="85"/>
    <n v="85"/>
    <x v="8"/>
    <n v="80"/>
    <n v="80"/>
    <n v="80"/>
    <n v="75"/>
    <n v="77"/>
    <n v="65"/>
    <n v="65"/>
    <n v="65"/>
    <n v="70"/>
    <n v="70"/>
    <n v="0"/>
    <n v="0"/>
    <n v="0"/>
    <n v="0"/>
    <n v="0"/>
    <m/>
    <n v="0"/>
  </r>
  <r>
    <n v="73"/>
    <s v="cliente73"/>
    <x v="1"/>
    <x v="7"/>
    <n v="85"/>
    <n v="85"/>
    <x v="9"/>
    <n v="85"/>
    <n v="85"/>
    <n v="0"/>
    <n v="0"/>
    <n v="85"/>
    <n v="83"/>
    <n v="85"/>
    <n v="0"/>
    <n v="85"/>
    <n v="85"/>
    <n v="85"/>
    <n v="85"/>
    <n v="0"/>
    <n v="0"/>
    <n v="0"/>
    <m/>
    <n v="0"/>
  </r>
  <r>
    <n v="74"/>
    <s v="cliente74"/>
    <x v="3"/>
    <x v="4"/>
    <n v="83"/>
    <n v="80"/>
    <x v="8"/>
    <n v="85"/>
    <n v="83"/>
    <n v="83"/>
    <n v="83"/>
    <n v="83"/>
    <n v="83"/>
    <n v="0"/>
    <n v="0"/>
    <n v="0"/>
    <n v="0"/>
    <n v="0"/>
    <n v="0"/>
    <n v="0"/>
    <n v="0"/>
    <n v="0"/>
    <m/>
    <n v="0"/>
  </r>
  <r>
    <n v="75"/>
    <s v="cliente75"/>
    <x v="4"/>
    <x v="4"/>
    <n v="80"/>
    <n v="80"/>
    <x v="12"/>
    <n v="83"/>
    <n v="77"/>
    <n v="77"/>
    <n v="85"/>
    <n v="85"/>
    <n v="85"/>
    <n v="83"/>
    <n v="0"/>
    <n v="0"/>
    <n v="0"/>
    <n v="0"/>
    <n v="0"/>
    <n v="0"/>
    <n v="0"/>
    <n v="0"/>
    <m/>
    <n v="0"/>
  </r>
  <r>
    <n v="76"/>
    <s v="cliente76"/>
    <x v="5"/>
    <x v="6"/>
    <n v="65"/>
    <n v="65"/>
    <x v="2"/>
    <n v="65"/>
    <n v="65"/>
    <n v="65"/>
    <n v="65"/>
    <n v="60"/>
    <n v="60"/>
    <n v="65"/>
    <n v="60"/>
    <n v="65"/>
    <n v="65"/>
    <n v="65"/>
    <n v="65"/>
    <n v="65"/>
    <n v="0"/>
    <n v="0"/>
    <m/>
    <n v="0"/>
  </r>
  <r>
    <n v="77"/>
    <s v="cliente77"/>
    <x v="4"/>
    <x v="7"/>
    <n v="40"/>
    <n v="40"/>
    <x v="8"/>
    <n v="80"/>
    <n v="0"/>
    <n v="0"/>
    <n v="0"/>
    <n v="0"/>
    <n v="0"/>
    <n v="0"/>
    <n v="0"/>
    <n v="0"/>
    <n v="0"/>
    <n v="0"/>
    <n v="0"/>
    <n v="0"/>
    <n v="0"/>
    <n v="0"/>
    <m/>
    <n v="0"/>
  </r>
  <r>
    <n v="78"/>
    <s v="cliente78"/>
    <x v="11"/>
    <x v="7"/>
    <n v="40"/>
    <n v="40"/>
    <x v="4"/>
    <n v="83"/>
    <n v="83"/>
    <n v="85"/>
    <n v="83"/>
    <n v="73"/>
    <n v="70"/>
    <n v="77"/>
    <n v="73"/>
    <n v="70"/>
    <n v="80"/>
    <n v="80"/>
    <n v="80"/>
    <n v="80"/>
    <n v="83"/>
    <n v="85"/>
    <n v="149749.44895712353"/>
    <n v="75"/>
  </r>
  <r>
    <n v="79"/>
    <s v="cliente79"/>
    <x v="3"/>
    <x v="7"/>
    <n v="75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0"/>
    <s v="cliente80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1"/>
    <s v="cliente81"/>
    <x v="2"/>
    <x v="11"/>
    <n v="0"/>
    <n v="0"/>
    <x v="3"/>
    <n v="0"/>
    <n v="0"/>
    <n v="85"/>
    <n v="85"/>
    <n v="85"/>
    <n v="85"/>
    <n v="83"/>
    <n v="85"/>
    <n v="83"/>
    <n v="80"/>
    <n v="83"/>
    <n v="85"/>
    <n v="80"/>
    <n v="80"/>
    <n v="80"/>
    <n v="449223.64218166808"/>
    <n v="83"/>
  </r>
  <r>
    <n v="82"/>
    <s v="cliente82"/>
    <x v="10"/>
    <x v="3"/>
    <n v="87"/>
    <n v="87"/>
    <x v="6"/>
    <n v="87"/>
    <n v="85"/>
    <n v="83"/>
    <n v="0"/>
    <n v="0"/>
    <n v="0"/>
    <n v="0"/>
    <n v="0"/>
    <n v="0"/>
    <n v="0"/>
    <n v="0"/>
    <n v="0"/>
    <n v="0"/>
    <n v="0"/>
    <n v="0"/>
    <m/>
    <n v="0"/>
  </r>
  <r>
    <n v="83"/>
    <s v="cliente83"/>
    <x v="11"/>
    <x v="4"/>
    <n v="0"/>
    <n v="85"/>
    <x v="8"/>
    <n v="83"/>
    <n v="83"/>
    <n v="83"/>
    <n v="83"/>
    <n v="85"/>
    <n v="85"/>
    <n v="85"/>
    <n v="85"/>
    <n v="85"/>
    <n v="85"/>
    <n v="87"/>
    <n v="87"/>
    <n v="85"/>
    <n v="87"/>
    <n v="85"/>
    <n v="294214.19129021076"/>
    <n v="85"/>
  </r>
  <r>
    <n v="84"/>
    <s v="cliente84"/>
    <x v="3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"/>
    <s v="cliente85"/>
    <x v="6"/>
    <x v="3"/>
    <n v="83"/>
    <n v="83"/>
    <x v="8"/>
    <n v="83"/>
    <n v="83"/>
    <n v="85"/>
    <n v="87"/>
    <n v="83"/>
    <n v="85"/>
    <n v="87"/>
    <n v="85"/>
    <n v="87"/>
    <n v="85"/>
    <n v="85"/>
    <n v="85"/>
    <n v="85"/>
    <n v="85"/>
    <n v="85"/>
    <n v="160468.46674951853"/>
    <n v="85"/>
  </r>
  <r>
    <n v="86"/>
    <s v="cliente86"/>
    <x v="6"/>
    <x v="3"/>
    <n v="87"/>
    <n v="87"/>
    <x v="6"/>
    <n v="83"/>
    <n v="83"/>
    <n v="80"/>
    <n v="80"/>
    <n v="83"/>
    <n v="83"/>
    <n v="83"/>
    <n v="83"/>
    <n v="83"/>
    <n v="83"/>
    <n v="85"/>
    <n v="85"/>
    <n v="85"/>
    <n v="85"/>
    <n v="83"/>
    <n v="191456.81810525031"/>
    <n v="85"/>
  </r>
  <r>
    <n v="87"/>
    <s v="cliente87"/>
    <x v="2"/>
    <x v="3"/>
    <n v="87"/>
    <n v="0"/>
    <x v="3"/>
    <n v="87"/>
    <n v="85"/>
    <n v="85"/>
    <n v="0"/>
    <n v="0"/>
    <n v="0"/>
    <n v="0"/>
    <n v="0"/>
    <n v="0"/>
    <n v="0"/>
    <n v="0"/>
    <n v="0"/>
    <n v="0"/>
    <n v="0"/>
    <n v="0"/>
    <m/>
    <n v="0"/>
  </r>
  <r>
    <n v="88"/>
    <s v="cliente88"/>
    <x v="2"/>
    <x v="7"/>
    <n v="75"/>
    <n v="75"/>
    <x v="11"/>
    <n v="77"/>
    <n v="60"/>
    <n v="65"/>
    <n v="60"/>
    <n v="40"/>
    <n v="40"/>
    <n v="0"/>
    <n v="0"/>
    <n v="0"/>
    <n v="0"/>
    <n v="0"/>
    <n v="0"/>
    <n v="0"/>
    <n v="0"/>
    <n v="0"/>
    <m/>
    <n v="0"/>
  </r>
  <r>
    <n v="89"/>
    <s v="cliente89"/>
    <x v="11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"/>
    <s v="cliente90"/>
    <x v="10"/>
    <x v="4"/>
    <n v="85"/>
    <n v="85"/>
    <x v="9"/>
    <n v="85"/>
    <n v="85"/>
    <n v="83"/>
    <n v="87"/>
    <n v="75"/>
    <n v="75"/>
    <n v="80"/>
    <n v="80"/>
    <n v="83"/>
    <n v="83"/>
    <n v="77"/>
    <n v="77"/>
    <n v="0"/>
    <n v="0"/>
    <n v="0"/>
    <m/>
    <n v="0"/>
  </r>
  <r>
    <n v="91"/>
    <s v="cliente91"/>
    <x v="11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"/>
    <s v="cliente92"/>
    <x v="11"/>
    <x v="4"/>
    <n v="0"/>
    <n v="0"/>
    <x v="3"/>
    <n v="0"/>
    <n v="83"/>
    <n v="83"/>
    <n v="85"/>
    <n v="85"/>
    <n v="85"/>
    <n v="85"/>
    <n v="85"/>
    <n v="85"/>
    <n v="85"/>
    <n v="87"/>
    <n v="0"/>
    <n v="0"/>
    <n v="0"/>
    <n v="85"/>
    <n v="155401.8730226467"/>
    <n v="85"/>
  </r>
  <r>
    <n v="93"/>
    <s v="cliente93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"/>
    <s v="cliente94"/>
    <x v="6"/>
    <x v="2"/>
    <n v="0"/>
    <n v="0"/>
    <x v="3"/>
    <n v="0"/>
    <n v="83"/>
    <n v="83"/>
    <n v="85"/>
    <n v="85"/>
    <n v="85"/>
    <n v="85"/>
    <n v="85"/>
    <n v="0"/>
    <n v="0"/>
    <n v="0"/>
    <n v="0"/>
    <n v="0"/>
    <n v="0"/>
    <n v="85"/>
    <n v="141299.39356720445"/>
    <n v="85"/>
  </r>
  <r>
    <n v="95"/>
    <s v="cliente95"/>
    <x v="6"/>
    <x v="3"/>
    <n v="0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"/>
    <s v="cliente96"/>
    <x v="11"/>
    <x v="11"/>
    <n v="80"/>
    <n v="80"/>
    <x v="8"/>
    <n v="83"/>
    <n v="75"/>
    <n v="75"/>
    <n v="77"/>
    <n v="83"/>
    <n v="75"/>
    <n v="77"/>
    <n v="73"/>
    <n v="75"/>
    <n v="75"/>
    <n v="75"/>
    <n v="77"/>
    <n v="73"/>
    <n v="73"/>
    <n v="73"/>
    <n v="151969.17234649585"/>
    <n v="73"/>
  </r>
  <r>
    <n v="97"/>
    <s v="cliente97"/>
    <x v="0"/>
    <x v="2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98"/>
    <s v="cliente98"/>
    <x v="0"/>
    <x v="0"/>
    <n v="77"/>
    <n v="77"/>
    <x v="8"/>
    <n v="83"/>
    <n v="83"/>
    <n v="83"/>
    <n v="80"/>
    <n v="80"/>
    <n v="77"/>
    <n v="80"/>
    <n v="83"/>
    <n v="83"/>
    <n v="83"/>
    <n v="83"/>
    <n v="83"/>
    <n v="80"/>
    <n v="77"/>
    <n v="75"/>
    <n v="174530.76822260747"/>
    <n v="75"/>
  </r>
  <r>
    <n v="99"/>
    <s v="cliente99"/>
    <x v="2"/>
    <x v="12"/>
    <n v="70"/>
    <n v="65"/>
    <x v="7"/>
    <n v="22"/>
    <n v="22"/>
    <n v="22"/>
    <n v="22"/>
    <n v="22"/>
    <n v="22"/>
    <n v="22"/>
    <n v="22"/>
    <n v="22"/>
    <n v="22"/>
    <n v="22"/>
    <n v="22"/>
    <n v="22"/>
    <n v="22"/>
    <n v="22"/>
    <n v="612176.49915642117"/>
    <n v="22"/>
  </r>
  <r>
    <n v="100"/>
    <s v="cliente100"/>
    <x v="2"/>
    <x v="2"/>
    <n v="0"/>
    <n v="0"/>
    <x v="4"/>
    <n v="85"/>
    <n v="85"/>
    <n v="85"/>
    <n v="83"/>
    <n v="85"/>
    <n v="85"/>
    <n v="85"/>
    <n v="83"/>
    <n v="85"/>
    <n v="85"/>
    <n v="87"/>
    <n v="85"/>
    <n v="85"/>
    <n v="85"/>
    <n v="83"/>
    <n v="109662.53083970392"/>
    <n v="83"/>
  </r>
  <r>
    <n v="101"/>
    <s v="cliente101"/>
    <x v="11"/>
    <x v="4"/>
    <n v="83"/>
    <n v="83"/>
    <x v="5"/>
    <n v="75"/>
    <n v="77"/>
    <n v="70"/>
    <n v="65"/>
    <n v="70"/>
    <n v="77"/>
    <n v="0"/>
    <n v="80"/>
    <n v="73"/>
    <n v="73"/>
    <n v="75"/>
    <n v="75"/>
    <n v="73"/>
    <n v="75"/>
    <n v="73"/>
    <n v="455299.96665969631"/>
    <n v="73"/>
  </r>
  <r>
    <n v="102"/>
    <s v="cliente102"/>
    <x v="6"/>
    <x v="2"/>
    <n v="87"/>
    <n v="87"/>
    <x v="9"/>
    <n v="85"/>
    <n v="87"/>
    <n v="90"/>
    <n v="87"/>
    <n v="85"/>
    <n v="85"/>
    <n v="85"/>
    <n v="85"/>
    <n v="85"/>
    <n v="85"/>
    <n v="85"/>
    <n v="85"/>
    <n v="85"/>
    <n v="85"/>
    <n v="85"/>
    <n v="158795.74166617543"/>
    <n v="85"/>
  </r>
  <r>
    <n v="103"/>
    <s v="cliente103"/>
    <x v="4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"/>
    <s v="cliente104"/>
    <x v="13"/>
    <x v="12"/>
    <n v="73"/>
    <n v="73"/>
    <x v="0"/>
    <n v="65"/>
    <n v="65"/>
    <n v="0"/>
    <n v="0"/>
    <n v="0"/>
    <n v="0"/>
    <n v="0"/>
    <n v="0"/>
    <n v="0"/>
    <n v="0"/>
    <n v="0"/>
    <n v="0"/>
    <n v="0"/>
    <n v="0"/>
    <n v="0"/>
    <m/>
    <n v="0"/>
  </r>
  <r>
    <n v="105"/>
    <s v="cliente105"/>
    <x v="11"/>
    <x v="11"/>
    <n v="83"/>
    <n v="83"/>
    <x v="4"/>
    <n v="83"/>
    <n v="83"/>
    <n v="85"/>
    <n v="85"/>
    <n v="77"/>
    <n v="77"/>
    <n v="77"/>
    <n v="77"/>
    <n v="77"/>
    <n v="77"/>
    <n v="83"/>
    <n v="80"/>
    <n v="83"/>
    <n v="83"/>
    <n v="80"/>
    <n v="932913.6459439185"/>
    <n v="80"/>
  </r>
  <r>
    <n v="106"/>
    <s v="cliente106"/>
    <x v="6"/>
    <x v="3"/>
    <n v="85"/>
    <n v="85"/>
    <x v="4"/>
    <n v="85"/>
    <n v="0"/>
    <n v="0"/>
    <n v="0"/>
    <n v="0"/>
    <n v="0"/>
    <n v="0"/>
    <n v="0"/>
    <n v="0"/>
    <n v="0"/>
    <n v="0"/>
    <n v="0"/>
    <n v="0"/>
    <n v="0"/>
    <n v="0"/>
    <m/>
    <n v="0"/>
  </r>
  <r>
    <n v="107"/>
    <s v="cliente107"/>
    <x v="6"/>
    <x v="3"/>
    <n v="85"/>
    <n v="85"/>
    <x v="5"/>
    <n v="85"/>
    <n v="85"/>
    <n v="85"/>
    <n v="0"/>
    <n v="0"/>
    <n v="0"/>
    <n v="0"/>
    <n v="0"/>
    <n v="0"/>
    <n v="0"/>
    <n v="0"/>
    <n v="0"/>
    <n v="0"/>
    <n v="0"/>
    <n v="0"/>
    <m/>
    <n v="0"/>
  </r>
  <r>
    <n v="108"/>
    <s v="cliente108"/>
    <x v="2"/>
    <x v="3"/>
    <n v="85"/>
    <n v="85"/>
    <x v="6"/>
    <n v="87"/>
    <n v="87"/>
    <n v="0"/>
    <n v="0"/>
    <n v="85"/>
    <n v="85"/>
    <n v="83"/>
    <n v="83"/>
    <n v="83"/>
    <n v="83"/>
    <n v="0"/>
    <n v="0"/>
    <n v="0"/>
    <n v="0"/>
    <n v="0"/>
    <m/>
    <n v="0"/>
  </r>
  <r>
    <n v="109"/>
    <s v="cliente109"/>
    <x v="0"/>
    <x v="0"/>
    <n v="83"/>
    <n v="83"/>
    <x v="5"/>
    <n v="80"/>
    <n v="80"/>
    <n v="80"/>
    <n v="83"/>
    <n v="80"/>
    <n v="77"/>
    <n v="75"/>
    <n v="75"/>
    <n v="83"/>
    <n v="83"/>
    <n v="80"/>
    <n v="80"/>
    <n v="0"/>
    <n v="80"/>
    <n v="77"/>
    <n v="133596.58708600831"/>
    <n v="83"/>
  </r>
  <r>
    <n v="110"/>
    <s v="cliente110"/>
    <x v="2"/>
    <x v="2"/>
    <n v="0"/>
    <n v="0"/>
    <x v="3"/>
    <n v="85"/>
    <n v="85"/>
    <n v="85"/>
    <n v="85"/>
    <n v="85"/>
    <n v="85"/>
    <n v="85"/>
    <n v="87"/>
    <n v="0"/>
    <n v="0"/>
    <n v="87"/>
    <n v="0"/>
    <n v="0"/>
    <n v="0"/>
    <n v="0"/>
    <m/>
    <n v="0"/>
  </r>
  <r>
    <n v="111"/>
    <s v="cliente111"/>
    <x v="6"/>
    <x v="2"/>
    <n v="0"/>
    <n v="83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12"/>
    <s v="cliente112"/>
    <x v="11"/>
    <x v="11"/>
    <n v="83"/>
    <n v="83"/>
    <x v="4"/>
    <n v="83"/>
    <n v="80"/>
    <n v="77"/>
    <n v="83"/>
    <n v="83"/>
    <n v="80"/>
    <n v="80"/>
    <n v="80"/>
    <n v="83"/>
    <n v="83"/>
    <n v="80"/>
    <n v="83"/>
    <n v="80"/>
    <n v="80"/>
    <n v="80"/>
    <n v="155047.15504618458"/>
    <n v="83"/>
  </r>
  <r>
    <n v="113"/>
    <s v="cliente113"/>
    <x v="11"/>
    <x v="4"/>
    <n v="80"/>
    <n v="80"/>
    <x v="8"/>
    <n v="83"/>
    <n v="83"/>
    <n v="83"/>
    <n v="87"/>
    <n v="87"/>
    <n v="85"/>
    <n v="85"/>
    <n v="87"/>
    <n v="85"/>
    <n v="87"/>
    <n v="85"/>
    <n v="85"/>
    <n v="83"/>
    <n v="85"/>
    <n v="85"/>
    <n v="209184.6350835193"/>
    <n v="85"/>
  </r>
  <r>
    <n v="114"/>
    <s v="cliente114"/>
    <x v="11"/>
    <x v="11"/>
    <n v="85"/>
    <n v="0"/>
    <x v="4"/>
    <n v="85"/>
    <n v="85"/>
    <n v="85"/>
    <n v="85"/>
    <n v="85"/>
    <n v="85"/>
    <n v="83"/>
    <n v="83"/>
    <n v="85"/>
    <n v="85"/>
    <n v="85"/>
    <n v="85"/>
    <n v="85"/>
    <n v="85"/>
    <n v="85"/>
    <n v="155724.51197623895"/>
    <n v="83"/>
  </r>
  <r>
    <n v="115"/>
    <s v="cliente115"/>
    <x v="3"/>
    <x v="0"/>
    <n v="80"/>
    <n v="80"/>
    <x v="8"/>
    <n v="83"/>
    <n v="83"/>
    <n v="83"/>
    <n v="80"/>
    <n v="70"/>
    <n v="70"/>
    <n v="70"/>
    <n v="73"/>
    <n v="65"/>
    <n v="77"/>
    <n v="77"/>
    <n v="80"/>
    <n v="83"/>
    <n v="83"/>
    <n v="83"/>
    <n v="259602.54520666509"/>
    <n v="87"/>
  </r>
  <r>
    <n v="116"/>
    <s v="cliente116"/>
    <x v="0"/>
    <x v="7"/>
    <n v="75"/>
    <n v="75"/>
    <x v="3"/>
    <n v="77"/>
    <n v="73"/>
    <n v="73"/>
    <n v="73"/>
    <n v="73"/>
    <n v="73"/>
    <n v="73"/>
    <n v="65"/>
    <n v="77"/>
    <n v="70"/>
    <n v="73"/>
    <n v="73"/>
    <n v="73"/>
    <n v="73"/>
    <n v="73"/>
    <n v="109316.43337146545"/>
    <n v="73"/>
  </r>
  <r>
    <n v="117"/>
    <s v="cliente117"/>
    <x v="11"/>
    <x v="4"/>
    <n v="83"/>
    <n v="83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18"/>
    <s v="cliente118"/>
    <x v="4"/>
    <x v="4"/>
    <n v="83"/>
    <n v="83"/>
    <x v="8"/>
    <n v="77"/>
    <n v="85"/>
    <n v="85"/>
    <n v="85"/>
    <n v="85"/>
    <n v="85"/>
    <n v="85"/>
    <n v="85"/>
    <n v="83"/>
    <n v="83"/>
    <n v="83"/>
    <n v="85"/>
    <n v="85"/>
    <n v="85"/>
    <n v="85"/>
    <n v="131423.32810848366"/>
    <n v="83"/>
  </r>
  <r>
    <n v="119"/>
    <s v="cliente119"/>
    <x v="14"/>
    <x v="14"/>
    <n v="90"/>
    <n v="9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0"/>
    <s v="cliente120"/>
    <x v="11"/>
    <x v="3"/>
    <n v="85"/>
    <n v="85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21"/>
    <s v="cliente121"/>
    <x v="11"/>
    <x v="4"/>
    <n v="83"/>
    <n v="83"/>
    <x v="5"/>
    <n v="77"/>
    <n v="80"/>
    <n v="83"/>
    <n v="77"/>
    <n v="80"/>
    <n v="80"/>
    <n v="77"/>
    <n v="80"/>
    <n v="83"/>
    <n v="77"/>
    <n v="83"/>
    <n v="83"/>
    <n v="83"/>
    <n v="80"/>
    <n v="83"/>
    <n v="140674.63674431006"/>
    <n v="83"/>
  </r>
  <r>
    <n v="122"/>
    <s v="cliente122"/>
    <x v="1"/>
    <x v="7"/>
    <n v="77"/>
    <n v="77"/>
    <x v="5"/>
    <n v="83"/>
    <n v="83"/>
    <n v="83"/>
    <n v="83"/>
    <n v="83"/>
    <n v="83"/>
    <n v="85"/>
    <n v="83"/>
    <n v="83"/>
    <n v="83"/>
    <n v="85"/>
    <n v="85"/>
    <n v="85"/>
    <n v="85"/>
    <n v="85"/>
    <n v="198727.34355967041"/>
    <n v="85"/>
  </r>
  <r>
    <n v="123"/>
    <s v="cliente123"/>
    <x v="6"/>
    <x v="9"/>
    <n v="85"/>
    <n v="85"/>
    <x v="5"/>
    <n v="80"/>
    <n v="85"/>
    <n v="85"/>
    <n v="85"/>
    <n v="85"/>
    <n v="0"/>
    <n v="0"/>
    <n v="0"/>
    <n v="0"/>
    <n v="0"/>
    <n v="0"/>
    <n v="0"/>
    <n v="0"/>
    <n v="0"/>
    <n v="0"/>
    <m/>
    <n v="0"/>
  </r>
  <r>
    <n v="124"/>
    <s v="cliente124"/>
    <x v="2"/>
    <x v="2"/>
    <n v="85"/>
    <n v="85"/>
    <x v="9"/>
    <n v="90"/>
    <n v="90"/>
    <n v="90"/>
    <n v="87"/>
    <n v="77"/>
    <n v="75"/>
    <n v="77"/>
    <n v="87"/>
    <n v="85"/>
    <n v="85"/>
    <n v="85"/>
    <n v="85"/>
    <n v="80"/>
    <n v="80"/>
    <n v="83"/>
    <n v="114972.88205340815"/>
    <n v="85"/>
  </r>
  <r>
    <n v="125"/>
    <s v="cliente125"/>
    <x v="6"/>
    <x v="2"/>
    <n v="0"/>
    <n v="87"/>
    <x v="3"/>
    <n v="87"/>
    <n v="87"/>
    <n v="87"/>
    <n v="0"/>
    <n v="0"/>
    <n v="90"/>
    <n v="87"/>
    <n v="90"/>
    <n v="87"/>
    <n v="87"/>
    <n v="85"/>
    <n v="87"/>
    <n v="87"/>
    <n v="85"/>
    <n v="85"/>
    <n v="582412.58619489707"/>
    <n v="80"/>
  </r>
  <r>
    <n v="126"/>
    <s v="cliente126"/>
    <x v="2"/>
    <x v="13"/>
    <n v="60"/>
    <n v="60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127"/>
    <s v="cliente127"/>
    <x v="6"/>
    <x v="0"/>
    <n v="87"/>
    <n v="87"/>
    <x v="3"/>
    <n v="0"/>
    <n v="0"/>
    <n v="0"/>
    <n v="0"/>
    <n v="87"/>
    <n v="90"/>
    <n v="90"/>
    <n v="0"/>
    <n v="90"/>
    <n v="85"/>
    <n v="85"/>
    <n v="83"/>
    <n v="80"/>
    <n v="83"/>
    <n v="80"/>
    <n v="581471.77253817592"/>
    <n v="77"/>
  </r>
  <r>
    <n v="128"/>
    <s v="cliente128"/>
    <x v="2"/>
    <x v="4"/>
    <n v="75"/>
    <n v="75"/>
    <x v="3"/>
    <n v="87"/>
    <n v="85"/>
    <n v="85"/>
    <n v="0"/>
    <n v="0"/>
    <n v="87"/>
    <n v="87"/>
    <n v="0"/>
    <n v="87"/>
    <n v="87"/>
    <n v="85"/>
    <n v="0"/>
    <n v="83"/>
    <n v="80"/>
    <n v="80"/>
    <n v="1050010.2903843494"/>
    <n v="85"/>
  </r>
  <r>
    <n v="129"/>
    <s v="cliente129"/>
    <x v="11"/>
    <x v="3"/>
    <n v="87"/>
    <n v="87"/>
    <x v="3"/>
    <n v="87"/>
    <n v="85"/>
    <n v="85"/>
    <n v="0"/>
    <n v="0"/>
    <n v="0"/>
    <n v="0"/>
    <n v="0"/>
    <n v="0"/>
    <n v="0"/>
    <n v="0"/>
    <n v="85"/>
    <n v="83"/>
    <n v="83"/>
    <n v="83"/>
    <n v="193025.71829200225"/>
    <n v="80"/>
  </r>
  <r>
    <n v="130"/>
    <s v="cliente130"/>
    <x v="5"/>
    <x v="2"/>
    <n v="0"/>
    <n v="0"/>
    <x v="3"/>
    <n v="90"/>
    <n v="87"/>
    <n v="87"/>
    <n v="0"/>
    <n v="0"/>
    <n v="0"/>
    <n v="0"/>
    <n v="0"/>
    <n v="0"/>
    <n v="0"/>
    <n v="0"/>
    <n v="0"/>
    <n v="0"/>
    <n v="0"/>
    <n v="0"/>
    <m/>
    <n v="0"/>
  </r>
  <r>
    <n v="131"/>
    <s v="cliente131"/>
    <x v="11"/>
    <x v="11"/>
    <n v="85"/>
    <n v="85"/>
    <x v="8"/>
    <n v="85"/>
    <n v="85"/>
    <n v="85"/>
    <n v="85"/>
    <n v="85"/>
    <n v="85"/>
    <n v="85"/>
    <n v="0"/>
    <n v="0"/>
    <n v="0"/>
    <n v="0"/>
    <n v="0"/>
    <n v="0"/>
    <n v="0"/>
    <n v="0"/>
    <m/>
    <n v="0"/>
  </r>
  <r>
    <n v="132"/>
    <s v="cliente132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3"/>
    <s v="cliente133"/>
    <x v="0"/>
    <x v="11"/>
    <n v="83"/>
    <n v="83"/>
    <x v="4"/>
    <n v="83"/>
    <n v="83"/>
    <n v="83"/>
    <n v="85"/>
    <n v="85"/>
    <n v="80"/>
    <n v="83"/>
    <n v="83"/>
    <n v="85"/>
    <n v="83"/>
    <n v="0"/>
    <n v="0"/>
    <n v="0"/>
    <n v="0"/>
    <n v="0"/>
    <m/>
    <n v="0"/>
  </r>
  <r>
    <n v="134"/>
    <s v="cliente134"/>
    <x v="3"/>
    <x v="11"/>
    <n v="80"/>
    <n v="80"/>
    <x v="8"/>
    <n v="77"/>
    <n v="77"/>
    <n v="77"/>
    <n v="77"/>
    <n v="80"/>
    <n v="80"/>
    <n v="80"/>
    <n v="83"/>
    <n v="80"/>
    <n v="83"/>
    <n v="85"/>
    <n v="85"/>
    <n v="83"/>
    <n v="83"/>
    <n v="83"/>
    <n v="342589.94511555915"/>
    <n v="83"/>
  </r>
  <r>
    <n v="135"/>
    <s v="cliente135"/>
    <x v="6"/>
    <x v="0"/>
    <n v="80"/>
    <n v="83"/>
    <x v="8"/>
    <n v="80"/>
    <n v="80"/>
    <n v="83"/>
    <n v="83"/>
    <n v="83"/>
    <n v="83"/>
    <n v="80"/>
    <n v="83"/>
    <n v="83"/>
    <n v="0"/>
    <n v="0"/>
    <n v="0"/>
    <n v="0"/>
    <n v="0"/>
    <n v="0"/>
    <m/>
    <n v="0"/>
  </r>
  <r>
    <n v="136"/>
    <s v="cliente136"/>
    <x v="11"/>
    <x v="11"/>
    <n v="83"/>
    <n v="83"/>
    <x v="4"/>
    <n v="85"/>
    <n v="85"/>
    <n v="85"/>
    <n v="83"/>
    <n v="85"/>
    <n v="83"/>
    <n v="83"/>
    <n v="83"/>
    <n v="83"/>
    <n v="83"/>
    <n v="83"/>
    <n v="83"/>
    <n v="83"/>
    <n v="83"/>
    <n v="83"/>
    <n v="143699.84565567705"/>
    <n v="85"/>
  </r>
  <r>
    <n v="137"/>
    <s v="cliente137"/>
    <x v="6"/>
    <x v="4"/>
    <n v="0"/>
    <n v="0"/>
    <x v="8"/>
    <n v="75"/>
    <n v="75"/>
    <n v="77"/>
    <n v="80"/>
    <n v="80"/>
    <n v="0"/>
    <n v="0"/>
    <n v="0"/>
    <n v="0"/>
    <n v="0"/>
    <n v="0"/>
    <n v="0"/>
    <n v="0"/>
    <n v="0"/>
    <n v="0"/>
    <m/>
    <n v="0"/>
  </r>
  <r>
    <n v="138"/>
    <s v="cliente138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9"/>
    <s v="cliente139"/>
    <x v="4"/>
    <x v="12"/>
    <n v="70"/>
    <n v="70"/>
    <x v="0"/>
    <n v="70"/>
    <n v="0"/>
    <n v="0"/>
    <n v="0"/>
    <n v="0"/>
    <n v="0"/>
    <n v="0"/>
    <n v="0"/>
    <n v="0"/>
    <n v="0"/>
    <n v="0"/>
    <n v="0"/>
    <n v="0"/>
    <n v="0"/>
    <n v="0"/>
    <m/>
    <n v="0"/>
  </r>
  <r>
    <n v="140"/>
    <s v="cliente140"/>
    <x v="12"/>
    <x v="1"/>
    <n v="4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1"/>
    <s v="cliente141"/>
    <x v="4"/>
    <x v="0"/>
    <n v="73"/>
    <n v="73"/>
    <x v="12"/>
    <n v="73"/>
    <n v="0"/>
    <n v="0"/>
    <n v="0"/>
    <n v="0"/>
    <n v="0"/>
    <n v="0"/>
    <n v="0"/>
    <n v="0"/>
    <n v="0"/>
    <n v="0"/>
    <n v="0"/>
    <n v="0"/>
    <n v="0"/>
    <n v="0"/>
    <m/>
    <n v="0"/>
  </r>
  <r>
    <n v="142"/>
    <s v="cliente142"/>
    <x v="11"/>
    <x v="4"/>
    <n v="87"/>
    <n v="87"/>
    <x v="6"/>
    <n v="87"/>
    <n v="90"/>
    <n v="90"/>
    <n v="87"/>
    <n v="90"/>
    <n v="90"/>
    <n v="87"/>
    <n v="87"/>
    <n v="90"/>
    <n v="85"/>
    <n v="83"/>
    <n v="83"/>
    <n v="85"/>
    <n v="83"/>
    <n v="83"/>
    <n v="334838.16574413481"/>
    <n v="85"/>
  </r>
  <r>
    <n v="143"/>
    <s v="cliente143"/>
    <x v="1"/>
    <x v="2"/>
    <n v="83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4"/>
    <s v="cliente144"/>
    <x v="6"/>
    <x v="4"/>
    <n v="87"/>
    <n v="87"/>
    <x v="6"/>
    <n v="87"/>
    <n v="87"/>
    <n v="87"/>
    <n v="87"/>
    <n v="87"/>
    <n v="87"/>
    <n v="83"/>
    <n v="83"/>
    <n v="0"/>
    <n v="0"/>
    <n v="0"/>
    <n v="0"/>
    <n v="0"/>
    <n v="0"/>
    <n v="0"/>
    <m/>
    <n v="0"/>
  </r>
  <r>
    <n v="145"/>
    <s v="cliente145"/>
    <x v="2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6"/>
    <s v="cliente146"/>
    <x v="3"/>
    <x v="0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7"/>
    <s v="cliente147"/>
    <x v="11"/>
    <x v="4"/>
    <n v="83"/>
    <n v="83"/>
    <x v="5"/>
    <n v="87"/>
    <n v="87"/>
    <n v="0"/>
    <n v="83"/>
    <n v="83"/>
    <n v="40"/>
    <n v="83"/>
    <n v="83"/>
    <n v="83"/>
    <n v="77"/>
    <n v="77"/>
    <n v="77"/>
    <n v="80"/>
    <n v="0"/>
    <n v="0"/>
    <m/>
    <n v="0"/>
  </r>
  <r>
    <n v="148"/>
    <s v="cliente148"/>
    <x v="11"/>
    <x v="11"/>
    <n v="80"/>
    <n v="75"/>
    <x v="2"/>
    <n v="40"/>
    <n v="0"/>
    <n v="0"/>
    <n v="0"/>
    <n v="0"/>
    <n v="0"/>
    <n v="0"/>
    <n v="0"/>
    <n v="0"/>
    <n v="0"/>
    <n v="0"/>
    <n v="0"/>
    <n v="0"/>
    <n v="0"/>
    <n v="0"/>
    <m/>
    <n v="0"/>
  </r>
  <r>
    <n v="149"/>
    <s v="cliente149"/>
    <x v="11"/>
    <x v="11"/>
    <n v="87"/>
    <n v="87"/>
    <x v="9"/>
    <n v="87"/>
    <n v="0"/>
    <n v="90"/>
    <n v="90"/>
    <n v="87"/>
    <n v="0"/>
    <n v="85"/>
    <n v="0"/>
    <n v="0"/>
    <n v="0"/>
    <n v="0"/>
    <n v="85"/>
    <n v="0"/>
    <n v="0"/>
    <n v="0"/>
    <m/>
    <n v="0"/>
  </r>
  <r>
    <n v="150"/>
    <s v="cliente150"/>
    <x v="6"/>
    <x v="3"/>
    <n v="87"/>
    <n v="87"/>
    <x v="8"/>
    <n v="85"/>
    <n v="0"/>
    <n v="77"/>
    <n v="0"/>
    <n v="0"/>
    <n v="0"/>
    <n v="0"/>
    <n v="0"/>
    <n v="0"/>
    <n v="0"/>
    <n v="85"/>
    <n v="85"/>
    <n v="83"/>
    <n v="0"/>
    <n v="85"/>
    <n v="1869100.0419152423"/>
    <n v="85"/>
  </r>
  <r>
    <n v="151"/>
    <s v="cliente151"/>
    <x v="6"/>
    <x v="3"/>
    <n v="85"/>
    <n v="85"/>
    <x v="6"/>
    <n v="85"/>
    <n v="85"/>
    <n v="85"/>
    <n v="85"/>
    <n v="87"/>
    <n v="87"/>
    <n v="0"/>
    <n v="0"/>
    <n v="0"/>
    <n v="0"/>
    <n v="0"/>
    <n v="0"/>
    <n v="0"/>
    <n v="0"/>
    <n v="0"/>
    <m/>
    <n v="0"/>
  </r>
  <r>
    <n v="152"/>
    <s v="cliente152"/>
    <x v="6"/>
    <x v="11"/>
    <n v="0"/>
    <n v="87"/>
    <x v="6"/>
    <n v="90"/>
    <n v="90"/>
    <n v="80"/>
    <n v="80"/>
    <n v="80"/>
    <n v="80"/>
    <n v="80"/>
    <n v="85"/>
    <n v="85"/>
    <n v="85"/>
    <n v="83"/>
    <n v="83"/>
    <n v="85"/>
    <n v="85"/>
    <n v="85"/>
    <n v="211494.30142322465"/>
    <n v="87"/>
  </r>
  <r>
    <n v="153"/>
    <s v="cliente153"/>
    <x v="2"/>
    <x v="2"/>
    <n v="0"/>
    <n v="0"/>
    <x v="3"/>
    <n v="0"/>
    <n v="83"/>
    <n v="83"/>
    <n v="85"/>
    <n v="85"/>
    <n v="85"/>
    <n v="0"/>
    <n v="0"/>
    <n v="0"/>
    <n v="0"/>
    <n v="0"/>
    <n v="0"/>
    <n v="0"/>
    <n v="0"/>
    <n v="0"/>
    <m/>
    <n v="0"/>
  </r>
  <r>
    <n v="154"/>
    <s v="cliente154"/>
    <x v="2"/>
    <x v="2"/>
    <n v="0"/>
    <n v="83"/>
    <x v="4"/>
    <n v="0"/>
    <n v="0"/>
    <n v="0"/>
    <n v="0"/>
    <n v="0"/>
    <n v="0"/>
    <n v="0"/>
    <n v="0"/>
    <n v="90"/>
    <n v="0"/>
    <n v="0"/>
    <n v="0"/>
    <n v="0"/>
    <n v="0"/>
    <n v="0"/>
    <m/>
    <n v="0"/>
  </r>
  <r>
    <n v="155"/>
    <s v="cliente155"/>
    <x v="1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6"/>
    <s v="cliente156"/>
    <x v="0"/>
    <x v="0"/>
    <n v="85"/>
    <n v="85"/>
    <x v="0"/>
    <n v="77"/>
    <n v="83"/>
    <n v="0"/>
    <n v="0"/>
    <n v="0"/>
    <n v="0"/>
    <n v="0"/>
    <n v="0"/>
    <n v="0"/>
    <n v="0"/>
    <n v="0"/>
    <n v="0"/>
    <n v="0"/>
    <n v="0"/>
    <n v="0"/>
    <m/>
    <n v="0"/>
  </r>
  <r>
    <n v="157"/>
    <s v="cliente157"/>
    <x v="2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8"/>
    <s v="cliente158"/>
    <x v="3"/>
    <x v="11"/>
    <n v="77"/>
    <n v="77"/>
    <x v="4"/>
    <n v="85"/>
    <n v="80"/>
    <n v="83"/>
    <n v="83"/>
    <n v="77"/>
    <n v="80"/>
    <n v="77"/>
    <n v="80"/>
    <n v="77"/>
    <n v="80"/>
    <n v="80"/>
    <n v="75"/>
    <n v="65"/>
    <n v="65"/>
    <n v="0"/>
    <m/>
    <n v="0"/>
  </r>
  <r>
    <n v="159"/>
    <s v="cliente159"/>
    <x v="2"/>
    <x v="2"/>
    <n v="0"/>
    <n v="83"/>
    <x v="4"/>
    <n v="83"/>
    <n v="80"/>
    <n v="80"/>
    <n v="83"/>
    <n v="83"/>
    <n v="83"/>
    <n v="83"/>
    <n v="85"/>
    <n v="80"/>
    <n v="77"/>
    <n v="77"/>
    <n v="77"/>
    <n v="77"/>
    <n v="77"/>
    <n v="80"/>
    <n v="112455.71634296617"/>
    <n v="87"/>
  </r>
  <r>
    <n v="160"/>
    <s v="cliente160"/>
    <x v="10"/>
    <x v="11"/>
    <n v="83"/>
    <n v="83"/>
    <x v="4"/>
    <n v="83"/>
    <n v="77"/>
    <n v="83"/>
    <n v="77"/>
    <n v="75"/>
    <n v="73"/>
    <n v="73"/>
    <n v="0"/>
    <n v="0"/>
    <n v="0"/>
    <n v="0"/>
    <n v="0"/>
    <n v="0"/>
    <n v="0"/>
    <n v="0"/>
    <m/>
    <n v="0"/>
  </r>
  <r>
    <n v="161"/>
    <s v="cliente161"/>
    <x v="6"/>
    <x v="3"/>
    <n v="87"/>
    <n v="87"/>
    <x v="6"/>
    <n v="85"/>
    <n v="80"/>
    <n v="83"/>
    <n v="80"/>
    <n v="83"/>
    <n v="83"/>
    <n v="80"/>
    <n v="70"/>
    <n v="75"/>
    <n v="75"/>
    <n v="75"/>
    <n v="75"/>
    <n v="73"/>
    <n v="73"/>
    <n v="75"/>
    <n v="116093.01590387151"/>
    <n v="80"/>
  </r>
  <r>
    <n v="162"/>
    <s v="cliente162"/>
    <x v="0"/>
    <x v="3"/>
    <n v="77"/>
    <n v="77"/>
    <x v="5"/>
    <n v="85"/>
    <n v="85"/>
    <n v="0"/>
    <n v="0"/>
    <n v="0"/>
    <n v="0"/>
    <n v="0"/>
    <n v="0"/>
    <n v="0"/>
    <n v="0"/>
    <n v="0"/>
    <n v="0"/>
    <n v="0"/>
    <n v="0"/>
    <n v="0"/>
    <m/>
    <n v="0"/>
  </r>
  <r>
    <n v="163"/>
    <s v="cliente163"/>
    <x v="6"/>
    <x v="3"/>
    <n v="85"/>
    <n v="85"/>
    <x v="3"/>
    <n v="0"/>
    <n v="0"/>
    <n v="0"/>
    <n v="83"/>
    <n v="73"/>
    <n v="73"/>
    <n v="73"/>
    <n v="70"/>
    <n v="0"/>
    <n v="0"/>
    <n v="0"/>
    <n v="0"/>
    <n v="0"/>
    <n v="0"/>
    <n v="0"/>
    <m/>
    <n v="0"/>
  </r>
  <r>
    <n v="164"/>
    <s v="cliente164"/>
    <x v="4"/>
    <x v="6"/>
    <n v="75"/>
    <n v="75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165"/>
    <s v="cliente165"/>
    <x v="0"/>
    <x v="11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276820.82477667439"/>
    <n v="22"/>
  </r>
  <r>
    <n v="166"/>
    <s v="cliente166"/>
    <x v="10"/>
    <x v="3"/>
    <n v="85"/>
    <n v="85"/>
    <x v="6"/>
    <n v="87"/>
    <n v="87"/>
    <n v="85"/>
    <n v="85"/>
    <n v="85"/>
    <n v="87"/>
    <n v="85"/>
    <n v="85"/>
    <n v="80"/>
    <n v="77"/>
    <n v="80"/>
    <n v="80"/>
    <n v="80"/>
    <n v="80"/>
    <n v="80"/>
    <n v="165577.6714005692"/>
    <n v="83"/>
  </r>
  <r>
    <n v="167"/>
    <s v="cliente167"/>
    <x v="0"/>
    <x v="3"/>
    <n v="73"/>
    <n v="73"/>
    <x v="11"/>
    <n v="73"/>
    <n v="77"/>
    <n v="77"/>
    <n v="77"/>
    <n v="83"/>
    <n v="83"/>
    <n v="83"/>
    <n v="83"/>
    <n v="85"/>
    <n v="85"/>
    <n v="87"/>
    <n v="0"/>
    <n v="0"/>
    <n v="0"/>
    <n v="0"/>
    <m/>
    <n v="0"/>
  </r>
  <r>
    <n v="168"/>
    <s v="cliente168"/>
    <x v="11"/>
    <x v="11"/>
    <n v="85"/>
    <n v="85"/>
    <x v="4"/>
    <n v="85"/>
    <n v="85"/>
    <n v="85"/>
    <n v="87"/>
    <n v="85"/>
    <n v="0"/>
    <n v="87"/>
    <n v="85"/>
    <n v="87"/>
    <n v="87"/>
    <n v="87"/>
    <n v="87"/>
    <n v="87"/>
    <n v="87"/>
    <n v="85"/>
    <n v="419853.2377272179"/>
    <n v="85"/>
  </r>
  <r>
    <n v="169"/>
    <s v="cliente169"/>
    <x v="6"/>
    <x v="2"/>
    <n v="77"/>
    <n v="80"/>
    <x v="8"/>
    <n v="83"/>
    <n v="80"/>
    <n v="0"/>
    <n v="0"/>
    <n v="0"/>
    <n v="0"/>
    <n v="0"/>
    <n v="0"/>
    <n v="0"/>
    <n v="0"/>
    <n v="0"/>
    <n v="0"/>
    <n v="0"/>
    <n v="0"/>
    <n v="0"/>
    <m/>
    <n v="0"/>
  </r>
  <r>
    <n v="170"/>
    <s v="cliente170"/>
    <x v="2"/>
    <x v="5"/>
    <n v="77"/>
    <n v="7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1"/>
    <s v="cliente171"/>
    <x v="2"/>
    <x v="11"/>
    <n v="83"/>
    <n v="83"/>
    <x v="4"/>
    <n v="80"/>
    <n v="83"/>
    <n v="0"/>
    <n v="0"/>
    <n v="0"/>
    <n v="0"/>
    <n v="0"/>
    <n v="0"/>
    <n v="0"/>
    <n v="0"/>
    <n v="0"/>
    <n v="0"/>
    <n v="0"/>
    <n v="0"/>
    <n v="0"/>
    <m/>
    <n v="0"/>
  </r>
  <r>
    <n v="172"/>
    <s v="cliente172"/>
    <x v="2"/>
    <x v="11"/>
    <n v="80"/>
    <n v="80"/>
    <x v="5"/>
    <n v="80"/>
    <n v="80"/>
    <n v="80"/>
    <n v="83"/>
    <n v="80"/>
    <n v="80"/>
    <n v="83"/>
    <n v="80"/>
    <n v="83"/>
    <n v="80"/>
    <n v="80"/>
    <n v="83"/>
    <n v="83"/>
    <n v="80"/>
    <n v="80"/>
    <n v="346083.28602882795"/>
    <n v="80"/>
  </r>
  <r>
    <n v="173"/>
    <s v="cliente173"/>
    <x v="2"/>
    <x v="2"/>
    <n v="0"/>
    <n v="83"/>
    <x v="4"/>
    <n v="85"/>
    <n v="83"/>
    <n v="83"/>
    <n v="83"/>
    <n v="85"/>
    <n v="85"/>
    <n v="85"/>
    <n v="85"/>
    <n v="87"/>
    <n v="85"/>
    <n v="87"/>
    <n v="87"/>
    <n v="0"/>
    <n v="0"/>
    <n v="0"/>
    <m/>
    <n v="0"/>
  </r>
  <r>
    <n v="174"/>
    <s v="cliente174"/>
    <x v="2"/>
    <x v="11"/>
    <n v="80"/>
    <n v="80"/>
    <x v="5"/>
    <n v="83"/>
    <n v="83"/>
    <n v="83"/>
    <n v="85"/>
    <n v="85"/>
    <n v="85"/>
    <n v="83"/>
    <n v="83"/>
    <n v="80"/>
    <n v="80"/>
    <n v="77"/>
    <n v="77"/>
    <n v="77"/>
    <n v="77"/>
    <n v="77"/>
    <n v="118162.88560900597"/>
    <n v="77"/>
  </r>
  <r>
    <n v="175"/>
    <s v="cliente175"/>
    <x v="2"/>
    <x v="4"/>
    <n v="73"/>
    <n v="73"/>
    <x v="6"/>
    <n v="83"/>
    <n v="73"/>
    <n v="73"/>
    <n v="0"/>
    <n v="0"/>
    <n v="0"/>
    <n v="0"/>
    <n v="0"/>
    <n v="0"/>
    <n v="0"/>
    <n v="0"/>
    <n v="0"/>
    <n v="0"/>
    <n v="0"/>
    <n v="0"/>
    <m/>
    <n v="0"/>
  </r>
  <r>
    <n v="176"/>
    <s v="cliente17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7"/>
    <s v="cliente177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78"/>
    <s v="cliente178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9"/>
    <s v="cliente179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80"/>
    <s v="cliente180"/>
    <x v="2"/>
    <x v="3"/>
    <n v="0"/>
    <n v="0"/>
    <x v="9"/>
    <n v="85"/>
    <n v="0"/>
    <n v="0"/>
    <n v="0"/>
    <n v="0"/>
    <n v="0"/>
    <n v="0"/>
    <n v="0"/>
    <n v="0"/>
    <n v="0"/>
    <n v="0"/>
    <n v="0"/>
    <n v="0"/>
    <n v="0"/>
    <n v="0"/>
    <m/>
    <n v="0"/>
  </r>
  <r>
    <n v="181"/>
    <s v="cliente181"/>
    <x v="2"/>
    <x v="2"/>
    <n v="0"/>
    <n v="0"/>
    <x v="9"/>
    <n v="77"/>
    <n v="77"/>
    <n v="0"/>
    <n v="0"/>
    <n v="0"/>
    <n v="0"/>
    <n v="0"/>
    <n v="0"/>
    <n v="0"/>
    <n v="0"/>
    <n v="0"/>
    <n v="0"/>
    <n v="0"/>
    <n v="0"/>
    <n v="0"/>
    <m/>
    <n v="0"/>
  </r>
  <r>
    <n v="182"/>
    <s v="cliente182"/>
    <x v="2"/>
    <x v="3"/>
    <n v="0"/>
    <n v="8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3"/>
    <s v="cliente183"/>
    <x v="2"/>
    <x v="3"/>
    <n v="0"/>
    <n v="87"/>
    <x v="6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4"/>
    <s v="cliente184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5"/>
    <s v="cliente185"/>
    <x v="2"/>
    <x v="2"/>
    <n v="0"/>
    <n v="0"/>
    <x v="9"/>
    <n v="83"/>
    <n v="83"/>
    <n v="0"/>
    <n v="0"/>
    <n v="0"/>
    <n v="0"/>
    <n v="0"/>
    <n v="0"/>
    <n v="0"/>
    <n v="0"/>
    <n v="0"/>
    <n v="0"/>
    <n v="0"/>
    <n v="0"/>
    <n v="0"/>
    <m/>
    <n v="0"/>
  </r>
  <r>
    <n v="186"/>
    <s v="cliente18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7"/>
    <s v="cliente187"/>
    <x v="2"/>
    <x v="0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8"/>
    <s v="cliente188"/>
    <x v="2"/>
    <x v="2"/>
    <n v="83"/>
    <n v="0"/>
    <x v="3"/>
    <n v="87"/>
    <n v="0"/>
    <n v="0"/>
    <n v="0"/>
    <n v="0"/>
    <n v="0"/>
    <n v="0"/>
    <n v="0"/>
    <n v="0"/>
    <n v="0"/>
    <n v="0"/>
    <n v="0"/>
    <n v="0"/>
    <n v="0"/>
    <n v="0"/>
    <m/>
    <n v="0"/>
  </r>
  <r>
    <n v="189"/>
    <s v="cliente189"/>
    <x v="2"/>
    <x v="4"/>
    <n v="83"/>
    <n v="83"/>
    <x v="4"/>
    <n v="85"/>
    <n v="85"/>
    <n v="85"/>
    <n v="87"/>
    <n v="87"/>
    <n v="87"/>
    <n v="87"/>
    <n v="87"/>
    <n v="87"/>
    <n v="90"/>
    <n v="90"/>
    <n v="87"/>
    <n v="87"/>
    <n v="87"/>
    <n v="85"/>
    <n v="161162.64646927049"/>
    <n v="83"/>
  </r>
  <r>
    <n v="190"/>
    <s v="cliente190"/>
    <x v="2"/>
    <x v="11"/>
    <n v="83"/>
    <n v="83"/>
    <x v="4"/>
    <n v="85"/>
    <n v="85"/>
    <n v="87"/>
    <n v="85"/>
    <n v="77"/>
    <n v="80"/>
    <n v="80"/>
    <n v="80"/>
    <n v="80"/>
    <n v="80"/>
    <n v="83"/>
    <n v="83"/>
    <n v="83"/>
    <n v="85"/>
    <n v="83"/>
    <n v="382419.23771066545"/>
    <n v="87"/>
  </r>
  <r>
    <n v="191"/>
    <s v="cliente191"/>
    <x v="2"/>
    <x v="4"/>
    <n v="83"/>
    <n v="83"/>
    <x v="6"/>
    <n v="83"/>
    <n v="85"/>
    <n v="85"/>
    <n v="87"/>
    <n v="85"/>
    <n v="87"/>
    <n v="83"/>
    <n v="80"/>
    <n v="0"/>
    <n v="0"/>
    <n v="0"/>
    <n v="0"/>
    <n v="0"/>
    <n v="0"/>
    <n v="0"/>
    <m/>
    <n v="0"/>
  </r>
  <r>
    <n v="192"/>
    <s v="cliente192"/>
    <x v="2"/>
    <x v="0"/>
    <n v="83"/>
    <n v="83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193"/>
    <s v="cliente193"/>
    <x v="2"/>
    <x v="0"/>
    <n v="80"/>
    <n v="80"/>
    <x v="4"/>
    <n v="0"/>
    <n v="0"/>
    <n v="0"/>
    <n v="0"/>
    <n v="0"/>
    <n v="87"/>
    <n v="87"/>
    <n v="85"/>
    <n v="0"/>
    <n v="85"/>
    <n v="85"/>
    <n v="80"/>
    <n v="77"/>
    <n v="77"/>
    <n v="77"/>
    <n v="159953.99913889274"/>
    <n v="83"/>
  </r>
  <r>
    <n v="194"/>
    <s v="cliente194"/>
    <x v="2"/>
    <x v="3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5"/>
    <s v="cliente195"/>
    <x v="2"/>
    <x v="11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6"/>
    <s v="cliente196"/>
    <x v="2"/>
    <x v="11"/>
    <n v="80"/>
    <n v="80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97"/>
    <s v="cliente197"/>
    <x v="2"/>
    <x v="4"/>
    <n v="83"/>
    <n v="83"/>
    <x v="6"/>
    <n v="85"/>
    <n v="83"/>
    <n v="83"/>
    <n v="83"/>
    <n v="0"/>
    <n v="0"/>
    <n v="0"/>
    <n v="0"/>
    <n v="0"/>
    <n v="0"/>
    <n v="0"/>
    <n v="0"/>
    <n v="0"/>
    <n v="0"/>
    <n v="0"/>
    <m/>
    <n v="0"/>
  </r>
  <r>
    <n v="198"/>
    <s v="cliente198"/>
    <x v="2"/>
    <x v="2"/>
    <n v="85"/>
    <n v="85"/>
    <x v="6"/>
    <n v="85"/>
    <n v="85"/>
    <n v="85"/>
    <n v="87"/>
    <n v="87"/>
    <n v="85"/>
    <n v="87"/>
    <n v="87"/>
    <n v="85"/>
    <n v="0"/>
    <n v="0"/>
    <n v="0"/>
    <n v="0"/>
    <n v="0"/>
    <n v="0"/>
    <m/>
    <n v="0"/>
  </r>
  <r>
    <n v="199"/>
    <s v="cliente199"/>
    <x v="2"/>
    <x v="2"/>
    <n v="83"/>
    <n v="83"/>
    <x v="6"/>
    <n v="83"/>
    <n v="83"/>
    <n v="83"/>
    <n v="80"/>
    <n v="85"/>
    <n v="85"/>
    <n v="83"/>
    <n v="83"/>
    <n v="83"/>
    <n v="83"/>
    <n v="83"/>
    <n v="83"/>
    <n v="83"/>
    <n v="85"/>
    <n v="87"/>
    <n v="148266.93378840157"/>
    <n v="87"/>
  </r>
  <r>
    <n v="200"/>
    <s v="cliente200"/>
    <x v="2"/>
    <x v="2"/>
    <n v="85"/>
    <n v="85"/>
    <x v="6"/>
    <n v="75"/>
    <n v="85"/>
    <n v="0"/>
    <n v="0"/>
    <n v="0"/>
    <n v="0"/>
    <n v="0"/>
    <n v="0"/>
    <n v="0"/>
    <n v="0"/>
    <n v="0"/>
    <n v="0"/>
    <n v="0"/>
    <n v="0"/>
    <n v="0"/>
    <m/>
    <n v="0"/>
  </r>
  <r>
    <n v="201"/>
    <s v="cliente201"/>
    <x v="2"/>
    <x v="2"/>
    <n v="0"/>
    <n v="83"/>
    <x v="6"/>
    <n v="85"/>
    <n v="0"/>
    <n v="0"/>
    <n v="0"/>
    <n v="0"/>
    <n v="0"/>
    <n v="0"/>
    <n v="0"/>
    <n v="0"/>
    <n v="0"/>
    <n v="0"/>
    <n v="0"/>
    <n v="0"/>
    <n v="0"/>
    <n v="0"/>
    <m/>
    <n v="0"/>
  </r>
  <r>
    <n v="202"/>
    <s v="cliente202"/>
    <x v="2"/>
    <x v="2"/>
    <n v="83"/>
    <n v="83"/>
    <x v="8"/>
    <n v="85"/>
    <n v="85"/>
    <n v="85"/>
    <n v="85"/>
    <n v="80"/>
    <n v="85"/>
    <n v="83"/>
    <n v="85"/>
    <n v="87"/>
    <n v="87"/>
    <n v="85"/>
    <n v="80"/>
    <n v="80"/>
    <n v="77"/>
    <n v="80"/>
    <n v="169253.06665606488"/>
    <n v="75"/>
  </r>
  <r>
    <n v="203"/>
    <s v="cliente203"/>
    <x v="2"/>
    <x v="2"/>
    <n v="83"/>
    <n v="83"/>
    <x v="6"/>
    <n v="87"/>
    <n v="87"/>
    <n v="87"/>
    <n v="85"/>
    <n v="85"/>
    <n v="85"/>
    <n v="85"/>
    <n v="85"/>
    <n v="87"/>
    <n v="85"/>
    <n v="85"/>
    <n v="85"/>
    <n v="87"/>
    <n v="87"/>
    <n v="87"/>
    <n v="139950.50063911665"/>
    <n v="85"/>
  </r>
  <r>
    <n v="204"/>
    <s v="cliente204"/>
    <x v="2"/>
    <x v="2"/>
    <n v="75"/>
    <n v="75"/>
    <x v="12"/>
    <n v="83"/>
    <n v="83"/>
    <n v="85"/>
    <n v="85"/>
    <n v="87"/>
    <n v="85"/>
    <n v="85"/>
    <n v="85"/>
    <n v="85"/>
    <n v="85"/>
    <n v="87"/>
    <n v="0"/>
    <n v="0"/>
    <n v="0"/>
    <n v="0"/>
    <m/>
    <n v="0"/>
  </r>
  <r>
    <n v="205"/>
    <s v="cliente205"/>
    <x v="2"/>
    <x v="2"/>
    <n v="77"/>
    <n v="77"/>
    <x v="8"/>
    <n v="83"/>
    <n v="80"/>
    <n v="80"/>
    <n v="83"/>
    <n v="80"/>
    <n v="80"/>
    <n v="75"/>
    <n v="73"/>
    <n v="0"/>
    <n v="0"/>
    <n v="0"/>
    <n v="0"/>
    <n v="0"/>
    <n v="0"/>
    <n v="0"/>
    <m/>
    <n v="0"/>
  </r>
  <r>
    <n v="206"/>
    <s v="cliente206"/>
    <x v="2"/>
    <x v="2"/>
    <n v="0"/>
    <n v="0"/>
    <x v="3"/>
    <n v="80"/>
    <n v="0"/>
    <n v="83"/>
    <n v="83"/>
    <n v="80"/>
    <n v="80"/>
    <n v="83"/>
    <n v="80"/>
    <n v="83"/>
    <n v="83"/>
    <n v="85"/>
    <n v="0"/>
    <n v="0"/>
    <n v="85"/>
    <n v="85"/>
    <n v="137660.11674912751"/>
    <n v="85"/>
  </r>
  <r>
    <n v="207"/>
    <s v="cliente207"/>
    <x v="2"/>
    <x v="2"/>
    <n v="83"/>
    <n v="83"/>
    <x v="4"/>
    <n v="83"/>
    <n v="83"/>
    <n v="83"/>
    <n v="85"/>
    <n v="85"/>
    <n v="85"/>
    <n v="87"/>
    <n v="87"/>
    <n v="87"/>
    <n v="87"/>
    <n v="87"/>
    <n v="85"/>
    <n v="87"/>
    <n v="87"/>
    <n v="87"/>
    <n v="192439.16573999412"/>
    <n v="87"/>
  </r>
  <r>
    <n v="208"/>
    <s v="cliente208"/>
    <x v="2"/>
    <x v="2"/>
    <n v="75"/>
    <n v="75"/>
    <x v="12"/>
    <n v="73"/>
    <n v="73"/>
    <n v="73"/>
    <n v="77"/>
    <n v="73"/>
    <n v="75"/>
    <n v="77"/>
    <n v="80"/>
    <n v="77"/>
    <n v="80"/>
    <n v="83"/>
    <n v="83"/>
    <n v="80"/>
    <n v="83"/>
    <n v="80"/>
    <n v="115245.73391442419"/>
    <n v="83"/>
  </r>
  <r>
    <n v="209"/>
    <s v="cliente209"/>
    <x v="2"/>
    <x v="2"/>
    <n v="85"/>
    <n v="85"/>
    <x v="6"/>
    <n v="85"/>
    <n v="85"/>
    <n v="83"/>
    <n v="83"/>
    <n v="83"/>
    <n v="0"/>
    <n v="0"/>
    <n v="75"/>
    <n v="77"/>
    <n v="77"/>
    <n v="85"/>
    <n v="80"/>
    <n v="83"/>
    <n v="83"/>
    <n v="83"/>
    <n v="168037.52724375762"/>
    <n v="75"/>
  </r>
  <r>
    <n v="210"/>
    <s v="cliente210"/>
    <x v="2"/>
    <x v="2"/>
    <n v="83"/>
    <n v="83"/>
    <x v="4"/>
    <n v="83"/>
    <n v="80"/>
    <n v="83"/>
    <n v="85"/>
    <n v="87"/>
    <n v="85"/>
    <n v="83"/>
    <n v="83"/>
    <n v="87"/>
    <n v="85"/>
    <n v="85"/>
    <n v="85"/>
    <n v="87"/>
    <n v="85"/>
    <n v="85"/>
    <n v="261307.22567898213"/>
    <n v="83"/>
  </r>
  <r>
    <n v="211"/>
    <s v="cliente211"/>
    <x v="2"/>
    <x v="2"/>
    <n v="83"/>
    <n v="83"/>
    <x v="6"/>
    <n v="87"/>
    <n v="0"/>
    <n v="87"/>
    <n v="87"/>
    <n v="90"/>
    <n v="87"/>
    <n v="87"/>
    <n v="87"/>
    <n v="87"/>
    <n v="87"/>
    <n v="87"/>
    <n v="87"/>
    <n v="87"/>
    <n v="87"/>
    <n v="87"/>
    <n v="204515.26200769609"/>
    <n v="85"/>
  </r>
  <r>
    <n v="212"/>
    <s v="cliente212"/>
    <x v="2"/>
    <x v="2"/>
    <n v="83"/>
    <n v="83"/>
    <x v="4"/>
    <n v="80"/>
    <n v="85"/>
    <n v="85"/>
    <n v="83"/>
    <n v="83"/>
    <n v="80"/>
    <n v="83"/>
    <n v="77"/>
    <n v="83"/>
    <n v="80"/>
    <n v="0"/>
    <n v="0"/>
    <n v="0"/>
    <n v="0"/>
    <n v="0"/>
    <m/>
    <n v="0"/>
  </r>
  <r>
    <n v="213"/>
    <s v="cliente213"/>
    <x v="2"/>
    <x v="2"/>
    <n v="83"/>
    <n v="83"/>
    <x v="5"/>
    <n v="70"/>
    <n v="70"/>
    <n v="65"/>
    <n v="65"/>
    <n v="70"/>
    <n v="70"/>
    <n v="70"/>
    <n v="75"/>
    <n v="83"/>
    <n v="83"/>
    <n v="85"/>
    <n v="83"/>
    <n v="85"/>
    <n v="85"/>
    <n v="85"/>
    <n v="176737.66117794023"/>
    <n v="85"/>
  </r>
  <r>
    <n v="214"/>
    <s v="cliente214"/>
    <x v="2"/>
    <x v="2"/>
    <n v="83"/>
    <n v="83"/>
    <x v="6"/>
    <n v="80"/>
    <n v="83"/>
    <n v="83"/>
    <n v="83"/>
    <n v="80"/>
    <n v="77"/>
    <n v="75"/>
    <n v="77"/>
    <n v="75"/>
    <n v="80"/>
    <n v="83"/>
    <n v="83"/>
    <n v="83"/>
    <n v="83"/>
    <n v="83"/>
    <n v="578257.04425213218"/>
    <n v="80"/>
  </r>
  <r>
    <n v="215"/>
    <s v="cliente215"/>
    <x v="2"/>
    <x v="2"/>
    <n v="83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16"/>
    <s v="cliente216"/>
    <x v="2"/>
    <x v="2"/>
    <n v="85"/>
    <n v="85"/>
    <x v="7"/>
    <n v="22"/>
    <n v="22"/>
    <n v="22"/>
    <n v="22"/>
    <n v="22"/>
    <n v="22"/>
    <n v="22"/>
    <n v="22"/>
    <n v="22"/>
    <n v="22"/>
    <n v="22"/>
    <n v="22"/>
    <n v="22"/>
    <n v="22"/>
    <n v="22"/>
    <n v="135730.27082463674"/>
    <n v="22"/>
  </r>
  <r>
    <n v="217"/>
    <s v="cliente217"/>
    <x v="2"/>
    <x v="2"/>
    <n v="77"/>
    <n v="77"/>
    <x v="0"/>
    <n v="0"/>
    <n v="0"/>
    <n v="0"/>
    <n v="0"/>
    <n v="0"/>
    <n v="0"/>
    <n v="0"/>
    <n v="0"/>
    <n v="0"/>
    <n v="0"/>
    <n v="0"/>
    <n v="0"/>
    <n v="0"/>
    <n v="0"/>
    <n v="0"/>
    <m/>
    <n v="0"/>
  </r>
  <r>
    <n v="218"/>
    <s v="cliente218"/>
    <x v="2"/>
    <x v="2"/>
    <n v="85"/>
    <n v="85"/>
    <x v="8"/>
    <n v="73"/>
    <n v="73"/>
    <n v="70"/>
    <n v="83"/>
    <n v="73"/>
    <n v="80"/>
    <n v="77"/>
    <n v="75"/>
    <n v="75"/>
    <n v="75"/>
    <n v="75"/>
    <n v="77"/>
    <n v="77"/>
    <n v="77"/>
    <n v="0"/>
    <m/>
    <n v="0"/>
  </r>
  <r>
    <n v="219"/>
    <s v="cliente219"/>
    <x v="2"/>
    <x v="2"/>
    <n v="83"/>
    <n v="83"/>
    <x v="4"/>
    <n v="83"/>
    <n v="83"/>
    <n v="83"/>
    <n v="83"/>
    <n v="83"/>
    <n v="80"/>
    <n v="80"/>
    <n v="80"/>
    <n v="80"/>
    <n v="80"/>
    <n v="83"/>
    <n v="83"/>
    <n v="83"/>
    <n v="77"/>
    <n v="75"/>
    <n v="926114.0433361649"/>
    <n v="77"/>
  </r>
  <r>
    <n v="220"/>
    <s v="cliente220"/>
    <x v="2"/>
    <x v="2"/>
    <n v="95"/>
    <n v="95"/>
    <x v="13"/>
    <n v="90"/>
    <n v="90"/>
    <n v="90"/>
    <n v="90"/>
    <n v="0"/>
    <n v="0"/>
    <n v="0"/>
    <n v="0"/>
    <n v="0"/>
    <n v="0"/>
    <n v="0"/>
    <n v="0"/>
    <n v="77"/>
    <n v="77"/>
    <n v="77"/>
    <n v="137865.28556784408"/>
    <n v="73"/>
  </r>
  <r>
    <n v="221"/>
    <s v="cliente221"/>
    <x v="2"/>
    <x v="2"/>
    <n v="85"/>
    <n v="85"/>
    <x v="6"/>
    <n v="87"/>
    <n v="87"/>
    <n v="87"/>
    <n v="0"/>
    <n v="0"/>
    <n v="0"/>
    <n v="0"/>
    <n v="0"/>
    <n v="0"/>
    <n v="0"/>
    <n v="0"/>
    <n v="0"/>
    <n v="0"/>
    <n v="0"/>
    <n v="0"/>
    <m/>
    <n v="0"/>
  </r>
  <r>
    <n v="222"/>
    <s v="cliente222"/>
    <x v="2"/>
    <x v="2"/>
    <n v="83"/>
    <n v="83"/>
    <x v="4"/>
    <n v="85"/>
    <n v="85"/>
    <n v="77"/>
    <n v="0"/>
    <n v="0"/>
    <n v="0"/>
    <n v="0"/>
    <n v="0"/>
    <n v="0"/>
    <n v="0"/>
    <n v="0"/>
    <n v="0"/>
    <n v="0"/>
    <n v="0"/>
    <n v="0"/>
    <m/>
    <n v="0"/>
  </r>
  <r>
    <n v="223"/>
    <s v="cliente223"/>
    <x v="2"/>
    <x v="2"/>
    <n v="83"/>
    <n v="83"/>
    <x v="12"/>
    <n v="80"/>
    <n v="80"/>
    <n v="80"/>
    <n v="0"/>
    <n v="83"/>
    <n v="0"/>
    <n v="0"/>
    <n v="83"/>
    <n v="85"/>
    <n v="85"/>
    <n v="85"/>
    <n v="85"/>
    <n v="85"/>
    <n v="85"/>
    <n v="0"/>
    <m/>
    <n v="0"/>
  </r>
  <r>
    <n v="224"/>
    <s v="cliente224"/>
    <x v="2"/>
    <x v="2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25"/>
    <s v="cliente225"/>
    <x v="2"/>
    <x v="2"/>
    <n v="83"/>
    <n v="85"/>
    <x v="6"/>
    <n v="83"/>
    <n v="87"/>
    <n v="85"/>
    <n v="87"/>
    <n v="77"/>
    <n v="83"/>
    <n v="85"/>
    <n v="77"/>
    <n v="80"/>
    <n v="77"/>
    <n v="77"/>
    <n v="77"/>
    <n v="80"/>
    <n v="83"/>
    <n v="83"/>
    <n v="309323.39001765306"/>
    <n v="83"/>
  </r>
  <r>
    <n v="226"/>
    <s v="cliente226"/>
    <x v="2"/>
    <x v="2"/>
    <n v="85"/>
    <n v="85"/>
    <x v="6"/>
    <n v="87"/>
    <n v="87"/>
    <n v="85"/>
    <n v="85"/>
    <n v="80"/>
    <n v="80"/>
    <n v="85"/>
    <n v="85"/>
    <n v="83"/>
    <n v="83"/>
    <n v="83"/>
    <n v="83"/>
    <n v="83"/>
    <n v="83"/>
    <n v="83"/>
    <n v="2687843.4383520251"/>
    <n v="77"/>
  </r>
  <r>
    <n v="227"/>
    <s v="cliente227"/>
    <x v="2"/>
    <x v="2"/>
    <n v="80"/>
    <n v="80"/>
    <x v="12"/>
    <n v="75"/>
    <n v="77"/>
    <n v="77"/>
    <n v="83"/>
    <n v="80"/>
    <n v="0"/>
    <n v="0"/>
    <n v="0"/>
    <n v="0"/>
    <n v="0"/>
    <n v="0"/>
    <n v="85"/>
    <n v="83"/>
    <n v="80"/>
    <n v="77"/>
    <n v="600335.58677953039"/>
    <n v="77"/>
  </r>
  <r>
    <n v="228"/>
    <s v="cliente228"/>
    <x v="2"/>
    <x v="2"/>
    <n v="0"/>
    <n v="83"/>
    <x v="6"/>
    <n v="87"/>
    <n v="87"/>
    <n v="90"/>
    <n v="0"/>
    <n v="87"/>
    <n v="0"/>
    <n v="0"/>
    <n v="0"/>
    <n v="0"/>
    <n v="0"/>
    <n v="0"/>
    <n v="0"/>
    <n v="0"/>
    <n v="0"/>
    <n v="0"/>
    <m/>
    <n v="0"/>
  </r>
  <r>
    <n v="229"/>
    <s v="cliente229"/>
    <x v="2"/>
    <x v="2"/>
    <n v="0"/>
    <n v="85"/>
    <x v="9"/>
    <n v="0"/>
    <n v="0"/>
    <n v="83"/>
    <n v="0"/>
    <n v="83"/>
    <n v="0"/>
    <n v="0"/>
    <n v="0"/>
    <n v="0"/>
    <n v="0"/>
    <n v="0"/>
    <n v="0"/>
    <n v="0"/>
    <n v="0"/>
    <n v="0"/>
    <m/>
    <n v="0"/>
  </r>
  <r>
    <n v="230"/>
    <s v="cliente230"/>
    <x v="2"/>
    <x v="2"/>
    <n v="0"/>
    <n v="87"/>
    <x v="3"/>
    <n v="87"/>
    <n v="0"/>
    <n v="85"/>
    <n v="0"/>
    <n v="85"/>
    <n v="85"/>
    <n v="0"/>
    <n v="0"/>
    <n v="0"/>
    <n v="0"/>
    <n v="0"/>
    <n v="0"/>
    <n v="0"/>
    <n v="0"/>
    <n v="0"/>
    <m/>
    <n v="0"/>
  </r>
  <r>
    <n v="231"/>
    <s v="cliente231"/>
    <x v="2"/>
    <x v="2"/>
    <n v="0"/>
    <n v="85"/>
    <x v="6"/>
    <n v="87"/>
    <n v="0"/>
    <n v="0"/>
    <n v="0"/>
    <n v="0"/>
    <n v="0"/>
    <n v="0"/>
    <n v="0"/>
    <n v="0"/>
    <n v="0"/>
    <n v="0"/>
    <n v="0"/>
    <n v="0"/>
    <n v="0"/>
    <n v="0"/>
    <m/>
    <n v="0"/>
  </r>
  <r>
    <n v="232"/>
    <s v="cliente232"/>
    <x v="2"/>
    <x v="2"/>
    <n v="0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33"/>
    <s v="cliente233"/>
    <x v="2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4"/>
    <s v="cliente234"/>
    <x v="2"/>
    <x v="2"/>
    <n v="0"/>
    <n v="83"/>
    <x v="6"/>
    <n v="87"/>
    <n v="85"/>
    <n v="75"/>
    <n v="0"/>
    <n v="0"/>
    <n v="0"/>
    <n v="0"/>
    <n v="0"/>
    <n v="0"/>
    <n v="0"/>
    <n v="0"/>
    <n v="0"/>
    <n v="0"/>
    <n v="0"/>
    <n v="0"/>
    <m/>
    <n v="0"/>
  </r>
  <r>
    <n v="235"/>
    <s v="cliente235"/>
    <x v="2"/>
    <x v="2"/>
    <n v="0"/>
    <n v="0"/>
    <x v="4"/>
    <n v="85"/>
    <n v="0"/>
    <n v="90"/>
    <n v="90"/>
    <n v="87"/>
    <n v="87"/>
    <n v="87"/>
    <n v="87"/>
    <n v="90"/>
    <n v="90"/>
    <n v="85"/>
    <n v="85"/>
    <n v="85"/>
    <n v="85"/>
    <n v="0"/>
    <m/>
    <n v="0"/>
  </r>
  <r>
    <n v="236"/>
    <s v="cliente236"/>
    <x v="2"/>
    <x v="2"/>
    <n v="0"/>
    <n v="0"/>
    <x v="9"/>
    <n v="80"/>
    <n v="75"/>
    <n v="0"/>
    <n v="0"/>
    <n v="0"/>
    <n v="0"/>
    <n v="0"/>
    <n v="0"/>
    <n v="0"/>
    <n v="0"/>
    <n v="0"/>
    <n v="0"/>
    <n v="0"/>
    <n v="0"/>
    <n v="0"/>
    <m/>
    <n v="0"/>
  </r>
  <r>
    <n v="237"/>
    <s v="cliente237"/>
    <x v="2"/>
    <x v="2"/>
    <n v="0"/>
    <n v="87"/>
    <x v="3"/>
    <n v="87"/>
    <n v="0"/>
    <n v="0"/>
    <n v="85"/>
    <n v="85"/>
    <n v="85"/>
    <n v="0"/>
    <n v="0"/>
    <n v="0"/>
    <n v="0"/>
    <n v="0"/>
    <n v="0"/>
    <n v="0"/>
    <n v="0"/>
    <n v="0"/>
    <m/>
    <n v="0"/>
  </r>
  <r>
    <n v="238"/>
    <s v="cliente23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9"/>
    <s v="cliente239"/>
    <x v="2"/>
    <x v="2"/>
    <n v="0"/>
    <n v="0"/>
    <x v="4"/>
    <n v="85"/>
    <n v="85"/>
    <n v="85"/>
    <n v="85"/>
    <n v="83"/>
    <n v="83"/>
    <n v="85"/>
    <n v="85"/>
    <n v="85"/>
    <n v="85"/>
    <n v="87"/>
    <n v="87"/>
    <n v="85"/>
    <n v="87"/>
    <n v="0"/>
    <m/>
    <n v="0"/>
  </r>
  <r>
    <n v="240"/>
    <s v="cliente240"/>
    <x v="2"/>
    <x v="2"/>
    <n v="0"/>
    <n v="83"/>
    <x v="8"/>
    <n v="77"/>
    <n v="83"/>
    <n v="0"/>
    <n v="0"/>
    <n v="0"/>
    <n v="0"/>
    <n v="0"/>
    <n v="0"/>
    <n v="0"/>
    <n v="0"/>
    <n v="0"/>
    <n v="0"/>
    <n v="0"/>
    <n v="0"/>
    <n v="0"/>
    <m/>
    <n v="0"/>
  </r>
  <r>
    <n v="241"/>
    <s v="cliente241"/>
    <x v="2"/>
    <x v="2"/>
    <n v="0"/>
    <n v="83"/>
    <x v="4"/>
    <n v="83"/>
    <n v="80"/>
    <n v="77"/>
    <n v="80"/>
    <n v="75"/>
    <n v="75"/>
    <n v="0"/>
    <n v="0"/>
    <n v="0"/>
    <n v="0"/>
    <n v="0"/>
    <n v="0"/>
    <n v="0"/>
    <n v="0"/>
    <n v="0"/>
    <m/>
    <n v="0"/>
  </r>
  <r>
    <n v="242"/>
    <s v="cliente242"/>
    <x v="2"/>
    <x v="2"/>
    <n v="0"/>
    <n v="80"/>
    <x v="8"/>
    <n v="77"/>
    <n v="77"/>
    <n v="80"/>
    <n v="80"/>
    <n v="85"/>
    <n v="83"/>
    <n v="83"/>
    <n v="83"/>
    <n v="83"/>
    <n v="83"/>
    <n v="85"/>
    <n v="85"/>
    <n v="85"/>
    <n v="85"/>
    <n v="83"/>
    <n v="165015.30256284392"/>
    <n v="83"/>
  </r>
  <r>
    <n v="243"/>
    <s v="cliente243"/>
    <x v="2"/>
    <x v="2"/>
    <n v="0"/>
    <n v="77"/>
    <x v="5"/>
    <n v="77"/>
    <n v="80"/>
    <n v="80"/>
    <n v="77"/>
    <n v="70"/>
    <n v="70"/>
    <n v="65"/>
    <n v="70"/>
    <n v="75"/>
    <n v="75"/>
    <n v="75"/>
    <n v="75"/>
    <n v="0"/>
    <n v="0"/>
    <n v="0"/>
    <m/>
    <n v="0"/>
  </r>
  <r>
    <n v="244"/>
    <s v="cliente244"/>
    <x v="2"/>
    <x v="2"/>
    <n v="0"/>
    <n v="85"/>
    <x v="6"/>
    <n v="83"/>
    <n v="85"/>
    <n v="0"/>
    <n v="87"/>
    <n v="87"/>
    <n v="87"/>
    <n v="87"/>
    <n v="90"/>
    <n v="0"/>
    <n v="0"/>
    <n v="0"/>
    <n v="0"/>
    <n v="0"/>
    <n v="0"/>
    <n v="0"/>
    <m/>
    <n v="0"/>
  </r>
  <r>
    <n v="245"/>
    <s v="cliente245"/>
    <x v="2"/>
    <x v="2"/>
    <n v="0"/>
    <n v="77"/>
    <x v="8"/>
    <n v="83"/>
    <n v="83"/>
    <n v="83"/>
    <n v="83"/>
    <n v="85"/>
    <n v="83"/>
    <n v="83"/>
    <n v="83"/>
    <n v="85"/>
    <n v="83"/>
    <n v="85"/>
    <n v="83"/>
    <n v="85"/>
    <n v="85"/>
    <n v="85"/>
    <n v="109092.93496124816"/>
    <n v="85"/>
  </r>
  <r>
    <n v="246"/>
    <s v="cliente246"/>
    <x v="2"/>
    <x v="2"/>
    <n v="0"/>
    <n v="83"/>
    <x v="6"/>
    <n v="0"/>
    <n v="85"/>
    <n v="85"/>
    <n v="85"/>
    <n v="90"/>
    <n v="87"/>
    <n v="87"/>
    <n v="85"/>
    <n v="87"/>
    <n v="85"/>
    <n v="87"/>
    <n v="87"/>
    <n v="87"/>
    <n v="87"/>
    <n v="87"/>
    <n v="447998.250512055"/>
    <n v="80"/>
  </r>
  <r>
    <n v="247"/>
    <s v="cliente247"/>
    <x v="2"/>
    <x v="2"/>
    <n v="0"/>
    <n v="85"/>
    <x v="9"/>
    <n v="87"/>
    <n v="0"/>
    <n v="87"/>
    <n v="87"/>
    <n v="87"/>
    <n v="90"/>
    <n v="85"/>
    <n v="87"/>
    <n v="87"/>
    <n v="87"/>
    <n v="87"/>
    <n v="87"/>
    <n v="87"/>
    <n v="87"/>
    <n v="87"/>
    <n v="517272.17725114315"/>
    <n v="83"/>
  </r>
  <r>
    <n v="248"/>
    <s v="cliente24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49"/>
    <s v="cliente249"/>
    <x v="2"/>
    <x v="2"/>
    <n v="0"/>
    <n v="83"/>
    <x v="12"/>
    <n v="87"/>
    <n v="87"/>
    <n v="85"/>
    <n v="85"/>
    <n v="80"/>
    <n v="80"/>
    <n v="83"/>
    <n v="83"/>
    <n v="83"/>
    <n v="83"/>
    <n v="87"/>
    <n v="85"/>
    <n v="85"/>
    <n v="85"/>
    <n v="85"/>
    <n v="112109.9937617078"/>
    <n v="83"/>
  </r>
  <r>
    <n v="250"/>
    <s v="cliente250"/>
    <x v="2"/>
    <x v="2"/>
    <n v="0"/>
    <n v="77"/>
    <x v="5"/>
    <n v="83"/>
    <n v="83"/>
    <n v="85"/>
    <n v="80"/>
    <n v="77"/>
    <n v="83"/>
    <n v="83"/>
    <n v="77"/>
    <n v="77"/>
    <n v="83"/>
    <n v="83"/>
    <n v="83"/>
    <n v="83"/>
    <n v="83"/>
    <n v="83"/>
    <n v="227980.72619857971"/>
    <n v="75"/>
  </r>
  <r>
    <n v="251"/>
    <s v="cliente251"/>
    <x v="2"/>
    <x v="2"/>
    <n v="0"/>
    <n v="83"/>
    <x v="4"/>
    <n v="83"/>
    <n v="75"/>
    <n v="75"/>
    <n v="75"/>
    <n v="77"/>
    <n v="83"/>
    <n v="83"/>
    <n v="77"/>
    <n v="77"/>
    <n v="80"/>
    <n v="0"/>
    <n v="0"/>
    <n v="0"/>
    <n v="0"/>
    <n v="0"/>
    <m/>
    <n v="0"/>
  </r>
  <r>
    <n v="252"/>
    <s v="cliente252"/>
    <x v="2"/>
    <x v="2"/>
    <n v="0"/>
    <n v="77"/>
    <x v="12"/>
    <n v="77"/>
    <n v="80"/>
    <n v="77"/>
    <n v="75"/>
    <n v="77"/>
    <n v="0"/>
    <n v="0"/>
    <n v="0"/>
    <n v="0"/>
    <n v="0"/>
    <n v="0"/>
    <n v="0"/>
    <n v="0"/>
    <n v="0"/>
    <n v="0"/>
    <m/>
    <n v="0"/>
  </r>
  <r>
    <n v="253"/>
    <s v="cliente253"/>
    <x v="2"/>
    <x v="2"/>
    <n v="0"/>
    <n v="77"/>
    <x v="5"/>
    <n v="85"/>
    <n v="83"/>
    <n v="83"/>
    <n v="85"/>
    <n v="85"/>
    <n v="83"/>
    <n v="85"/>
    <n v="83"/>
    <n v="83"/>
    <n v="85"/>
    <n v="83"/>
    <n v="83"/>
    <n v="83"/>
    <n v="85"/>
    <n v="87"/>
    <n v="1164845.373217786"/>
    <n v="75"/>
  </r>
  <r>
    <n v="254"/>
    <s v="cliente254"/>
    <x v="2"/>
    <x v="2"/>
    <n v="0"/>
    <n v="0"/>
    <x v="6"/>
    <n v="87"/>
    <n v="87"/>
    <n v="87"/>
    <n v="85"/>
    <n v="85"/>
    <n v="85"/>
    <n v="85"/>
    <n v="85"/>
    <n v="85"/>
    <n v="85"/>
    <n v="85"/>
    <n v="83"/>
    <n v="85"/>
    <n v="87"/>
    <n v="87"/>
    <n v="113665.04269655797"/>
    <n v="87"/>
  </r>
  <r>
    <n v="255"/>
    <s v="cliente255"/>
    <x v="2"/>
    <x v="2"/>
    <n v="0"/>
    <n v="0"/>
    <x v="6"/>
    <n v="85"/>
    <n v="85"/>
    <n v="83"/>
    <n v="85"/>
    <n v="85"/>
    <n v="83"/>
    <n v="85"/>
    <n v="85"/>
    <n v="85"/>
    <n v="85"/>
    <n v="0"/>
    <n v="0"/>
    <n v="0"/>
    <n v="0"/>
    <n v="0"/>
    <m/>
    <n v="0"/>
  </r>
  <r>
    <n v="256"/>
    <s v="cliente256"/>
    <x v="2"/>
    <x v="2"/>
    <n v="0"/>
    <n v="0"/>
    <x v="8"/>
    <n v="87"/>
    <n v="85"/>
    <n v="85"/>
    <n v="83"/>
    <n v="85"/>
    <n v="83"/>
    <n v="80"/>
    <n v="83"/>
    <n v="83"/>
    <n v="83"/>
    <n v="85"/>
    <n v="85"/>
    <n v="85"/>
    <n v="85"/>
    <n v="83"/>
    <n v="282679.03111010313"/>
    <n v="83"/>
  </r>
  <r>
    <n v="257"/>
    <s v="cliente257"/>
    <x v="2"/>
    <x v="2"/>
    <n v="0"/>
    <n v="0"/>
    <x v="4"/>
    <n v="85"/>
    <n v="83"/>
    <n v="83"/>
    <n v="83"/>
    <n v="85"/>
    <n v="85"/>
    <n v="85"/>
    <n v="85"/>
    <n v="0"/>
    <n v="0"/>
    <n v="0"/>
    <n v="0"/>
    <n v="0"/>
    <n v="0"/>
    <n v="0"/>
    <m/>
    <n v="0"/>
  </r>
  <r>
    <n v="258"/>
    <s v="cliente258"/>
    <x v="2"/>
    <x v="2"/>
    <n v="0"/>
    <n v="0"/>
    <x v="4"/>
    <n v="83"/>
    <n v="85"/>
    <n v="87"/>
    <n v="83"/>
    <n v="70"/>
    <n v="70"/>
    <n v="77"/>
    <n v="80"/>
    <n v="80"/>
    <n v="80"/>
    <n v="83"/>
    <n v="83"/>
    <n v="85"/>
    <n v="87"/>
    <n v="83"/>
    <n v="190356.2692985723"/>
    <n v="83"/>
  </r>
  <r>
    <n v="259"/>
    <s v="cliente259"/>
    <x v="2"/>
    <x v="2"/>
    <n v="0"/>
    <n v="0"/>
    <x v="9"/>
    <n v="87"/>
    <n v="87"/>
    <n v="85"/>
    <n v="0"/>
    <n v="0"/>
    <n v="0"/>
    <n v="0"/>
    <n v="0"/>
    <n v="0"/>
    <n v="0"/>
    <n v="0"/>
    <n v="0"/>
    <n v="0"/>
    <n v="0"/>
    <n v="0"/>
    <m/>
    <n v="0"/>
  </r>
  <r>
    <n v="260"/>
    <s v="cliente260"/>
    <x v="2"/>
    <x v="2"/>
    <n v="0"/>
    <n v="0"/>
    <x v="5"/>
    <n v="75"/>
    <n v="73"/>
    <n v="73"/>
    <n v="73"/>
    <n v="65"/>
    <n v="70"/>
    <n v="70"/>
    <n v="70"/>
    <n v="0"/>
    <n v="0"/>
    <n v="0"/>
    <n v="0"/>
    <n v="0"/>
    <n v="0"/>
    <n v="0"/>
    <m/>
    <n v="0"/>
  </r>
  <r>
    <n v="261"/>
    <s v="cliente261"/>
    <x v="2"/>
    <x v="2"/>
    <n v="0"/>
    <n v="0"/>
    <x v="4"/>
    <n v="85"/>
    <n v="85"/>
    <n v="85"/>
    <n v="87"/>
    <n v="85"/>
    <n v="87"/>
    <n v="85"/>
    <n v="87"/>
    <n v="87"/>
    <n v="87"/>
    <n v="90"/>
    <n v="90"/>
    <n v="90"/>
    <n v="90"/>
    <n v="90"/>
    <n v="152054.51828967099"/>
    <n v="90"/>
  </r>
  <r>
    <n v="262"/>
    <s v="cliente262"/>
    <x v="2"/>
    <x v="2"/>
    <n v="0"/>
    <n v="0"/>
    <x v="3"/>
    <n v="85"/>
    <n v="85"/>
    <n v="83"/>
    <n v="83"/>
    <n v="80"/>
    <n v="85"/>
    <n v="85"/>
    <n v="83"/>
    <n v="80"/>
    <n v="83"/>
    <n v="87"/>
    <n v="83"/>
    <n v="83"/>
    <n v="83"/>
    <n v="83"/>
    <n v="3258924.4213032755"/>
    <n v="77"/>
  </r>
  <r>
    <n v="263"/>
    <s v="cliente263"/>
    <x v="2"/>
    <x v="2"/>
    <n v="0"/>
    <n v="0"/>
    <x v="3"/>
    <n v="85"/>
    <n v="85"/>
    <n v="85"/>
    <n v="87"/>
    <n v="85"/>
    <n v="83"/>
    <n v="73"/>
    <n v="83"/>
    <n v="77"/>
    <n v="80"/>
    <n v="77"/>
    <n v="80"/>
    <n v="80"/>
    <n v="80"/>
    <n v="80"/>
    <n v="149184.44710605097"/>
    <n v="77"/>
  </r>
  <r>
    <n v="264"/>
    <s v="cliente264"/>
    <x v="2"/>
    <x v="2"/>
    <n v="0"/>
    <n v="0"/>
    <x v="3"/>
    <n v="85"/>
    <n v="83"/>
    <n v="85"/>
    <n v="0"/>
    <n v="87"/>
    <n v="85"/>
    <n v="83"/>
    <n v="0"/>
    <n v="85"/>
    <n v="85"/>
    <n v="0"/>
    <n v="85"/>
    <n v="80"/>
    <n v="0"/>
    <n v="0"/>
    <m/>
    <n v="0"/>
  </r>
  <r>
    <n v="265"/>
    <s v="cliente265"/>
    <x v="2"/>
    <x v="2"/>
    <n v="0"/>
    <n v="0"/>
    <x v="3"/>
    <n v="83"/>
    <n v="85"/>
    <n v="85"/>
    <n v="85"/>
    <n v="85"/>
    <n v="87"/>
    <n v="87"/>
    <n v="87"/>
    <n v="87"/>
    <n v="87"/>
    <n v="87"/>
    <n v="87"/>
    <n v="85"/>
    <n v="85"/>
    <n v="83"/>
    <n v="218413.21498326416"/>
    <n v="83"/>
  </r>
  <r>
    <n v="266"/>
    <s v="cliente266"/>
    <x v="2"/>
    <x v="2"/>
    <n v="0"/>
    <n v="0"/>
    <x v="3"/>
    <n v="85"/>
    <n v="75"/>
    <n v="85"/>
    <n v="85"/>
    <n v="83"/>
    <n v="83"/>
    <n v="80"/>
    <n v="80"/>
    <n v="80"/>
    <n v="80"/>
    <n v="80"/>
    <n v="77"/>
    <n v="77"/>
    <n v="77"/>
    <n v="77"/>
    <n v="209060.80560107535"/>
    <n v="77"/>
  </r>
  <r>
    <n v="267"/>
    <s v="cliente267"/>
    <x v="2"/>
    <x v="2"/>
    <n v="0"/>
    <n v="0"/>
    <x v="3"/>
    <n v="85"/>
    <n v="0"/>
    <n v="0"/>
    <n v="0"/>
    <n v="0"/>
    <n v="0"/>
    <n v="0"/>
    <n v="0"/>
    <n v="0"/>
    <n v="0"/>
    <n v="0"/>
    <n v="0"/>
    <n v="0"/>
    <n v="0"/>
    <n v="0"/>
    <m/>
    <n v="0"/>
  </r>
  <r>
    <n v="268"/>
    <s v="cliente268"/>
    <x v="2"/>
    <x v="2"/>
    <n v="0"/>
    <n v="0"/>
    <x v="3"/>
    <n v="75"/>
    <n v="80"/>
    <n v="77"/>
    <n v="0"/>
    <n v="0"/>
    <n v="0"/>
    <n v="0"/>
    <n v="0"/>
    <n v="0"/>
    <n v="83"/>
    <n v="83"/>
    <n v="83"/>
    <n v="83"/>
    <n v="85"/>
    <n v="85"/>
    <n v="119996.79613578222"/>
    <n v="85"/>
  </r>
  <r>
    <n v="269"/>
    <s v="cliente269"/>
    <x v="2"/>
    <x v="2"/>
    <n v="0"/>
    <n v="0"/>
    <x v="3"/>
    <n v="83"/>
    <n v="83"/>
    <n v="83"/>
    <n v="0"/>
    <n v="0"/>
    <n v="0"/>
    <n v="0"/>
    <n v="0"/>
    <n v="0"/>
    <n v="0"/>
    <n v="0"/>
    <n v="0"/>
    <n v="0"/>
    <n v="0"/>
    <n v="0"/>
    <m/>
    <n v="0"/>
  </r>
  <r>
    <n v="270"/>
    <s v="cliente270"/>
    <x v="2"/>
    <x v="2"/>
    <n v="0"/>
    <n v="0"/>
    <x v="3"/>
    <n v="85"/>
    <n v="83"/>
    <n v="83"/>
    <n v="80"/>
    <n v="77"/>
    <n v="80"/>
    <n v="83"/>
    <n v="83"/>
    <n v="83"/>
    <n v="83"/>
    <n v="83"/>
    <n v="83"/>
    <n v="83"/>
    <n v="85"/>
    <n v="83"/>
    <n v="163724.08864627228"/>
    <n v="90"/>
  </r>
  <r>
    <n v="271"/>
    <s v="cliente271"/>
    <x v="2"/>
    <x v="2"/>
    <n v="0"/>
    <n v="0"/>
    <x v="3"/>
    <n v="83"/>
    <n v="83"/>
    <n v="0"/>
    <n v="0"/>
    <n v="0"/>
    <n v="0"/>
    <n v="0"/>
    <n v="0"/>
    <n v="0"/>
    <n v="0"/>
    <n v="0"/>
    <n v="0"/>
    <n v="0"/>
    <n v="0"/>
    <n v="0"/>
    <m/>
    <n v="0"/>
  </r>
  <r>
    <n v="272"/>
    <s v="cliente272"/>
    <x v="2"/>
    <x v="2"/>
    <n v="0"/>
    <n v="0"/>
    <x v="3"/>
    <n v="85"/>
    <n v="87"/>
    <n v="85"/>
    <n v="87"/>
    <n v="87"/>
    <n v="87"/>
    <n v="0"/>
    <n v="0"/>
    <n v="87"/>
    <n v="0"/>
    <n v="0"/>
    <n v="0"/>
    <n v="0"/>
    <n v="0"/>
    <n v="0"/>
    <m/>
    <n v="0"/>
  </r>
  <r>
    <n v="273"/>
    <s v="cliente273"/>
    <x v="2"/>
    <x v="2"/>
    <n v="0"/>
    <n v="0"/>
    <x v="3"/>
    <n v="83"/>
    <n v="0"/>
    <n v="83"/>
    <n v="85"/>
    <n v="83"/>
    <n v="83"/>
    <n v="85"/>
    <n v="87"/>
    <n v="87"/>
    <n v="87"/>
    <n v="0"/>
    <n v="0"/>
    <n v="87"/>
    <n v="0"/>
    <n v="87"/>
    <n v="157889.06990943212"/>
    <n v="87"/>
  </r>
  <r>
    <n v="274"/>
    <s v="cliente274"/>
    <x v="2"/>
    <x v="2"/>
    <n v="0"/>
    <n v="0"/>
    <x v="3"/>
    <n v="0"/>
    <n v="0"/>
    <n v="85"/>
    <n v="0"/>
    <n v="0"/>
    <n v="0"/>
    <n v="85"/>
    <n v="83"/>
    <n v="0"/>
    <n v="0"/>
    <n v="0"/>
    <n v="0"/>
    <n v="0"/>
    <n v="0"/>
    <n v="0"/>
    <m/>
    <n v="0"/>
  </r>
  <r>
    <n v="275"/>
    <s v="cliente275"/>
    <x v="2"/>
    <x v="2"/>
    <n v="0"/>
    <n v="0"/>
    <x v="3"/>
    <n v="0"/>
    <n v="83"/>
    <n v="85"/>
    <n v="85"/>
    <n v="80"/>
    <n v="83"/>
    <n v="83"/>
    <n v="85"/>
    <n v="85"/>
    <n v="85"/>
    <n v="0"/>
    <n v="0"/>
    <n v="0"/>
    <n v="0"/>
    <n v="0"/>
    <m/>
    <n v="0"/>
  </r>
  <r>
    <n v="276"/>
    <s v="cliente276"/>
    <x v="2"/>
    <x v="2"/>
    <n v="0"/>
    <n v="0"/>
    <x v="3"/>
    <n v="0"/>
    <n v="0"/>
    <n v="83"/>
    <n v="0"/>
    <n v="83"/>
    <n v="0"/>
    <n v="83"/>
    <n v="0"/>
    <n v="0"/>
    <n v="0"/>
    <n v="0"/>
    <n v="0"/>
    <n v="0"/>
    <n v="0"/>
    <n v="0"/>
    <m/>
    <n v="0"/>
  </r>
  <r>
    <n v="277"/>
    <s v="cliente277"/>
    <x v="2"/>
    <x v="2"/>
    <n v="0"/>
    <n v="0"/>
    <x v="3"/>
    <n v="85"/>
    <n v="85"/>
    <n v="87"/>
    <n v="0"/>
    <n v="0"/>
    <n v="85"/>
    <n v="85"/>
    <n v="83"/>
    <n v="83"/>
    <n v="85"/>
    <n v="87"/>
    <n v="87"/>
    <n v="83"/>
    <n v="0"/>
    <n v="0"/>
    <m/>
    <n v="0"/>
  </r>
  <r>
    <n v="278"/>
    <s v="cliente278"/>
    <x v="2"/>
    <x v="2"/>
    <n v="0"/>
    <n v="0"/>
    <x v="3"/>
    <n v="83"/>
    <n v="85"/>
    <n v="85"/>
    <n v="87"/>
    <n v="87"/>
    <n v="87"/>
    <n v="85"/>
    <n v="87"/>
    <n v="87"/>
    <n v="87"/>
    <n v="87"/>
    <n v="85"/>
    <n v="85"/>
    <n v="87"/>
    <n v="87"/>
    <n v="140829.63815900142"/>
    <n v="87"/>
  </r>
  <r>
    <n v="279"/>
    <s v="cliente279"/>
    <x v="2"/>
    <x v="2"/>
    <n v="0"/>
    <n v="0"/>
    <x v="3"/>
    <n v="0"/>
    <n v="70"/>
    <n v="70"/>
    <n v="70"/>
    <n v="80"/>
    <n v="0"/>
    <n v="0"/>
    <n v="0"/>
    <n v="0"/>
    <n v="0"/>
    <n v="0"/>
    <n v="0"/>
    <n v="0"/>
    <n v="0"/>
    <n v="0"/>
    <m/>
    <n v="0"/>
  </r>
  <r>
    <n v="280"/>
    <s v="cliente280"/>
    <x v="2"/>
    <x v="2"/>
    <n v="0"/>
    <n v="0"/>
    <x v="3"/>
    <n v="0"/>
    <n v="0"/>
    <n v="83"/>
    <n v="87"/>
    <n v="87"/>
    <n v="83"/>
    <n v="83"/>
    <n v="80"/>
    <n v="83"/>
    <n v="80"/>
    <n v="83"/>
    <n v="0"/>
    <n v="83"/>
    <n v="85"/>
    <n v="85"/>
    <n v="558759.86585060367"/>
    <n v="85"/>
  </r>
  <r>
    <n v="281"/>
    <s v="cliente281"/>
    <x v="2"/>
    <x v="2"/>
    <n v="0"/>
    <n v="0"/>
    <x v="3"/>
    <n v="0"/>
    <n v="0"/>
    <n v="83"/>
    <n v="85"/>
    <n v="85"/>
    <n v="85"/>
    <n v="83"/>
    <n v="0"/>
    <n v="85"/>
    <n v="0"/>
    <n v="87"/>
    <n v="87"/>
    <n v="85"/>
    <n v="85"/>
    <n v="85"/>
    <n v="223774.24258479074"/>
    <n v="80"/>
  </r>
  <r>
    <n v="282"/>
    <s v="cliente282"/>
    <x v="2"/>
    <x v="2"/>
    <n v="0"/>
    <n v="0"/>
    <x v="3"/>
    <n v="80"/>
    <n v="80"/>
    <n v="83"/>
    <n v="85"/>
    <n v="85"/>
    <n v="83"/>
    <n v="83"/>
    <n v="85"/>
    <n v="83"/>
    <n v="83"/>
    <n v="83"/>
    <n v="83"/>
    <n v="80"/>
    <n v="80"/>
    <n v="77"/>
    <n v="746973.87841469434"/>
    <n v="77"/>
  </r>
  <r>
    <n v="283"/>
    <s v="cliente283"/>
    <x v="2"/>
    <x v="2"/>
    <n v="0"/>
    <n v="0"/>
    <x v="3"/>
    <n v="0"/>
    <n v="85"/>
    <n v="85"/>
    <n v="87"/>
    <n v="85"/>
    <n v="85"/>
    <n v="85"/>
    <n v="85"/>
    <n v="83"/>
    <n v="83"/>
    <n v="0"/>
    <n v="0"/>
    <n v="0"/>
    <n v="0"/>
    <n v="0"/>
    <m/>
    <n v="0"/>
  </r>
  <r>
    <n v="284"/>
    <s v="cliente284"/>
    <x v="2"/>
    <x v="2"/>
    <n v="0"/>
    <n v="0"/>
    <x v="3"/>
    <n v="85"/>
    <n v="85"/>
    <n v="85"/>
    <n v="85"/>
    <n v="85"/>
    <n v="85"/>
    <n v="85"/>
    <n v="85"/>
    <n v="83"/>
    <n v="85"/>
    <n v="85"/>
    <n v="85"/>
    <n v="85"/>
    <n v="83"/>
    <n v="83"/>
    <n v="111821.94078423221"/>
    <n v="80"/>
  </r>
  <r>
    <n v="285"/>
    <s v="cliente285"/>
    <x v="2"/>
    <x v="2"/>
    <n v="0"/>
    <n v="0"/>
    <x v="3"/>
    <n v="0"/>
    <n v="90"/>
    <n v="90"/>
    <n v="90"/>
    <n v="83"/>
    <n v="85"/>
    <n v="85"/>
    <n v="85"/>
    <n v="85"/>
    <n v="87"/>
    <n v="87"/>
    <n v="87"/>
    <n v="87"/>
    <n v="87"/>
    <n v="80"/>
    <n v="474811.72378733964"/>
    <n v="80"/>
  </r>
  <r>
    <n v="286"/>
    <s v="cliente286"/>
    <x v="2"/>
    <x v="2"/>
    <n v="0"/>
    <n v="0"/>
    <x v="3"/>
    <n v="87"/>
    <n v="87"/>
    <n v="87"/>
    <n v="85"/>
    <n v="0"/>
    <n v="0"/>
    <n v="0"/>
    <n v="0"/>
    <n v="0"/>
    <n v="0"/>
    <n v="0"/>
    <n v="0"/>
    <n v="0"/>
    <n v="0"/>
    <n v="0"/>
    <m/>
    <n v="0"/>
  </r>
  <r>
    <n v="287"/>
    <s v="cliente287"/>
    <x v="2"/>
    <x v="2"/>
    <n v="0"/>
    <n v="0"/>
    <x v="3"/>
    <n v="0"/>
    <n v="0"/>
    <n v="85"/>
    <n v="85"/>
    <n v="80"/>
    <n v="73"/>
    <n v="75"/>
    <n v="73"/>
    <n v="0"/>
    <n v="0"/>
    <n v="80"/>
    <n v="80"/>
    <n v="80"/>
    <n v="80"/>
    <n v="80"/>
    <n v="262385.21777972154"/>
    <n v="70"/>
  </r>
  <r>
    <n v="288"/>
    <s v="cliente288"/>
    <x v="2"/>
    <x v="2"/>
    <n v="0"/>
    <n v="0"/>
    <x v="3"/>
    <n v="0"/>
    <n v="0"/>
    <n v="85"/>
    <n v="85"/>
    <n v="85"/>
    <n v="80"/>
    <n v="83"/>
    <n v="85"/>
    <n v="83"/>
    <n v="83"/>
    <n v="83"/>
    <n v="83"/>
    <n v="83"/>
    <n v="83"/>
    <n v="83"/>
    <n v="112597.06242265257"/>
    <n v="22"/>
  </r>
  <r>
    <n v="289"/>
    <s v="cliente289"/>
    <x v="2"/>
    <x v="2"/>
    <n v="0"/>
    <n v="0"/>
    <x v="3"/>
    <n v="0"/>
    <n v="0"/>
    <n v="83"/>
    <n v="83"/>
    <n v="80"/>
    <n v="80"/>
    <n v="83"/>
    <n v="80"/>
    <n v="80"/>
    <n v="80"/>
    <n v="80"/>
    <n v="80"/>
    <n v="80"/>
    <n v="80"/>
    <n v="80"/>
    <n v="326195.26613518415"/>
    <n v="80"/>
  </r>
  <r>
    <n v="290"/>
    <s v="cliente290"/>
    <x v="2"/>
    <x v="2"/>
    <n v="0"/>
    <n v="0"/>
    <x v="3"/>
    <n v="0"/>
    <n v="85"/>
    <n v="85"/>
    <n v="85"/>
    <n v="83"/>
    <n v="83"/>
    <n v="85"/>
    <n v="85"/>
    <n v="85"/>
    <n v="87"/>
    <n v="87"/>
    <n v="87"/>
    <n v="87"/>
    <n v="87"/>
    <n v="87"/>
    <n v="2987278.1196249356"/>
    <n v="87"/>
  </r>
  <r>
    <n v="291"/>
    <s v="cliente291"/>
    <x v="2"/>
    <x v="2"/>
    <n v="0"/>
    <n v="0"/>
    <x v="3"/>
    <n v="0"/>
    <n v="87"/>
    <n v="87"/>
    <n v="83"/>
    <n v="83"/>
    <n v="83"/>
    <n v="77"/>
    <n v="83"/>
    <n v="83"/>
    <n v="0"/>
    <n v="0"/>
    <n v="0"/>
    <n v="0"/>
    <n v="0"/>
    <n v="0"/>
    <m/>
    <n v="0"/>
  </r>
  <r>
    <n v="292"/>
    <s v="cliente292"/>
    <x v="2"/>
    <x v="2"/>
    <n v="0"/>
    <n v="0"/>
    <x v="3"/>
    <n v="0"/>
    <n v="85"/>
    <n v="83"/>
    <n v="65"/>
    <n v="65"/>
    <n v="0"/>
    <n v="0"/>
    <n v="0"/>
    <n v="0"/>
    <n v="0"/>
    <n v="0"/>
    <n v="0"/>
    <n v="0"/>
    <n v="0"/>
    <n v="0"/>
    <m/>
    <n v="0"/>
  </r>
  <r>
    <n v="293"/>
    <s v="cliente293"/>
    <x v="2"/>
    <x v="2"/>
    <n v="0"/>
    <n v="0"/>
    <x v="3"/>
    <n v="0"/>
    <n v="0"/>
    <n v="0"/>
    <n v="85"/>
    <n v="80"/>
    <n v="80"/>
    <n v="83"/>
    <n v="83"/>
    <n v="87"/>
    <n v="85"/>
    <n v="85"/>
    <n v="85"/>
    <n v="85"/>
    <n v="85"/>
    <n v="83"/>
    <n v="249369.54315655341"/>
    <n v="85"/>
  </r>
  <r>
    <n v="294"/>
    <s v="cliente294"/>
    <x v="2"/>
    <x v="2"/>
    <n v="0"/>
    <n v="0"/>
    <x v="3"/>
    <n v="0"/>
    <n v="80"/>
    <n v="83"/>
    <n v="83"/>
    <n v="75"/>
    <n v="80"/>
    <n v="80"/>
    <n v="80"/>
    <n v="83"/>
    <n v="83"/>
    <n v="83"/>
    <n v="83"/>
    <n v="83"/>
    <n v="83"/>
    <n v="83"/>
    <n v="146113.9964714993"/>
    <n v="83"/>
  </r>
  <r>
    <n v="295"/>
    <s v="cliente295"/>
    <x v="2"/>
    <x v="2"/>
    <n v="0"/>
    <n v="0"/>
    <x v="3"/>
    <n v="0"/>
    <n v="85"/>
    <n v="85"/>
    <n v="83"/>
    <n v="83"/>
    <n v="0"/>
    <n v="0"/>
    <n v="0"/>
    <n v="0"/>
    <n v="0"/>
    <n v="0"/>
    <n v="0"/>
    <n v="0"/>
    <n v="0"/>
    <n v="0"/>
    <m/>
    <n v="0"/>
  </r>
  <r>
    <n v="296"/>
    <s v="cliente296"/>
    <x v="2"/>
    <x v="2"/>
    <n v="0"/>
    <n v="0"/>
    <x v="3"/>
    <n v="0"/>
    <n v="0"/>
    <n v="87"/>
    <n v="90"/>
    <n v="85"/>
    <n v="87"/>
    <n v="85"/>
    <n v="85"/>
    <n v="87"/>
    <n v="87"/>
    <n v="87"/>
    <n v="87"/>
    <n v="85"/>
    <n v="85"/>
    <n v="85"/>
    <n v="122861.9293875923"/>
    <n v="85"/>
  </r>
  <r>
    <n v="297"/>
    <s v="cliente297"/>
    <x v="2"/>
    <x v="2"/>
    <n v="0"/>
    <n v="0"/>
    <x v="3"/>
    <n v="0"/>
    <n v="85"/>
    <n v="85"/>
    <n v="0"/>
    <n v="80"/>
    <n v="80"/>
    <n v="0"/>
    <n v="77"/>
    <n v="0"/>
    <n v="0"/>
    <n v="0"/>
    <n v="0"/>
    <n v="80"/>
    <n v="80"/>
    <n v="80"/>
    <n v="300691.95056632767"/>
    <n v="75"/>
  </r>
  <r>
    <n v="298"/>
    <s v="cliente298"/>
    <x v="2"/>
    <x v="2"/>
    <n v="0"/>
    <n v="0"/>
    <x v="3"/>
    <n v="0"/>
    <n v="77"/>
    <n v="75"/>
    <n v="80"/>
    <n v="83"/>
    <n v="83"/>
    <n v="83"/>
    <n v="83"/>
    <n v="0"/>
    <n v="0"/>
    <n v="85"/>
    <n v="85"/>
    <n v="85"/>
    <n v="85"/>
    <n v="85"/>
    <n v="144566.45812232641"/>
    <n v="85"/>
  </r>
  <r>
    <n v="299"/>
    <s v="cliente299"/>
    <x v="2"/>
    <x v="2"/>
    <n v="0"/>
    <n v="0"/>
    <x v="3"/>
    <n v="0"/>
    <n v="0"/>
    <n v="83"/>
    <n v="0"/>
    <n v="0"/>
    <n v="0"/>
    <n v="83"/>
    <n v="0"/>
    <n v="0"/>
    <n v="0"/>
    <n v="0"/>
    <n v="0"/>
    <n v="0"/>
    <n v="0"/>
    <n v="0"/>
    <m/>
    <n v="0"/>
  </r>
  <r>
    <n v="300"/>
    <s v="cliente300"/>
    <x v="2"/>
    <x v="2"/>
    <n v="0"/>
    <n v="0"/>
    <x v="3"/>
    <n v="0"/>
    <n v="0"/>
    <n v="83"/>
    <n v="83"/>
    <n v="85"/>
    <n v="83"/>
    <n v="80"/>
    <n v="0"/>
    <n v="0"/>
    <n v="0"/>
    <n v="0"/>
    <n v="0"/>
    <n v="0"/>
    <n v="0"/>
    <n v="0"/>
    <m/>
    <n v="0"/>
  </r>
  <r>
    <n v="301"/>
    <s v="cliente301"/>
    <x v="2"/>
    <x v="2"/>
    <n v="0"/>
    <n v="0"/>
    <x v="3"/>
    <n v="0"/>
    <n v="0"/>
    <n v="85"/>
    <n v="85"/>
    <n v="0"/>
    <n v="85"/>
    <n v="85"/>
    <n v="0"/>
    <n v="0"/>
    <n v="0"/>
    <n v="0"/>
    <n v="0"/>
    <n v="0"/>
    <n v="0"/>
    <n v="0"/>
    <m/>
    <n v="0"/>
  </r>
  <r>
    <n v="302"/>
    <s v="cliente302"/>
    <x v="2"/>
    <x v="2"/>
    <n v="0"/>
    <n v="0"/>
    <x v="3"/>
    <n v="0"/>
    <n v="0"/>
    <n v="83"/>
    <n v="83"/>
    <n v="83"/>
    <n v="83"/>
    <n v="83"/>
    <n v="0"/>
    <n v="0"/>
    <n v="0"/>
    <n v="0"/>
    <n v="0"/>
    <n v="0"/>
    <n v="0"/>
    <n v="0"/>
    <m/>
    <n v="0"/>
  </r>
  <r>
    <n v="303"/>
    <s v="cliente303"/>
    <x v="2"/>
    <x v="2"/>
    <n v="0"/>
    <n v="0"/>
    <x v="3"/>
    <n v="0"/>
    <n v="0"/>
    <n v="83"/>
    <n v="0"/>
    <n v="0"/>
    <n v="85"/>
    <n v="0"/>
    <n v="0"/>
    <n v="0"/>
    <n v="0"/>
    <n v="0"/>
    <n v="0"/>
    <n v="0"/>
    <n v="0"/>
    <n v="0"/>
    <m/>
    <n v="0"/>
  </r>
  <r>
    <n v="304"/>
    <s v="cliente304"/>
    <x v="2"/>
    <x v="2"/>
    <n v="0"/>
    <n v="0"/>
    <x v="3"/>
    <n v="0"/>
    <n v="0"/>
    <n v="83"/>
    <n v="83"/>
    <n v="80"/>
    <n v="80"/>
    <n v="80"/>
    <n v="0"/>
    <n v="0"/>
    <n v="0"/>
    <n v="0"/>
    <n v="0"/>
    <n v="0"/>
    <n v="0"/>
    <n v="0"/>
    <m/>
    <n v="0"/>
  </r>
  <r>
    <n v="305"/>
    <s v="cliente305"/>
    <x v="2"/>
    <x v="2"/>
    <n v="0"/>
    <n v="0"/>
    <x v="3"/>
    <n v="0"/>
    <n v="80"/>
    <n v="77"/>
    <n v="77"/>
    <n v="80"/>
    <n v="85"/>
    <n v="83"/>
    <n v="83"/>
    <n v="80"/>
    <n v="77"/>
    <n v="83"/>
    <n v="83"/>
    <n v="85"/>
    <n v="85"/>
    <n v="83"/>
    <n v="130062.16114531962"/>
    <n v="80"/>
  </r>
  <r>
    <n v="306"/>
    <s v="cliente306"/>
    <x v="2"/>
    <x v="2"/>
    <n v="0"/>
    <n v="0"/>
    <x v="3"/>
    <n v="0"/>
    <n v="75"/>
    <n v="75"/>
    <n v="77"/>
    <n v="80"/>
    <n v="80"/>
    <n v="0"/>
    <n v="0"/>
    <n v="0"/>
    <n v="0"/>
    <n v="0"/>
    <n v="0"/>
    <n v="0"/>
    <n v="0"/>
    <n v="0"/>
    <m/>
    <n v="0"/>
  </r>
  <r>
    <n v="307"/>
    <s v="cliente307"/>
    <x v="2"/>
    <x v="2"/>
    <n v="0"/>
    <n v="0"/>
    <x v="3"/>
    <n v="0"/>
    <n v="85"/>
    <n v="85"/>
    <n v="83"/>
    <n v="73"/>
    <n v="70"/>
    <n v="70"/>
    <n v="73"/>
    <n v="73"/>
    <n v="73"/>
    <n v="75"/>
    <n v="73"/>
    <n v="73"/>
    <n v="73"/>
    <n v="73"/>
    <n v="120097.62032345652"/>
    <n v="73"/>
  </r>
  <r>
    <n v="308"/>
    <s v="cliente308"/>
    <x v="2"/>
    <x v="2"/>
    <n v="0"/>
    <n v="0"/>
    <x v="3"/>
    <n v="0"/>
    <n v="0"/>
    <n v="85"/>
    <n v="83"/>
    <n v="80"/>
    <n v="83"/>
    <n v="80"/>
    <n v="65"/>
    <n v="70"/>
    <n v="75"/>
    <n v="77"/>
    <n v="77"/>
    <n v="75"/>
    <n v="77"/>
    <n v="75"/>
    <n v="115829.61048146979"/>
    <n v="73"/>
  </r>
  <r>
    <n v="309"/>
    <s v="cliente309"/>
    <x v="2"/>
    <x v="2"/>
    <n v="0"/>
    <n v="0"/>
    <x v="3"/>
    <n v="0"/>
    <n v="0"/>
    <n v="85"/>
    <n v="83"/>
    <n v="83"/>
    <n v="83"/>
    <n v="83"/>
    <n v="85"/>
    <n v="85"/>
    <n v="85"/>
    <n v="87"/>
    <n v="87"/>
    <n v="87"/>
    <n v="87"/>
    <n v="87"/>
    <n v="493408.10589139932"/>
    <n v="85"/>
  </r>
  <r>
    <n v="310"/>
    <s v="cliente310"/>
    <x v="2"/>
    <x v="2"/>
    <n v="0"/>
    <n v="0"/>
    <x v="3"/>
    <n v="0"/>
    <n v="85"/>
    <n v="85"/>
    <n v="75"/>
    <n v="70"/>
    <n v="75"/>
    <n v="77"/>
    <n v="77"/>
    <n v="80"/>
    <n v="80"/>
    <n v="80"/>
    <n v="77"/>
    <n v="75"/>
    <n v="73"/>
    <n v="73"/>
    <n v="159659.52215496131"/>
    <n v="73"/>
  </r>
  <r>
    <n v="311"/>
    <s v="cliente311"/>
    <x v="2"/>
    <x v="2"/>
    <n v="0"/>
    <n v="0"/>
    <x v="3"/>
    <n v="0"/>
    <n v="87"/>
    <n v="87"/>
    <n v="75"/>
    <n v="77"/>
    <n v="75"/>
    <n v="77"/>
    <n v="77"/>
    <n v="80"/>
    <n v="80"/>
    <n v="80"/>
    <n v="77"/>
    <n v="75"/>
    <n v="73"/>
    <n v="73"/>
    <n v="115389.93503772892"/>
    <n v="73"/>
  </r>
  <r>
    <n v="312"/>
    <s v="cliente312"/>
    <x v="2"/>
    <x v="2"/>
    <n v="0"/>
    <n v="0"/>
    <x v="3"/>
    <n v="0"/>
    <n v="85"/>
    <n v="85"/>
    <n v="80"/>
    <n v="80"/>
    <n v="77"/>
    <n v="80"/>
    <n v="80"/>
    <n v="83"/>
    <n v="83"/>
    <n v="80"/>
    <n v="77"/>
    <n v="75"/>
    <n v="73"/>
    <n v="73"/>
    <n v="2507664.2536530406"/>
    <n v="73"/>
  </r>
  <r>
    <n v="313"/>
    <s v="cliente313"/>
    <x v="2"/>
    <x v="2"/>
    <n v="0"/>
    <n v="0"/>
    <x v="3"/>
    <n v="0"/>
    <n v="0"/>
    <n v="0"/>
    <n v="90"/>
    <n v="87"/>
    <n v="87"/>
    <n v="90"/>
    <n v="87"/>
    <n v="90"/>
    <n v="90"/>
    <n v="90"/>
    <n v="90"/>
    <n v="87"/>
    <n v="87"/>
    <n v="87"/>
    <n v="137967.5675987569"/>
    <n v="85"/>
  </r>
  <r>
    <n v="314"/>
    <s v="cliente314"/>
    <x v="2"/>
    <x v="2"/>
    <n v="0"/>
    <n v="0"/>
    <x v="3"/>
    <n v="0"/>
    <n v="85"/>
    <n v="85"/>
    <n v="83"/>
    <n v="85"/>
    <n v="83"/>
    <n v="83"/>
    <n v="83"/>
    <n v="85"/>
    <n v="0"/>
    <n v="87"/>
    <n v="0"/>
    <n v="0"/>
    <n v="0"/>
    <n v="0"/>
    <m/>
    <n v="0"/>
  </r>
  <r>
    <n v="315"/>
    <s v="cliente315"/>
    <x v="2"/>
    <x v="2"/>
    <n v="0"/>
    <n v="0"/>
    <x v="3"/>
    <n v="0"/>
    <n v="0"/>
    <n v="85"/>
    <n v="85"/>
    <n v="85"/>
    <n v="83"/>
    <n v="83"/>
    <n v="85"/>
    <n v="85"/>
    <n v="85"/>
    <n v="87"/>
    <n v="87"/>
    <n v="85"/>
    <n v="85"/>
    <n v="87"/>
    <n v="528455.02611458686"/>
    <n v="83"/>
  </r>
  <r>
    <n v="316"/>
    <s v="cliente316"/>
    <x v="2"/>
    <x v="2"/>
    <n v="0"/>
    <n v="0"/>
    <x v="3"/>
    <n v="0"/>
    <n v="0"/>
    <n v="87"/>
    <n v="80"/>
    <n v="87"/>
    <n v="87"/>
    <n v="85"/>
    <n v="85"/>
    <n v="85"/>
    <n v="77"/>
    <n v="0"/>
    <n v="0"/>
    <n v="0"/>
    <n v="0"/>
    <n v="0"/>
    <m/>
    <n v="0"/>
  </r>
  <r>
    <n v="317"/>
    <s v="cliente317"/>
    <x v="2"/>
    <x v="2"/>
    <n v="0"/>
    <n v="0"/>
    <x v="3"/>
    <n v="0"/>
    <n v="0"/>
    <n v="0"/>
    <n v="83"/>
    <n v="85"/>
    <n v="85"/>
    <n v="85"/>
    <n v="80"/>
    <n v="83"/>
    <n v="83"/>
    <n v="83"/>
    <n v="83"/>
    <n v="83"/>
    <n v="83"/>
    <n v="83"/>
    <n v="111908.33712765222"/>
    <n v="75"/>
  </r>
  <r>
    <n v="318"/>
    <s v="cliente318"/>
    <x v="2"/>
    <x v="2"/>
    <n v="0"/>
    <n v="0"/>
    <x v="3"/>
    <n v="0"/>
    <n v="0"/>
    <n v="0"/>
    <n v="0"/>
    <n v="87"/>
    <n v="85"/>
    <n v="87"/>
    <n v="87"/>
    <n v="87"/>
    <n v="87"/>
    <n v="87"/>
    <n v="87"/>
    <n v="87"/>
    <n v="87"/>
    <n v="87"/>
    <n v="137815.31483641113"/>
    <n v="87"/>
  </r>
  <r>
    <n v="319"/>
    <s v="cliente319"/>
    <x v="2"/>
    <x v="2"/>
    <n v="0"/>
    <n v="0"/>
    <x v="3"/>
    <n v="0"/>
    <n v="0"/>
    <n v="85"/>
    <n v="85"/>
    <n v="83"/>
    <n v="83"/>
    <n v="83"/>
    <n v="83"/>
    <n v="0"/>
    <n v="0"/>
    <n v="0"/>
    <n v="0"/>
    <n v="0"/>
    <n v="0"/>
    <n v="0"/>
    <m/>
    <n v="0"/>
  </r>
  <r>
    <n v="320"/>
    <s v="cliente320"/>
    <x v="2"/>
    <x v="2"/>
    <n v="0"/>
    <n v="0"/>
    <x v="3"/>
    <n v="0"/>
    <n v="0"/>
    <n v="80"/>
    <n v="75"/>
    <n v="73"/>
    <n v="75"/>
    <n v="77"/>
    <n v="75"/>
    <n v="77"/>
    <n v="80"/>
    <n v="80"/>
    <n v="80"/>
    <n v="77"/>
    <n v="80"/>
    <n v="83"/>
    <n v="143816.65604772931"/>
    <n v="85"/>
  </r>
  <r>
    <n v="321"/>
    <s v="cliente321"/>
    <x v="2"/>
    <x v="2"/>
    <n v="0"/>
    <n v="0"/>
    <x v="3"/>
    <n v="0"/>
    <n v="0"/>
    <n v="77"/>
    <n v="87"/>
    <n v="85"/>
    <n v="85"/>
    <n v="0"/>
    <n v="0"/>
    <n v="0"/>
    <n v="0"/>
    <n v="0"/>
    <n v="0"/>
    <n v="0"/>
    <n v="0"/>
    <n v="0"/>
    <m/>
    <n v="0"/>
  </r>
  <r>
    <n v="322"/>
    <s v="cliente322"/>
    <x v="2"/>
    <x v="2"/>
    <n v="0"/>
    <n v="0"/>
    <x v="3"/>
    <n v="0"/>
    <n v="0"/>
    <n v="0"/>
    <n v="70"/>
    <n v="70"/>
    <n v="65"/>
    <n v="65"/>
    <n v="70"/>
    <n v="70"/>
    <n v="0"/>
    <n v="0"/>
    <n v="0"/>
    <n v="0"/>
    <n v="0"/>
    <n v="0"/>
    <m/>
    <n v="0"/>
  </r>
  <r>
    <n v="323"/>
    <s v="cliente323"/>
    <x v="2"/>
    <x v="2"/>
    <n v="0"/>
    <n v="0"/>
    <x v="3"/>
    <n v="0"/>
    <n v="0"/>
    <n v="83"/>
    <n v="77"/>
    <n v="85"/>
    <n v="83"/>
    <n v="83"/>
    <n v="83"/>
    <n v="85"/>
    <n v="85"/>
    <n v="85"/>
    <n v="85"/>
    <n v="85"/>
    <n v="85"/>
    <n v="85"/>
    <n v="151189.56441699612"/>
    <n v="85"/>
  </r>
  <r>
    <n v="324"/>
    <s v="cliente324"/>
    <x v="2"/>
    <x v="2"/>
    <n v="0"/>
    <n v="0"/>
    <x v="3"/>
    <n v="0"/>
    <n v="0"/>
    <n v="80"/>
    <n v="75"/>
    <n v="85"/>
    <n v="87"/>
    <n v="83"/>
    <n v="80"/>
    <n v="77"/>
    <n v="77"/>
    <n v="80"/>
    <n v="80"/>
    <n v="80"/>
    <n v="80"/>
    <n v="80"/>
    <n v="161190.69866835442"/>
    <n v="80"/>
  </r>
  <r>
    <n v="325"/>
    <s v="cliente325"/>
    <x v="2"/>
    <x v="2"/>
    <n v="0"/>
    <n v="0"/>
    <x v="3"/>
    <n v="0"/>
    <n v="0"/>
    <n v="0"/>
    <n v="83"/>
    <n v="80"/>
    <n v="65"/>
    <n v="80"/>
    <n v="0"/>
    <n v="0"/>
    <n v="0"/>
    <n v="0"/>
    <n v="0"/>
    <n v="0"/>
    <n v="0"/>
    <n v="0"/>
    <m/>
    <n v="0"/>
  </r>
  <r>
    <n v="326"/>
    <s v="cliente326"/>
    <x v="2"/>
    <x v="2"/>
    <n v="0"/>
    <n v="0"/>
    <x v="3"/>
    <n v="0"/>
    <n v="0"/>
    <n v="77"/>
    <n v="83"/>
    <n v="77"/>
    <n v="75"/>
    <n v="75"/>
    <n v="75"/>
    <n v="77"/>
    <n v="77"/>
    <n v="83"/>
    <n v="80"/>
    <n v="77"/>
    <n v="80"/>
    <n v="0"/>
    <m/>
    <n v="0"/>
  </r>
  <r>
    <n v="327"/>
    <s v="cliente327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328"/>
    <s v="cliente328"/>
    <x v="2"/>
    <x v="2"/>
    <n v="0"/>
    <n v="0"/>
    <x v="3"/>
    <n v="0"/>
    <n v="0"/>
    <n v="0"/>
    <n v="0"/>
    <n v="85"/>
    <n v="83"/>
    <n v="83"/>
    <n v="83"/>
    <n v="85"/>
    <n v="85"/>
    <n v="87"/>
    <n v="87"/>
    <n v="85"/>
    <n v="87"/>
    <n v="87"/>
    <n v="272495.09668512928"/>
    <n v="77"/>
  </r>
  <r>
    <n v="329"/>
    <s v="cliente329"/>
    <x v="2"/>
    <x v="2"/>
    <n v="0"/>
    <n v="0"/>
    <x v="3"/>
    <n v="0"/>
    <n v="0"/>
    <n v="80"/>
    <n v="80"/>
    <n v="70"/>
    <n v="70"/>
    <n v="65"/>
    <n v="65"/>
    <n v="65"/>
    <n v="65"/>
    <n v="0"/>
    <n v="0"/>
    <n v="0"/>
    <n v="0"/>
    <n v="0"/>
    <m/>
    <n v="0"/>
  </r>
  <r>
    <n v="330"/>
    <s v="cliente330"/>
    <x v="2"/>
    <x v="2"/>
    <n v="0"/>
    <n v="0"/>
    <x v="3"/>
    <n v="0"/>
    <n v="0"/>
    <n v="0"/>
    <n v="87"/>
    <n v="85"/>
    <n v="85"/>
    <n v="85"/>
    <n v="83"/>
    <n v="85"/>
    <n v="85"/>
    <n v="85"/>
    <n v="85"/>
    <n v="85"/>
    <n v="85"/>
    <n v="85"/>
    <n v="109505.84857547509"/>
    <n v="87"/>
  </r>
  <r>
    <n v="331"/>
    <s v="cliente331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568581.05268744065"/>
    <n v="85"/>
  </r>
  <r>
    <n v="332"/>
    <s v="cliente332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0632745.772065587"/>
    <n v="85"/>
  </r>
  <r>
    <n v="333"/>
    <s v="cliente333"/>
    <x v="2"/>
    <x v="2"/>
    <n v="0"/>
    <n v="0"/>
    <x v="3"/>
    <n v="0"/>
    <n v="0"/>
    <n v="85"/>
    <n v="80"/>
    <n v="73"/>
    <n v="73"/>
    <n v="73"/>
    <n v="73"/>
    <n v="65"/>
    <n v="73"/>
    <n v="0"/>
    <n v="73"/>
    <n v="0"/>
    <n v="0"/>
    <n v="0"/>
    <m/>
    <n v="0"/>
  </r>
  <r>
    <n v="334"/>
    <s v="cliente334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35"/>
    <s v="cliente335"/>
    <x v="2"/>
    <x v="2"/>
    <n v="0"/>
    <n v="0"/>
    <x v="3"/>
    <n v="0"/>
    <n v="0"/>
    <n v="0"/>
    <n v="85"/>
    <n v="77"/>
    <n v="75"/>
    <n v="75"/>
    <n v="73"/>
    <n v="0"/>
    <n v="0"/>
    <n v="0"/>
    <n v="0"/>
    <n v="0"/>
    <n v="0"/>
    <n v="0"/>
    <m/>
    <n v="0"/>
  </r>
  <r>
    <n v="336"/>
    <s v="cliente336"/>
    <x v="2"/>
    <x v="2"/>
    <n v="0"/>
    <n v="0"/>
    <x v="3"/>
    <n v="0"/>
    <n v="0"/>
    <n v="0"/>
    <n v="87"/>
    <n v="0"/>
    <n v="0"/>
    <n v="0"/>
    <n v="0"/>
    <n v="0"/>
    <n v="0"/>
    <n v="0"/>
    <n v="0"/>
    <n v="0"/>
    <n v="0"/>
    <n v="0"/>
    <m/>
    <n v="0"/>
  </r>
  <r>
    <n v="337"/>
    <s v="cliente337"/>
    <x v="2"/>
    <x v="2"/>
    <n v="0"/>
    <n v="0"/>
    <x v="3"/>
    <n v="0"/>
    <n v="0"/>
    <n v="0"/>
    <n v="85"/>
    <n v="85"/>
    <n v="85"/>
    <n v="83"/>
    <n v="85"/>
    <n v="85"/>
    <n v="85"/>
    <n v="0"/>
    <n v="0"/>
    <n v="0"/>
    <n v="0"/>
    <n v="0"/>
    <m/>
    <n v="0"/>
  </r>
  <r>
    <n v="338"/>
    <s v="cliente338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39"/>
    <s v="cliente339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0"/>
    <s v="cliente340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1"/>
    <s v="cliente341"/>
    <x v="2"/>
    <x v="2"/>
    <n v="0"/>
    <n v="0"/>
    <x v="3"/>
    <n v="0"/>
    <n v="0"/>
    <n v="0"/>
    <n v="0"/>
    <n v="0"/>
    <n v="85"/>
    <n v="80"/>
    <n v="80"/>
    <n v="85"/>
    <n v="85"/>
    <n v="0"/>
    <n v="0"/>
    <n v="0"/>
    <n v="0"/>
    <n v="0"/>
    <m/>
    <n v="0"/>
  </r>
  <r>
    <n v="342"/>
    <s v="cliente342"/>
    <x v="2"/>
    <x v="2"/>
    <n v="0"/>
    <n v="0"/>
    <x v="3"/>
    <n v="0"/>
    <n v="0"/>
    <n v="0"/>
    <n v="87"/>
    <n v="83"/>
    <n v="87"/>
    <n v="83"/>
    <n v="83"/>
    <n v="83"/>
    <n v="83"/>
    <n v="0"/>
    <n v="0"/>
    <n v="0"/>
    <n v="0"/>
    <n v="0"/>
    <m/>
    <n v="0"/>
  </r>
  <r>
    <n v="343"/>
    <s v="cliente343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44"/>
    <s v="cliente344"/>
    <x v="2"/>
    <x v="2"/>
    <n v="0"/>
    <n v="0"/>
    <x v="3"/>
    <n v="0"/>
    <n v="0"/>
    <n v="0"/>
    <n v="0"/>
    <n v="83"/>
    <n v="83"/>
    <n v="83"/>
    <n v="83"/>
    <n v="80"/>
    <n v="0"/>
    <n v="0"/>
    <n v="0"/>
    <n v="0"/>
    <n v="0"/>
    <n v="0"/>
    <m/>
    <n v="0"/>
  </r>
  <r>
    <n v="345"/>
    <s v="cliente345"/>
    <x v="2"/>
    <x v="2"/>
    <n v="0"/>
    <n v="0"/>
    <x v="3"/>
    <n v="0"/>
    <n v="0"/>
    <n v="0"/>
    <n v="83"/>
    <n v="85"/>
    <n v="83"/>
    <n v="83"/>
    <n v="83"/>
    <n v="83"/>
    <n v="85"/>
    <n v="83"/>
    <n v="83"/>
    <n v="83"/>
    <n v="80"/>
    <n v="0"/>
    <m/>
    <n v="0"/>
  </r>
  <r>
    <n v="346"/>
    <s v="cliente346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347"/>
    <s v="cliente347"/>
    <x v="2"/>
    <x v="2"/>
    <n v="0"/>
    <n v="0"/>
    <x v="3"/>
    <n v="0"/>
    <n v="0"/>
    <n v="0"/>
    <n v="0"/>
    <n v="0"/>
    <n v="0"/>
    <n v="77"/>
    <n v="83"/>
    <n v="77"/>
    <n v="80"/>
    <n v="83"/>
    <n v="83"/>
    <n v="80"/>
    <n v="80"/>
    <n v="77"/>
    <n v="240265.82992155809"/>
    <n v="77"/>
  </r>
  <r>
    <n v="348"/>
    <s v="cliente348"/>
    <x v="2"/>
    <x v="2"/>
    <n v="0"/>
    <n v="0"/>
    <x v="3"/>
    <n v="0"/>
    <n v="0"/>
    <n v="0"/>
    <n v="85"/>
    <n v="75"/>
    <n v="75"/>
    <n v="75"/>
    <n v="0"/>
    <n v="0"/>
    <n v="0"/>
    <n v="0"/>
    <n v="0"/>
    <n v="0"/>
    <n v="0"/>
    <n v="0"/>
    <m/>
    <n v="0"/>
  </r>
  <r>
    <n v="349"/>
    <s v="cliente349"/>
    <x v="2"/>
    <x v="2"/>
    <n v="0"/>
    <n v="0"/>
    <x v="3"/>
    <n v="0"/>
    <n v="0"/>
    <n v="0"/>
    <n v="0"/>
    <n v="87"/>
    <n v="85"/>
    <n v="85"/>
    <n v="85"/>
    <n v="85"/>
    <n v="85"/>
    <n v="85"/>
    <n v="85"/>
    <n v="85"/>
    <n v="85"/>
    <n v="85"/>
    <n v="135282.40376604284"/>
    <n v="85"/>
  </r>
  <r>
    <n v="350"/>
    <s v="cliente350"/>
    <x v="2"/>
    <x v="2"/>
    <n v="0"/>
    <n v="0"/>
    <x v="3"/>
    <n v="0"/>
    <n v="0"/>
    <n v="0"/>
    <n v="0"/>
    <n v="0"/>
    <n v="77"/>
    <n v="80"/>
    <n v="77"/>
    <n v="85"/>
    <n v="83"/>
    <n v="83"/>
    <n v="83"/>
    <n v="83"/>
    <n v="83"/>
    <n v="83"/>
    <n v="133585.6549339726"/>
    <n v="75"/>
  </r>
  <r>
    <n v="351"/>
    <s v="cliente351"/>
    <x v="2"/>
    <x v="2"/>
    <n v="0"/>
    <n v="0"/>
    <x v="3"/>
    <n v="0"/>
    <n v="0"/>
    <n v="0"/>
    <n v="0"/>
    <n v="77"/>
    <n v="77"/>
    <n v="77"/>
    <n v="80"/>
    <n v="80"/>
    <n v="83"/>
    <n v="83"/>
    <n v="83"/>
    <n v="83"/>
    <n v="83"/>
    <n v="83"/>
    <n v="242584.9943667718"/>
    <n v="83"/>
  </r>
  <r>
    <n v="352"/>
    <s v="cliente352"/>
    <x v="2"/>
    <x v="2"/>
    <n v="0"/>
    <n v="0"/>
    <x v="3"/>
    <n v="0"/>
    <n v="0"/>
    <n v="0"/>
    <n v="83"/>
    <n v="83"/>
    <n v="85"/>
    <n v="83"/>
    <n v="85"/>
    <n v="85"/>
    <n v="87"/>
    <n v="0"/>
    <n v="0"/>
    <n v="0"/>
    <n v="0"/>
    <n v="0"/>
    <m/>
    <n v="0"/>
  </r>
  <r>
    <n v="353"/>
    <s v="cliente353"/>
    <x v="2"/>
    <x v="2"/>
    <n v="0"/>
    <n v="0"/>
    <x v="3"/>
    <n v="0"/>
    <n v="0"/>
    <n v="0"/>
    <n v="77"/>
    <n v="80"/>
    <n v="83"/>
    <n v="85"/>
    <n v="77"/>
    <n v="80"/>
    <n v="80"/>
    <n v="80"/>
    <n v="77"/>
    <n v="80"/>
    <n v="80"/>
    <n v="80"/>
    <n v="1154582.5703450362"/>
    <n v="77"/>
  </r>
  <r>
    <n v="354"/>
    <s v="cliente354"/>
    <x v="2"/>
    <x v="2"/>
    <n v="0"/>
    <n v="0"/>
    <x v="3"/>
    <n v="0"/>
    <n v="0"/>
    <n v="0"/>
    <n v="0"/>
    <n v="85"/>
    <n v="85"/>
    <n v="85"/>
    <n v="0"/>
    <n v="83"/>
    <n v="83"/>
    <n v="83"/>
    <n v="83"/>
    <n v="0"/>
    <n v="0"/>
    <n v="0"/>
    <m/>
    <n v="0"/>
  </r>
  <r>
    <n v="355"/>
    <s v="cliente355"/>
    <x v="2"/>
    <x v="2"/>
    <n v="0"/>
    <n v="0"/>
    <x v="3"/>
    <n v="0"/>
    <n v="0"/>
    <n v="0"/>
    <n v="0"/>
    <n v="83"/>
    <n v="75"/>
    <n v="85"/>
    <n v="85"/>
    <n v="85"/>
    <n v="0"/>
    <n v="87"/>
    <n v="87"/>
    <n v="87"/>
    <n v="87"/>
    <n v="0"/>
    <m/>
    <n v="0"/>
  </r>
  <r>
    <n v="356"/>
    <s v="cliente356"/>
    <x v="2"/>
    <x v="2"/>
    <n v="0"/>
    <n v="0"/>
    <x v="3"/>
    <n v="0"/>
    <n v="0"/>
    <n v="0"/>
    <n v="0"/>
    <n v="0"/>
    <n v="0"/>
    <n v="85"/>
    <n v="87"/>
    <n v="85"/>
    <n v="85"/>
    <n v="85"/>
    <n v="85"/>
    <n v="85"/>
    <n v="85"/>
    <n v="85"/>
    <n v="212838.52047721631"/>
    <n v="87"/>
  </r>
  <r>
    <n v="357"/>
    <s v="cliente357"/>
    <x v="2"/>
    <x v="2"/>
    <n v="0"/>
    <n v="0"/>
    <x v="3"/>
    <n v="0"/>
    <n v="0"/>
    <n v="0"/>
    <n v="0"/>
    <n v="77"/>
    <n v="70"/>
    <n v="73"/>
    <n v="70"/>
    <n v="73"/>
    <n v="73"/>
    <n v="75"/>
    <n v="75"/>
    <n v="73"/>
    <n v="73"/>
    <n v="73"/>
    <n v="111910.56485909376"/>
    <n v="77"/>
  </r>
  <r>
    <n v="358"/>
    <s v="cliente358"/>
    <x v="2"/>
    <x v="2"/>
    <n v="0"/>
    <n v="0"/>
    <x v="3"/>
    <n v="0"/>
    <n v="0"/>
    <n v="0"/>
    <n v="0"/>
    <n v="80"/>
    <n v="77"/>
    <n v="77"/>
    <n v="77"/>
    <n v="75"/>
    <n v="77"/>
    <n v="0"/>
    <n v="0"/>
    <n v="0"/>
    <n v="0"/>
    <n v="0"/>
    <m/>
    <n v="0"/>
  </r>
  <r>
    <n v="359"/>
    <s v="cliente359"/>
    <x v="2"/>
    <x v="2"/>
    <n v="0"/>
    <n v="0"/>
    <x v="3"/>
    <n v="0"/>
    <n v="0"/>
    <n v="0"/>
    <n v="0"/>
    <n v="75"/>
    <n v="75"/>
    <n v="0"/>
    <n v="85"/>
    <n v="87"/>
    <n v="0"/>
    <n v="87"/>
    <n v="87"/>
    <n v="87"/>
    <n v="0"/>
    <n v="87"/>
    <n v="125886.2414831963"/>
    <n v="85"/>
  </r>
  <r>
    <n v="360"/>
    <s v="cliente360"/>
    <x v="2"/>
    <x v="2"/>
    <n v="0"/>
    <n v="0"/>
    <x v="3"/>
    <n v="0"/>
    <n v="0"/>
    <n v="0"/>
    <n v="0"/>
    <n v="75"/>
    <n v="83"/>
    <n v="83"/>
    <n v="85"/>
    <n v="85"/>
    <n v="85"/>
    <n v="85"/>
    <n v="85"/>
    <n v="85"/>
    <n v="85"/>
    <n v="83"/>
    <n v="189865.8699003357"/>
    <n v="80"/>
  </r>
  <r>
    <n v="361"/>
    <s v="cliente361"/>
    <x v="2"/>
    <x v="2"/>
    <n v="0"/>
    <n v="0"/>
    <x v="3"/>
    <n v="0"/>
    <n v="0"/>
    <n v="0"/>
    <n v="0"/>
    <n v="85"/>
    <n v="85"/>
    <n v="85"/>
    <n v="85"/>
    <n v="80"/>
    <n v="85"/>
    <n v="85"/>
    <n v="83"/>
    <n v="0"/>
    <n v="0"/>
    <n v="0"/>
    <m/>
    <n v="0"/>
  </r>
  <r>
    <n v="362"/>
    <s v="cliente362"/>
    <x v="2"/>
    <x v="2"/>
    <n v="0"/>
    <n v="0"/>
    <x v="3"/>
    <n v="0"/>
    <n v="0"/>
    <n v="0"/>
    <n v="0"/>
    <n v="0"/>
    <n v="75"/>
    <n v="83"/>
    <n v="83"/>
    <n v="0"/>
    <n v="83"/>
    <n v="83"/>
    <n v="83"/>
    <n v="85"/>
    <n v="80"/>
    <n v="83"/>
    <n v="2605447.1756888498"/>
    <n v="83"/>
  </r>
  <r>
    <n v="363"/>
    <s v="cliente363"/>
    <x v="2"/>
    <x v="2"/>
    <n v="0"/>
    <n v="0"/>
    <x v="3"/>
    <n v="0"/>
    <n v="0"/>
    <n v="0"/>
    <n v="0"/>
    <n v="80"/>
    <n v="80"/>
    <n v="87"/>
    <n v="85"/>
    <n v="87"/>
    <n v="87"/>
    <n v="87"/>
    <n v="87"/>
    <n v="87"/>
    <n v="87"/>
    <n v="85"/>
    <n v="1442486.7149781112"/>
    <n v="83"/>
  </r>
  <r>
    <n v="364"/>
    <s v="cliente364"/>
    <x v="2"/>
    <x v="2"/>
    <n v="0"/>
    <n v="0"/>
    <x v="3"/>
    <n v="0"/>
    <n v="0"/>
    <n v="0"/>
    <n v="0"/>
    <n v="85"/>
    <n v="85"/>
    <n v="85"/>
    <n v="0"/>
    <n v="0"/>
    <n v="0"/>
    <n v="0"/>
    <n v="0"/>
    <n v="0"/>
    <n v="0"/>
    <n v="0"/>
    <m/>
    <n v="0"/>
  </r>
  <r>
    <n v="365"/>
    <s v="cliente365"/>
    <x v="2"/>
    <x v="2"/>
    <n v="0"/>
    <n v="0"/>
    <x v="3"/>
    <n v="0"/>
    <n v="0"/>
    <n v="0"/>
    <n v="0"/>
    <n v="87"/>
    <n v="87"/>
    <n v="87"/>
    <n v="87"/>
    <n v="87"/>
    <n v="87"/>
    <n v="90"/>
    <n v="90"/>
    <n v="87"/>
    <n v="87"/>
    <n v="87"/>
    <n v="249127.70523891321"/>
    <n v="80"/>
  </r>
  <r>
    <n v="366"/>
    <s v="cliente366"/>
    <x v="2"/>
    <x v="2"/>
    <n v="0"/>
    <n v="0"/>
    <x v="3"/>
    <n v="0"/>
    <n v="0"/>
    <n v="0"/>
    <n v="0"/>
    <n v="0"/>
    <n v="83"/>
    <n v="83"/>
    <n v="70"/>
    <n v="22"/>
    <n v="22"/>
    <n v="22"/>
    <n v="22"/>
    <n v="22"/>
    <n v="22"/>
    <n v="22"/>
    <n v="205515.51152424375"/>
    <n v="22"/>
  </r>
  <r>
    <n v="367"/>
    <s v="cliente367"/>
    <x v="2"/>
    <x v="2"/>
    <n v="0"/>
    <n v="0"/>
    <x v="3"/>
    <n v="0"/>
    <n v="0"/>
    <n v="0"/>
    <n v="0"/>
    <n v="85"/>
    <n v="80"/>
    <n v="83"/>
    <n v="85"/>
    <n v="83"/>
    <n v="85"/>
    <n v="85"/>
    <n v="83"/>
    <n v="80"/>
    <n v="83"/>
    <n v="80"/>
    <n v="180690.23345621998"/>
    <n v="77"/>
  </r>
  <r>
    <n v="368"/>
    <s v="cliente368"/>
    <x v="2"/>
    <x v="2"/>
    <n v="0"/>
    <n v="0"/>
    <x v="3"/>
    <n v="0"/>
    <n v="0"/>
    <n v="0"/>
    <n v="0"/>
    <n v="85"/>
    <n v="83"/>
    <n v="65"/>
    <n v="65"/>
    <n v="0"/>
    <n v="0"/>
    <n v="0"/>
    <n v="0"/>
    <n v="0"/>
    <n v="0"/>
    <n v="0"/>
    <m/>
    <n v="0"/>
  </r>
  <r>
    <n v="369"/>
    <s v="cliente369"/>
    <x v="2"/>
    <x v="2"/>
    <n v="0"/>
    <n v="0"/>
    <x v="3"/>
    <n v="0"/>
    <n v="0"/>
    <n v="0"/>
    <n v="0"/>
    <n v="77"/>
    <n v="77"/>
    <n v="77"/>
    <n v="73"/>
    <n v="80"/>
    <n v="77"/>
    <n v="0"/>
    <n v="0"/>
    <n v="0"/>
    <n v="0"/>
    <n v="0"/>
    <m/>
    <n v="0"/>
  </r>
  <r>
    <n v="370"/>
    <s v="cliente370"/>
    <x v="2"/>
    <x v="2"/>
    <n v="0"/>
    <n v="0"/>
    <x v="3"/>
    <n v="0"/>
    <n v="0"/>
    <n v="0"/>
    <n v="0"/>
    <n v="85"/>
    <n v="80"/>
    <n v="80"/>
    <n v="0"/>
    <n v="0"/>
    <n v="0"/>
    <n v="0"/>
    <n v="0"/>
    <n v="0"/>
    <n v="0"/>
    <n v="0"/>
    <m/>
    <n v="0"/>
  </r>
  <r>
    <n v="371"/>
    <s v="cliente371"/>
    <x v="2"/>
    <x v="2"/>
    <n v="0"/>
    <n v="0"/>
    <x v="3"/>
    <n v="0"/>
    <n v="0"/>
    <n v="0"/>
    <n v="0"/>
    <n v="0"/>
    <n v="83"/>
    <n v="85"/>
    <n v="83"/>
    <n v="85"/>
    <n v="85"/>
    <n v="87"/>
    <n v="85"/>
    <n v="83"/>
    <n v="83"/>
    <n v="83"/>
    <n v="314789.62491264811"/>
    <n v="85"/>
  </r>
  <r>
    <n v="372"/>
    <s v="cliente372"/>
    <x v="2"/>
    <x v="2"/>
    <n v="0"/>
    <n v="0"/>
    <x v="3"/>
    <n v="0"/>
    <n v="0"/>
    <n v="0"/>
    <n v="0"/>
    <n v="87"/>
    <n v="87"/>
    <n v="87"/>
    <n v="87"/>
    <n v="87"/>
    <n v="0"/>
    <n v="0"/>
    <n v="0"/>
    <n v="0"/>
    <n v="0"/>
    <n v="0"/>
    <m/>
    <n v="0"/>
  </r>
  <r>
    <n v="373"/>
    <s v="cliente373"/>
    <x v="2"/>
    <x v="2"/>
    <n v="0"/>
    <n v="0"/>
    <x v="3"/>
    <n v="0"/>
    <n v="0"/>
    <n v="0"/>
    <n v="0"/>
    <n v="83"/>
    <n v="83"/>
    <n v="83"/>
    <n v="83"/>
    <n v="83"/>
    <n v="83"/>
    <n v="0"/>
    <n v="0"/>
    <n v="0"/>
    <n v="0"/>
    <n v="0"/>
    <m/>
    <n v="0"/>
  </r>
  <r>
    <n v="374"/>
    <s v="cliente374"/>
    <x v="2"/>
    <x v="2"/>
    <n v="0"/>
    <n v="0"/>
    <x v="3"/>
    <n v="0"/>
    <n v="0"/>
    <n v="0"/>
    <n v="0"/>
    <n v="0"/>
    <n v="85"/>
    <n v="83"/>
    <n v="80"/>
    <n v="75"/>
    <n v="80"/>
    <n v="83"/>
    <n v="80"/>
    <n v="83"/>
    <n v="83"/>
    <n v="83"/>
    <n v="722891.57512973913"/>
    <n v="83"/>
  </r>
  <r>
    <n v="375"/>
    <s v="cliente375"/>
    <x v="2"/>
    <x v="2"/>
    <n v="0"/>
    <n v="0"/>
    <x v="3"/>
    <n v="0"/>
    <n v="0"/>
    <n v="0"/>
    <n v="0"/>
    <n v="0"/>
    <n v="75"/>
    <n v="75"/>
    <n v="80"/>
    <n v="83"/>
    <n v="85"/>
    <n v="85"/>
    <n v="87"/>
    <n v="87"/>
    <n v="87"/>
    <n v="87"/>
    <n v="229949.46365372388"/>
    <n v="87"/>
  </r>
  <r>
    <n v="376"/>
    <s v="cliente376"/>
    <x v="2"/>
    <x v="2"/>
    <n v="0"/>
    <n v="0"/>
    <x v="3"/>
    <n v="0"/>
    <n v="0"/>
    <n v="0"/>
    <n v="0"/>
    <n v="0"/>
    <n v="80"/>
    <n v="80"/>
    <n v="83"/>
    <n v="85"/>
    <n v="83"/>
    <n v="77"/>
    <n v="77"/>
    <n v="77"/>
    <n v="80"/>
    <n v="80"/>
    <n v="1163865.0024541086"/>
    <n v="83"/>
  </r>
  <r>
    <n v="377"/>
    <s v="cliente377"/>
    <x v="2"/>
    <x v="2"/>
    <n v="0"/>
    <n v="0"/>
    <x v="3"/>
    <n v="0"/>
    <n v="0"/>
    <n v="0"/>
    <n v="0"/>
    <n v="75"/>
    <n v="83"/>
    <n v="85"/>
    <n v="0"/>
    <n v="0"/>
    <n v="0"/>
    <n v="0"/>
    <n v="0"/>
    <n v="0"/>
    <n v="0"/>
    <n v="0"/>
    <m/>
    <n v="0"/>
  </r>
  <r>
    <n v="378"/>
    <s v="cliente378"/>
    <x v="2"/>
    <x v="2"/>
    <n v="0"/>
    <n v="0"/>
    <x v="3"/>
    <n v="0"/>
    <n v="0"/>
    <n v="0"/>
    <n v="0"/>
    <n v="0"/>
    <n v="0"/>
    <n v="83"/>
    <n v="83"/>
    <n v="83"/>
    <n v="83"/>
    <n v="85"/>
    <n v="85"/>
    <n v="85"/>
    <n v="85"/>
    <n v="85"/>
    <n v="149578.21994988425"/>
    <n v="85"/>
  </r>
  <r>
    <n v="379"/>
    <s v="cliente379"/>
    <x v="2"/>
    <x v="2"/>
    <n v="0"/>
    <n v="0"/>
    <x v="3"/>
    <n v="0"/>
    <n v="0"/>
    <n v="0"/>
    <n v="0"/>
    <n v="87"/>
    <n v="0"/>
    <n v="0"/>
    <n v="0"/>
    <n v="87"/>
    <n v="0"/>
    <n v="90"/>
    <n v="87"/>
    <n v="87"/>
    <n v="0"/>
    <n v="87"/>
    <n v="385088.86472248397"/>
    <n v="87"/>
  </r>
  <r>
    <n v="380"/>
    <s v="cliente380"/>
    <x v="2"/>
    <x v="2"/>
    <n v="0"/>
    <n v="0"/>
    <x v="3"/>
    <n v="0"/>
    <n v="0"/>
    <n v="0"/>
    <n v="0"/>
    <n v="0"/>
    <n v="80"/>
    <n v="80"/>
    <n v="80"/>
    <n v="83"/>
    <n v="83"/>
    <n v="80"/>
    <n v="80"/>
    <n v="83"/>
    <n v="83"/>
    <n v="83"/>
    <n v="498756.07385259576"/>
    <n v="83"/>
  </r>
  <r>
    <n v="381"/>
    <s v="cliente381"/>
    <x v="2"/>
    <x v="2"/>
    <n v="0"/>
    <n v="0"/>
    <x v="3"/>
    <n v="0"/>
    <n v="0"/>
    <n v="0"/>
    <n v="0"/>
    <n v="0"/>
    <n v="85"/>
    <n v="85"/>
    <n v="85"/>
    <n v="87"/>
    <n v="87"/>
    <n v="87"/>
    <n v="87"/>
    <n v="87"/>
    <n v="87"/>
    <n v="80"/>
    <n v="356525.53999712254"/>
    <n v="83"/>
  </r>
  <r>
    <n v="382"/>
    <s v="cliente382"/>
    <x v="2"/>
    <x v="2"/>
    <n v="0"/>
    <n v="0"/>
    <x v="3"/>
    <n v="0"/>
    <n v="0"/>
    <n v="0"/>
    <n v="0"/>
    <n v="0"/>
    <n v="85"/>
    <n v="85"/>
    <n v="85"/>
    <n v="87"/>
    <n v="0"/>
    <n v="0"/>
    <n v="0"/>
    <n v="0"/>
    <n v="0"/>
    <n v="0"/>
    <m/>
    <n v="0"/>
  </r>
  <r>
    <n v="383"/>
    <s v="cliente383"/>
    <x v="2"/>
    <x v="2"/>
    <n v="0"/>
    <n v="0"/>
    <x v="3"/>
    <n v="0"/>
    <n v="0"/>
    <n v="0"/>
    <n v="0"/>
    <n v="0"/>
    <n v="85"/>
    <n v="85"/>
    <n v="85"/>
    <n v="87"/>
    <n v="85"/>
    <n v="85"/>
    <n v="83"/>
    <n v="85"/>
    <n v="87"/>
    <n v="87"/>
    <n v="115210.10134868599"/>
    <n v="87"/>
  </r>
  <r>
    <n v="384"/>
    <s v="cliente384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997602.92749458482"/>
    <n v="87"/>
  </r>
  <r>
    <n v="385"/>
    <s v="cliente385"/>
    <x v="2"/>
    <x v="2"/>
    <n v="0"/>
    <n v="0"/>
    <x v="3"/>
    <n v="0"/>
    <n v="0"/>
    <n v="0"/>
    <n v="0"/>
    <n v="0"/>
    <n v="0"/>
    <n v="85"/>
    <n v="83"/>
    <n v="83"/>
    <n v="83"/>
    <n v="85"/>
    <n v="83"/>
    <n v="85"/>
    <n v="83"/>
    <n v="83"/>
    <n v="471915.51189906505"/>
    <n v="70"/>
  </r>
  <r>
    <n v="386"/>
    <s v="cliente386"/>
    <x v="2"/>
    <x v="2"/>
    <n v="0"/>
    <n v="0"/>
    <x v="3"/>
    <n v="0"/>
    <n v="0"/>
    <n v="0"/>
    <n v="0"/>
    <n v="0"/>
    <n v="75"/>
    <n v="83"/>
    <n v="83"/>
    <n v="83"/>
    <n v="87"/>
    <n v="0"/>
    <n v="0"/>
    <n v="0"/>
    <n v="0"/>
    <n v="0"/>
    <m/>
    <n v="0"/>
  </r>
  <r>
    <n v="387"/>
    <s v="cliente387"/>
    <x v="2"/>
    <x v="2"/>
    <n v="0"/>
    <n v="0"/>
    <x v="3"/>
    <n v="0"/>
    <n v="0"/>
    <n v="0"/>
    <n v="0"/>
    <n v="0"/>
    <n v="0"/>
    <n v="83"/>
    <n v="85"/>
    <n v="0"/>
    <n v="85"/>
    <n v="87"/>
    <n v="0"/>
    <n v="85"/>
    <n v="87"/>
    <n v="80"/>
    <n v="228004.77218320029"/>
    <n v="80"/>
  </r>
  <r>
    <n v="388"/>
    <s v="cliente388"/>
    <x v="2"/>
    <x v="2"/>
    <n v="0"/>
    <n v="0"/>
    <x v="3"/>
    <n v="0"/>
    <n v="0"/>
    <n v="0"/>
    <n v="0"/>
    <n v="0"/>
    <n v="83"/>
    <n v="85"/>
    <n v="80"/>
    <n v="83"/>
    <n v="80"/>
    <n v="0"/>
    <n v="0"/>
    <n v="0"/>
    <n v="0"/>
    <n v="0"/>
    <m/>
    <n v="0"/>
  </r>
  <r>
    <n v="389"/>
    <s v="cliente389"/>
    <x v="2"/>
    <x v="2"/>
    <n v="0"/>
    <n v="0"/>
    <x v="3"/>
    <n v="0"/>
    <n v="0"/>
    <n v="0"/>
    <n v="0"/>
    <n v="0"/>
    <n v="80"/>
    <n v="0"/>
    <n v="0"/>
    <n v="0"/>
    <n v="0"/>
    <n v="0"/>
    <n v="0"/>
    <n v="0"/>
    <n v="0"/>
    <n v="0"/>
    <m/>
    <n v="0"/>
  </r>
  <r>
    <n v="390"/>
    <s v="cliente390"/>
    <x v="2"/>
    <x v="2"/>
    <n v="0"/>
    <n v="0"/>
    <x v="3"/>
    <n v="0"/>
    <n v="0"/>
    <n v="0"/>
    <n v="0"/>
    <n v="0"/>
    <n v="0"/>
    <n v="83"/>
    <n v="83"/>
    <n v="83"/>
    <n v="83"/>
    <n v="83"/>
    <n v="85"/>
    <n v="83"/>
    <n v="85"/>
    <n v="85"/>
    <n v="1752678.7848761652"/>
    <n v="85"/>
  </r>
  <r>
    <n v="391"/>
    <s v="cliente391"/>
    <x v="2"/>
    <x v="2"/>
    <n v="0"/>
    <n v="0"/>
    <x v="3"/>
    <n v="0"/>
    <n v="0"/>
    <n v="0"/>
    <n v="0"/>
    <n v="0"/>
    <n v="85"/>
    <n v="87"/>
    <n v="85"/>
    <n v="85"/>
    <n v="85"/>
    <n v="85"/>
    <n v="85"/>
    <n v="83"/>
    <n v="85"/>
    <n v="83"/>
    <n v="137431.16771936114"/>
    <n v="83"/>
  </r>
  <r>
    <n v="392"/>
    <s v="cliente392"/>
    <x v="2"/>
    <x v="2"/>
    <n v="0"/>
    <n v="0"/>
    <x v="3"/>
    <n v="0"/>
    <n v="0"/>
    <n v="0"/>
    <n v="0"/>
    <n v="0"/>
    <n v="85"/>
    <n v="87"/>
    <n v="85"/>
    <n v="87"/>
    <n v="87"/>
    <n v="87"/>
    <n v="0"/>
    <n v="0"/>
    <n v="0"/>
    <n v="0"/>
    <m/>
    <n v="0"/>
  </r>
  <r>
    <n v="393"/>
    <s v="cliente393"/>
    <x v="2"/>
    <x v="2"/>
    <n v="0"/>
    <n v="0"/>
    <x v="3"/>
    <n v="0"/>
    <n v="0"/>
    <n v="0"/>
    <n v="0"/>
    <n v="0"/>
    <n v="0"/>
    <n v="87"/>
    <n v="85"/>
    <n v="85"/>
    <n v="87"/>
    <n v="87"/>
    <n v="87"/>
    <n v="87"/>
    <n v="87"/>
    <n v="87"/>
    <n v="232547.50425731871"/>
    <n v="85"/>
  </r>
  <r>
    <n v="394"/>
    <s v="cliente394"/>
    <x v="2"/>
    <x v="2"/>
    <n v="0"/>
    <n v="0"/>
    <x v="3"/>
    <n v="0"/>
    <n v="0"/>
    <n v="0"/>
    <n v="0"/>
    <n v="0"/>
    <n v="90"/>
    <n v="87"/>
    <n v="0"/>
    <n v="0"/>
    <n v="90"/>
    <n v="87"/>
    <n v="90"/>
    <n v="90"/>
    <n v="90"/>
    <n v="90"/>
    <n v="185761.17014377611"/>
    <n v="80"/>
  </r>
  <r>
    <n v="395"/>
    <s v="cliente395"/>
    <x v="2"/>
    <x v="2"/>
    <n v="0"/>
    <n v="0"/>
    <x v="3"/>
    <n v="0"/>
    <n v="0"/>
    <n v="0"/>
    <n v="0"/>
    <n v="0"/>
    <n v="83"/>
    <n v="85"/>
    <n v="80"/>
    <n v="83"/>
    <n v="83"/>
    <n v="85"/>
    <n v="85"/>
    <n v="85"/>
    <n v="85"/>
    <n v="85"/>
    <n v="190011.57581542691"/>
    <n v="83"/>
  </r>
  <r>
    <n v="396"/>
    <s v="cliente396"/>
    <x v="2"/>
    <x v="2"/>
    <n v="0"/>
    <n v="0"/>
    <x v="3"/>
    <n v="0"/>
    <n v="0"/>
    <n v="0"/>
    <n v="0"/>
    <n v="0"/>
    <n v="85"/>
    <n v="87"/>
    <n v="85"/>
    <n v="85"/>
    <n v="85"/>
    <n v="87"/>
    <n v="0"/>
    <n v="0"/>
    <n v="0"/>
    <n v="0"/>
    <m/>
    <n v="0"/>
  </r>
  <r>
    <n v="397"/>
    <s v="cliente397"/>
    <x v="2"/>
    <x v="2"/>
    <n v="0"/>
    <n v="0"/>
    <x v="3"/>
    <n v="0"/>
    <n v="0"/>
    <n v="0"/>
    <n v="0"/>
    <n v="0"/>
    <n v="0"/>
    <n v="75"/>
    <n v="83"/>
    <n v="85"/>
    <n v="85"/>
    <n v="85"/>
    <n v="85"/>
    <n v="85"/>
    <n v="85"/>
    <n v="85"/>
    <n v="259856.65623402453"/>
    <n v="85"/>
  </r>
  <r>
    <n v="398"/>
    <s v="cliente398"/>
    <x v="2"/>
    <x v="2"/>
    <n v="0"/>
    <n v="0"/>
    <x v="3"/>
    <n v="0"/>
    <n v="0"/>
    <n v="0"/>
    <n v="0"/>
    <n v="0"/>
    <n v="85"/>
    <n v="85"/>
    <n v="85"/>
    <n v="85"/>
    <n v="85"/>
    <n v="85"/>
    <n v="85"/>
    <n v="85"/>
    <n v="85"/>
    <n v="85"/>
    <n v="570256.69104460895"/>
    <n v="83"/>
  </r>
  <r>
    <n v="399"/>
    <s v="cliente399"/>
    <x v="2"/>
    <x v="2"/>
    <n v="0"/>
    <n v="0"/>
    <x v="3"/>
    <n v="0"/>
    <n v="0"/>
    <n v="0"/>
    <n v="0"/>
    <n v="0"/>
    <n v="0"/>
    <n v="83"/>
    <n v="80"/>
    <n v="83"/>
    <n v="80"/>
    <n v="85"/>
    <n v="85"/>
    <n v="85"/>
    <n v="83"/>
    <n v="85"/>
    <n v="154982.24712583993"/>
    <n v="80"/>
  </r>
  <r>
    <n v="400"/>
    <s v="cliente400"/>
    <x v="2"/>
    <x v="2"/>
    <n v="0"/>
    <n v="0"/>
    <x v="3"/>
    <n v="0"/>
    <n v="0"/>
    <n v="0"/>
    <n v="0"/>
    <n v="0"/>
    <n v="0"/>
    <n v="83"/>
    <n v="83"/>
    <n v="85"/>
    <n v="85"/>
    <n v="85"/>
    <n v="83"/>
    <n v="83"/>
    <n v="80"/>
    <n v="77"/>
    <n v="275013.46076481527"/>
    <n v="73"/>
  </r>
  <r>
    <n v="401"/>
    <s v="cliente401"/>
    <x v="2"/>
    <x v="2"/>
    <n v="0"/>
    <n v="0"/>
    <x v="3"/>
    <n v="0"/>
    <n v="0"/>
    <n v="0"/>
    <n v="0"/>
    <n v="0"/>
    <n v="0"/>
    <n v="83"/>
    <n v="83"/>
    <n v="83"/>
    <n v="83"/>
    <n v="83"/>
    <n v="83"/>
    <n v="85"/>
    <n v="85"/>
    <n v="83"/>
    <n v="145885.71408866864"/>
    <n v="85"/>
  </r>
  <r>
    <n v="402"/>
    <s v="cliente402"/>
    <x v="2"/>
    <x v="2"/>
    <n v="0"/>
    <n v="0"/>
    <x v="3"/>
    <n v="0"/>
    <n v="0"/>
    <n v="0"/>
    <n v="0"/>
    <n v="0"/>
    <n v="0"/>
    <n v="75"/>
    <n v="75"/>
    <n v="75"/>
    <n v="0"/>
    <n v="0"/>
    <n v="0"/>
    <n v="0"/>
    <n v="0"/>
    <n v="0"/>
    <m/>
    <n v="0"/>
  </r>
  <r>
    <n v="403"/>
    <s v="cliente40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163193.71270007518"/>
    <n v="85"/>
  </r>
  <r>
    <n v="404"/>
    <s v="cliente404"/>
    <x v="2"/>
    <x v="2"/>
    <n v="0"/>
    <n v="0"/>
    <x v="3"/>
    <n v="0"/>
    <n v="0"/>
    <n v="0"/>
    <n v="0"/>
    <n v="0"/>
    <n v="0"/>
    <n v="83"/>
    <n v="73"/>
    <n v="70"/>
    <n v="70"/>
    <n v="0"/>
    <n v="0"/>
    <n v="0"/>
    <n v="0"/>
    <n v="0"/>
    <m/>
    <n v="0"/>
  </r>
  <r>
    <n v="405"/>
    <s v="cliente405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4096.86431197735"/>
    <n v="80"/>
  </r>
  <r>
    <n v="406"/>
    <s v="cliente406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4424.50952980074"/>
    <n v="83"/>
  </r>
  <r>
    <n v="407"/>
    <s v="cliente407"/>
    <x v="2"/>
    <x v="2"/>
    <n v="0"/>
    <n v="0"/>
    <x v="3"/>
    <n v="0"/>
    <n v="0"/>
    <n v="0"/>
    <n v="0"/>
    <n v="0"/>
    <n v="0"/>
    <n v="83"/>
    <n v="0"/>
    <n v="0"/>
    <n v="0"/>
    <n v="0"/>
    <n v="0"/>
    <n v="0"/>
    <n v="0"/>
    <n v="0"/>
    <m/>
    <n v="0"/>
  </r>
  <r>
    <n v="408"/>
    <s v="cliente40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37823.42714023913"/>
    <n v="83"/>
  </r>
  <r>
    <n v="409"/>
    <s v="cliente409"/>
    <x v="2"/>
    <x v="2"/>
    <n v="0"/>
    <n v="0"/>
    <x v="3"/>
    <n v="0"/>
    <n v="0"/>
    <n v="0"/>
    <n v="0"/>
    <n v="0"/>
    <n v="0"/>
    <n v="85"/>
    <n v="85"/>
    <n v="85"/>
    <n v="85"/>
    <n v="87"/>
    <n v="87"/>
    <n v="87"/>
    <n v="87"/>
    <n v="87"/>
    <n v="318939.89652042504"/>
    <n v="87"/>
  </r>
  <r>
    <n v="410"/>
    <s v="cliente410"/>
    <x v="2"/>
    <x v="2"/>
    <n v="0"/>
    <n v="0"/>
    <x v="3"/>
    <n v="0"/>
    <n v="0"/>
    <n v="0"/>
    <n v="0"/>
    <n v="0"/>
    <n v="0"/>
    <n v="77"/>
    <n v="80"/>
    <n v="83"/>
    <n v="80"/>
    <n v="83"/>
    <n v="83"/>
    <n v="80"/>
    <n v="80"/>
    <n v="80"/>
    <n v="352251.71010326373"/>
    <n v="83"/>
  </r>
  <r>
    <n v="411"/>
    <s v="cliente411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647420.59954186389"/>
    <n v="83"/>
  </r>
  <r>
    <n v="412"/>
    <s v="cliente412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722051.60060496547"/>
    <n v="87"/>
  </r>
  <r>
    <n v="413"/>
    <s v="cliente41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31071.5014969513"/>
    <n v="77"/>
  </r>
  <r>
    <n v="414"/>
    <s v="cliente414"/>
    <x v="2"/>
    <x v="2"/>
    <n v="0"/>
    <n v="0"/>
    <x v="3"/>
    <n v="0"/>
    <n v="0"/>
    <n v="0"/>
    <n v="0"/>
    <n v="0"/>
    <n v="0"/>
    <n v="80"/>
    <n v="83"/>
    <n v="85"/>
    <n v="83"/>
    <n v="85"/>
    <n v="85"/>
    <n v="85"/>
    <n v="85"/>
    <n v="85"/>
    <n v="226302.45868353522"/>
    <n v="83"/>
  </r>
  <r>
    <n v="415"/>
    <s v="cliente415"/>
    <x v="2"/>
    <x v="2"/>
    <n v="0"/>
    <n v="0"/>
    <x v="3"/>
    <n v="0"/>
    <n v="0"/>
    <n v="0"/>
    <n v="0"/>
    <n v="0"/>
    <n v="0"/>
    <n v="83"/>
    <n v="80"/>
    <n v="83"/>
    <n v="83"/>
    <n v="85"/>
    <n v="85"/>
    <n v="83"/>
    <n v="0"/>
    <n v="0"/>
    <m/>
    <n v="0"/>
  </r>
  <r>
    <n v="416"/>
    <s v="cliente416"/>
    <x v="2"/>
    <x v="2"/>
    <n v="0"/>
    <n v="0"/>
    <x v="3"/>
    <n v="0"/>
    <n v="0"/>
    <n v="0"/>
    <n v="0"/>
    <n v="0"/>
    <n v="0"/>
    <n v="77"/>
    <n v="75"/>
    <n v="77"/>
    <n v="77"/>
    <n v="77"/>
    <n v="77"/>
    <n v="80"/>
    <n v="75"/>
    <n v="0"/>
    <m/>
    <n v="0"/>
  </r>
  <r>
    <n v="417"/>
    <s v="cliente417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9780.72847551596"/>
    <n v="83"/>
  </r>
  <r>
    <n v="418"/>
    <s v="cliente41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8988.25463239511"/>
    <n v="83"/>
  </r>
  <r>
    <n v="419"/>
    <s v="cliente419"/>
    <x v="2"/>
    <x v="2"/>
    <n v="0"/>
    <n v="0"/>
    <x v="3"/>
    <n v="0"/>
    <n v="0"/>
    <n v="0"/>
    <n v="0"/>
    <n v="0"/>
    <n v="0"/>
    <n v="80"/>
    <n v="83"/>
    <n v="0"/>
    <n v="85"/>
    <n v="85"/>
    <n v="83"/>
    <n v="0"/>
    <n v="0"/>
    <n v="80"/>
    <n v="1421788.9016984415"/>
    <n v="80"/>
  </r>
  <r>
    <n v="420"/>
    <s v="cliente420"/>
    <x v="1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1"/>
    <s v="cliente421"/>
    <x v="0"/>
    <x v="4"/>
    <n v="75"/>
    <n v="75"/>
    <x v="12"/>
    <n v="75"/>
    <n v="0"/>
    <n v="0"/>
    <n v="0"/>
    <n v="0"/>
    <n v="0"/>
    <n v="0"/>
    <n v="0"/>
    <n v="0"/>
    <n v="0"/>
    <n v="0"/>
    <n v="0"/>
    <n v="0"/>
    <n v="0"/>
    <n v="0"/>
    <m/>
    <n v="0"/>
  </r>
  <r>
    <n v="422"/>
    <s v="cliente422"/>
    <x v="11"/>
    <x v="3"/>
    <n v="87"/>
    <n v="87"/>
    <x v="9"/>
    <n v="87"/>
    <n v="90"/>
    <n v="0"/>
    <n v="0"/>
    <n v="0"/>
    <n v="0"/>
    <n v="0"/>
    <n v="0"/>
    <n v="0"/>
    <n v="0"/>
    <n v="0"/>
    <n v="0"/>
    <n v="0"/>
    <n v="0"/>
    <n v="0"/>
    <m/>
    <n v="0"/>
  </r>
  <r>
    <n v="423"/>
    <s v="cliente423"/>
    <x v="6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4"/>
    <s v="cliente424"/>
    <x v="11"/>
    <x v="4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5"/>
    <s v="cliente425"/>
    <x v="4"/>
    <x v="0"/>
    <n v="77"/>
    <n v="77"/>
    <x v="5"/>
    <n v="80"/>
    <n v="80"/>
    <n v="0"/>
    <n v="0"/>
    <n v="0"/>
    <n v="0"/>
    <n v="0"/>
    <n v="0"/>
    <n v="0"/>
    <n v="0"/>
    <n v="0"/>
    <n v="0"/>
    <n v="0"/>
    <n v="0"/>
    <n v="0"/>
    <m/>
    <n v="0"/>
  </r>
  <r>
    <n v="426"/>
    <s v="cliente426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27"/>
    <s v="cliente427"/>
    <x v="0"/>
    <x v="11"/>
    <n v="80"/>
    <n v="80"/>
    <x v="4"/>
    <n v="80"/>
    <n v="0"/>
    <n v="0"/>
    <n v="0"/>
    <n v="0"/>
    <n v="0"/>
    <n v="0"/>
    <n v="0"/>
    <n v="0"/>
    <n v="0"/>
    <n v="0"/>
    <n v="0"/>
    <n v="0"/>
    <n v="0"/>
    <n v="0"/>
    <m/>
    <n v="0"/>
  </r>
  <r>
    <n v="428"/>
    <s v="cliente428"/>
    <x v="9"/>
    <x v="12"/>
    <n v="60"/>
    <n v="6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9"/>
    <s v="cliente429"/>
    <x v="2"/>
    <x v="2"/>
    <n v="0"/>
    <n v="0"/>
    <x v="3"/>
    <n v="0"/>
    <n v="0"/>
    <n v="85"/>
    <n v="85"/>
    <n v="0"/>
    <n v="0"/>
    <n v="0"/>
    <n v="0"/>
    <n v="0"/>
    <n v="0"/>
    <n v="0"/>
    <n v="0"/>
    <n v="0"/>
    <n v="0"/>
    <n v="0"/>
    <m/>
    <n v="0"/>
  </r>
  <r>
    <n v="430"/>
    <s v="cliente430"/>
    <x v="0"/>
    <x v="4"/>
    <n v="83"/>
    <n v="83"/>
    <x v="4"/>
    <n v="83"/>
    <n v="83"/>
    <n v="80"/>
    <n v="80"/>
    <n v="85"/>
    <n v="83"/>
    <n v="83"/>
    <n v="80"/>
    <n v="80"/>
    <n v="83"/>
    <n v="83"/>
    <n v="85"/>
    <n v="85"/>
    <n v="85"/>
    <n v="85"/>
    <n v="207027.33995989521"/>
    <n v="85"/>
  </r>
  <r>
    <n v="431"/>
    <s v="cliente431"/>
    <x v="6"/>
    <x v="4"/>
    <n v="83"/>
    <n v="83"/>
    <x v="8"/>
    <n v="83"/>
    <n v="83"/>
    <n v="0"/>
    <n v="83"/>
    <n v="80"/>
    <n v="80"/>
    <n v="80"/>
    <n v="75"/>
    <n v="0"/>
    <n v="0"/>
    <n v="80"/>
    <n v="77"/>
    <n v="77"/>
    <n v="77"/>
    <n v="77"/>
    <n v="116878.3940199864"/>
    <n v="75"/>
  </r>
  <r>
    <n v="432"/>
    <s v="cliente43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08015.91243388399"/>
    <n v="22"/>
  </r>
  <r>
    <n v="433"/>
    <s v="cliente433"/>
    <x v="1"/>
    <x v="5"/>
    <n v="77"/>
    <n v="77"/>
    <x v="8"/>
    <n v="85"/>
    <n v="80"/>
    <n v="0"/>
    <n v="85"/>
    <n v="80"/>
    <n v="73"/>
    <n v="73"/>
    <n v="65"/>
    <n v="0"/>
    <n v="0"/>
    <n v="0"/>
    <n v="0"/>
    <n v="0"/>
    <n v="0"/>
    <n v="0"/>
    <m/>
    <n v="0"/>
  </r>
  <r>
    <n v="434"/>
    <s v="cliente434"/>
    <x v="2"/>
    <x v="13"/>
    <n v="70"/>
    <n v="7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35"/>
    <s v="cliente435"/>
    <x v="13"/>
    <x v="13"/>
    <n v="40"/>
    <n v="40"/>
    <x v="2"/>
    <n v="65"/>
    <n v="65"/>
    <n v="65"/>
    <n v="65"/>
    <n v="65"/>
    <n v="0"/>
    <n v="0"/>
    <n v="0"/>
    <n v="0"/>
    <n v="0"/>
    <n v="0"/>
    <n v="0"/>
    <n v="0"/>
    <n v="0"/>
    <n v="0"/>
    <m/>
    <n v="0"/>
  </r>
  <r>
    <n v="436"/>
    <s v="cliente436"/>
    <x v="0"/>
    <x v="5"/>
    <n v="75"/>
    <n v="75"/>
    <x v="5"/>
    <n v="0"/>
    <n v="0"/>
    <n v="0"/>
    <n v="0"/>
    <n v="0"/>
    <n v="0"/>
    <n v="0"/>
    <n v="0"/>
    <n v="0"/>
    <n v="0"/>
    <n v="0"/>
    <n v="0"/>
    <n v="0"/>
    <n v="0"/>
    <n v="0"/>
    <m/>
    <n v="0"/>
  </r>
  <r>
    <n v="437"/>
    <s v="cliente437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38"/>
    <s v="cliente438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439"/>
    <s v="cliente439"/>
    <x v="0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0"/>
    <s v="cliente440"/>
    <x v="6"/>
    <x v="3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1"/>
    <s v="cliente441"/>
    <x v="12"/>
    <x v="6"/>
    <n v="73"/>
    <n v="73"/>
    <x v="12"/>
    <n v="73"/>
    <n v="73"/>
    <n v="73"/>
    <n v="70"/>
    <n v="65"/>
    <n v="65"/>
    <n v="60"/>
    <n v="60"/>
    <n v="70"/>
    <n v="65"/>
    <n v="22"/>
    <n v="22"/>
    <n v="22"/>
    <n v="22"/>
    <n v="22"/>
    <n v="1043299.5869952884"/>
    <n v="22"/>
  </r>
  <r>
    <n v="442"/>
    <s v="cliente442"/>
    <x v="2"/>
    <x v="2"/>
    <n v="0"/>
    <n v="0"/>
    <x v="3"/>
    <n v="0"/>
    <n v="0"/>
    <n v="0"/>
    <n v="0"/>
    <n v="65"/>
    <n v="73"/>
    <n v="73"/>
    <n v="73"/>
    <n v="75"/>
    <n v="73"/>
    <n v="73"/>
    <n v="75"/>
    <n v="0"/>
    <n v="0"/>
    <n v="0"/>
    <m/>
    <n v="0"/>
  </r>
  <r>
    <n v="443"/>
    <s v="cliente443"/>
    <x v="2"/>
    <x v="2"/>
    <n v="0"/>
    <n v="0"/>
    <x v="3"/>
    <n v="0"/>
    <n v="0"/>
    <n v="0"/>
    <n v="0"/>
    <n v="75"/>
    <n v="73"/>
    <n v="0"/>
    <n v="80"/>
    <n v="80"/>
    <n v="0"/>
    <n v="80"/>
    <n v="83"/>
    <n v="80"/>
    <n v="77"/>
    <n v="77"/>
    <n v="291867.90064153908"/>
    <n v="73"/>
  </r>
  <r>
    <n v="444"/>
    <s v="cliente444"/>
    <x v="3"/>
    <x v="13"/>
    <n v="65"/>
    <n v="65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45"/>
    <s v="cliente445"/>
    <x v="6"/>
    <x v="3"/>
    <n v="0"/>
    <n v="80"/>
    <x v="8"/>
    <n v="80"/>
    <n v="77"/>
    <n v="77"/>
    <n v="80"/>
    <n v="80"/>
    <n v="80"/>
    <n v="80"/>
    <n v="65"/>
    <n v="70"/>
    <n v="70"/>
    <n v="0"/>
    <n v="0"/>
    <n v="0"/>
    <n v="0"/>
    <n v="0"/>
    <m/>
    <n v="0"/>
  </r>
  <r>
    <n v="446"/>
    <s v="cliente446"/>
    <x v="2"/>
    <x v="2"/>
    <n v="0"/>
    <n v="0"/>
    <x v="3"/>
    <n v="0"/>
    <n v="0"/>
    <n v="0"/>
    <n v="0"/>
    <n v="80"/>
    <n v="80"/>
    <n v="80"/>
    <n v="0"/>
    <n v="0"/>
    <n v="0"/>
    <n v="0"/>
    <n v="0"/>
    <n v="0"/>
    <n v="80"/>
    <n v="0"/>
    <m/>
    <n v="0"/>
  </r>
  <r>
    <n v="447"/>
    <s v="cliente447"/>
    <x v="0"/>
    <x v="11"/>
    <n v="83"/>
    <n v="83"/>
    <x v="6"/>
    <n v="85"/>
    <n v="85"/>
    <n v="85"/>
    <n v="85"/>
    <n v="85"/>
    <n v="83"/>
    <n v="83"/>
    <n v="99"/>
    <n v="83"/>
    <n v="85"/>
    <n v="87"/>
    <n v="85"/>
    <n v="85"/>
    <n v="85"/>
    <n v="85"/>
    <n v="808414.45750011387"/>
    <n v="83"/>
  </r>
  <r>
    <n v="448"/>
    <s v="cliente448"/>
    <x v="11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49"/>
    <s v="cliente449"/>
    <x v="10"/>
    <x v="9"/>
    <n v="85"/>
    <n v="85"/>
    <x v="6"/>
    <n v="83"/>
    <n v="83"/>
    <n v="85"/>
    <n v="87"/>
    <n v="85"/>
    <n v="85"/>
    <n v="87"/>
    <n v="0"/>
    <n v="0"/>
    <n v="0"/>
    <n v="0"/>
    <n v="0"/>
    <n v="0"/>
    <n v="0"/>
    <n v="0"/>
    <m/>
    <n v="0"/>
  </r>
  <r>
    <n v="450"/>
    <s v="cliente450"/>
    <x v="4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1"/>
    <s v="cliente451"/>
    <x v="4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2"/>
    <s v="cliente452"/>
    <x v="0"/>
    <x v="4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3"/>
    <s v="cliente453"/>
    <x v="4"/>
    <x v="11"/>
    <n v="83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4"/>
    <s v="cliente454"/>
    <x v="1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5"/>
    <s v="cliente455"/>
    <x v="10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6"/>
    <s v="cliente456"/>
    <x v="2"/>
    <x v="2"/>
    <n v="0"/>
    <n v="83"/>
    <x v="3"/>
    <n v="85"/>
    <n v="83"/>
    <n v="77"/>
    <n v="0"/>
    <n v="0"/>
    <n v="0"/>
    <n v="0"/>
    <n v="0"/>
    <n v="0"/>
    <n v="0"/>
    <n v="0"/>
    <n v="0"/>
    <n v="0"/>
    <n v="0"/>
    <n v="0"/>
    <m/>
    <n v="0"/>
  </r>
  <r>
    <n v="457"/>
    <s v="cliente457"/>
    <x v="6"/>
    <x v="11"/>
    <n v="83"/>
    <n v="83"/>
    <x v="4"/>
    <n v="85"/>
    <n v="85"/>
    <n v="83"/>
    <n v="83"/>
    <n v="83"/>
    <n v="83"/>
    <n v="80"/>
    <n v="80"/>
    <n v="75"/>
    <n v="80"/>
    <n v="83"/>
    <n v="85"/>
    <n v="83"/>
    <n v="85"/>
    <n v="80"/>
    <n v="397124.46651750873"/>
    <n v="83"/>
  </r>
  <r>
    <n v="458"/>
    <s v="cliente458"/>
    <x v="0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9"/>
    <s v="cliente459"/>
    <x v="2"/>
    <x v="3"/>
    <n v="0"/>
    <n v="87"/>
    <x v="3"/>
    <n v="80"/>
    <n v="0"/>
    <n v="0"/>
    <n v="0"/>
    <n v="0"/>
    <n v="0"/>
    <n v="0"/>
    <n v="0"/>
    <n v="0"/>
    <n v="0"/>
    <n v="0"/>
    <n v="0"/>
    <n v="0"/>
    <n v="0"/>
    <n v="0"/>
    <m/>
    <n v="0"/>
  </r>
  <r>
    <n v="460"/>
    <s v="cliente460"/>
    <x v="10"/>
    <x v="9"/>
    <n v="85"/>
    <n v="85"/>
    <x v="6"/>
    <n v="85"/>
    <n v="85"/>
    <n v="87"/>
    <n v="87"/>
    <n v="87"/>
    <n v="87"/>
    <n v="90"/>
    <n v="83"/>
    <n v="83"/>
    <n v="83"/>
    <n v="65"/>
    <n v="85"/>
    <n v="0"/>
    <n v="0"/>
    <n v="0"/>
    <m/>
    <n v="0"/>
  </r>
  <r>
    <n v="461"/>
    <s v="cliente461"/>
    <x v="6"/>
    <x v="3"/>
    <n v="85"/>
    <n v="85"/>
    <x v="3"/>
    <n v="87"/>
    <n v="87"/>
    <n v="87"/>
    <n v="0"/>
    <n v="87"/>
    <n v="87"/>
    <n v="83"/>
    <n v="0"/>
    <n v="0"/>
    <n v="0"/>
    <n v="0"/>
    <n v="80"/>
    <n v="83"/>
    <n v="83"/>
    <n v="0"/>
    <m/>
    <n v="0"/>
  </r>
  <r>
    <n v="462"/>
    <s v="cliente462"/>
    <x v="6"/>
    <x v="4"/>
    <n v="85"/>
    <n v="85"/>
    <x v="9"/>
    <n v="85"/>
    <n v="83"/>
    <n v="80"/>
    <n v="83"/>
    <n v="80"/>
    <n v="83"/>
    <n v="80"/>
    <n v="83"/>
    <n v="80"/>
    <n v="0"/>
    <n v="83"/>
    <n v="0"/>
    <n v="83"/>
    <n v="0"/>
    <n v="0"/>
    <m/>
    <n v="0"/>
  </r>
  <r>
    <n v="463"/>
    <s v="cliente463"/>
    <x v="5"/>
    <x v="2"/>
    <n v="75"/>
    <n v="0"/>
    <x v="5"/>
    <n v="75"/>
    <n v="0"/>
    <n v="0"/>
    <n v="0"/>
    <n v="0"/>
    <n v="0"/>
    <n v="0"/>
    <n v="0"/>
    <n v="0"/>
    <n v="0"/>
    <n v="0"/>
    <n v="0"/>
    <n v="0"/>
    <n v="0"/>
    <n v="0"/>
    <m/>
    <n v="0"/>
  </r>
  <r>
    <n v="464"/>
    <s v="cliente464"/>
    <x v="3"/>
    <x v="4"/>
    <n v="85"/>
    <n v="85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5"/>
    <s v="cliente465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66"/>
    <s v="cliente466"/>
    <x v="2"/>
    <x v="2"/>
    <n v="0"/>
    <n v="0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7"/>
    <s v="cliente467"/>
    <x v="6"/>
    <x v="4"/>
    <n v="85"/>
    <n v="85"/>
    <x v="5"/>
    <n v="70"/>
    <n v="70"/>
    <n v="75"/>
    <n v="80"/>
    <n v="80"/>
    <n v="85"/>
    <n v="85"/>
    <n v="85"/>
    <n v="70"/>
    <n v="70"/>
    <n v="73"/>
    <n v="75"/>
    <n v="73"/>
    <n v="73"/>
    <n v="75"/>
    <n v="117339.62307236424"/>
    <n v="22"/>
  </r>
  <r>
    <n v="468"/>
    <s v="cliente468"/>
    <x v="2"/>
    <x v="2"/>
    <n v="77"/>
    <n v="77"/>
    <x v="0"/>
    <n v="0"/>
    <n v="0"/>
    <n v="0"/>
    <n v="75"/>
    <n v="0"/>
    <n v="0"/>
    <n v="0"/>
    <n v="75"/>
    <n v="0"/>
    <n v="0"/>
    <n v="0"/>
    <n v="0"/>
    <n v="0"/>
    <n v="0"/>
    <n v="0"/>
    <m/>
    <n v="0"/>
  </r>
  <r>
    <n v="469"/>
    <s v="cliente469"/>
    <x v="11"/>
    <x v="0"/>
    <n v="7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0"/>
    <s v="cliente470"/>
    <x v="3"/>
    <x v="0"/>
    <n v="77"/>
    <n v="77"/>
    <x v="11"/>
    <n v="70"/>
    <n v="73"/>
    <n v="73"/>
    <n v="73"/>
    <n v="75"/>
    <n v="75"/>
    <n v="73"/>
    <n v="75"/>
    <n v="73"/>
    <n v="0"/>
    <n v="0"/>
    <n v="0"/>
    <n v="0"/>
    <n v="0"/>
    <n v="0"/>
    <m/>
    <n v="0"/>
  </r>
  <r>
    <n v="471"/>
    <s v="cliente471"/>
    <x v="11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2"/>
    <s v="cliente472"/>
    <x v="3"/>
    <x v="0"/>
    <n v="77"/>
    <n v="77"/>
    <x v="5"/>
    <n v="80"/>
    <n v="83"/>
    <n v="80"/>
    <n v="80"/>
    <n v="83"/>
    <n v="80"/>
    <n v="80"/>
    <n v="80"/>
    <n v="77"/>
    <n v="0"/>
    <n v="0"/>
    <n v="0"/>
    <n v="0"/>
    <n v="0"/>
    <n v="0"/>
    <m/>
    <n v="0"/>
  </r>
  <r>
    <n v="473"/>
    <s v="cliente473"/>
    <x v="3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4"/>
    <s v="cliente474"/>
    <x v="2"/>
    <x v="0"/>
    <n v="80"/>
    <n v="80"/>
    <x v="0"/>
    <n v="75"/>
    <n v="65"/>
    <n v="73"/>
    <n v="73"/>
    <n v="80"/>
    <n v="77"/>
    <n v="73"/>
    <n v="65"/>
    <n v="0"/>
    <n v="83"/>
    <n v="83"/>
    <n v="83"/>
    <n v="83"/>
    <n v="83"/>
    <n v="83"/>
    <n v="111683.28192943755"/>
    <n v="83"/>
  </r>
  <r>
    <n v="475"/>
    <s v="cliente475"/>
    <x v="2"/>
    <x v="4"/>
    <n v="83"/>
    <n v="83"/>
    <x v="4"/>
    <n v="85"/>
    <n v="85"/>
    <n v="83"/>
    <n v="0"/>
    <n v="85"/>
    <n v="77"/>
    <n v="85"/>
    <n v="80"/>
    <n v="83"/>
    <n v="0"/>
    <n v="0"/>
    <n v="0"/>
    <n v="0"/>
    <n v="0"/>
    <n v="0"/>
    <m/>
    <n v="0"/>
  </r>
  <r>
    <n v="476"/>
    <s v="cliente476"/>
    <x v="2"/>
    <x v="3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7"/>
    <s v="cliente477"/>
    <x v="2"/>
    <x v="2"/>
    <n v="73"/>
    <n v="73"/>
    <x v="0"/>
    <n v="70"/>
    <n v="75"/>
    <n v="73"/>
    <n v="0"/>
    <n v="0"/>
    <n v="0"/>
    <n v="0"/>
    <n v="0"/>
    <n v="0"/>
    <n v="0"/>
    <n v="0"/>
    <n v="0"/>
    <n v="0"/>
    <n v="0"/>
    <n v="0"/>
    <m/>
    <n v="0"/>
  </r>
  <r>
    <n v="478"/>
    <s v="cliente478"/>
    <x v="2"/>
    <x v="2"/>
    <n v="90"/>
    <n v="90"/>
    <x v="3"/>
    <n v="0"/>
    <n v="0"/>
    <n v="0"/>
    <n v="0"/>
    <n v="90"/>
    <n v="0"/>
    <n v="0"/>
    <n v="0"/>
    <n v="87"/>
    <n v="0"/>
    <n v="0"/>
    <n v="0"/>
    <n v="0"/>
    <n v="0"/>
    <n v="0"/>
    <m/>
    <n v="0"/>
  </r>
  <r>
    <n v="479"/>
    <s v="cliente479"/>
    <x v="2"/>
    <x v="2"/>
    <n v="80"/>
    <n v="80"/>
    <x v="8"/>
    <n v="75"/>
    <n v="75"/>
    <n v="77"/>
    <n v="83"/>
    <n v="80"/>
    <n v="80"/>
    <n v="80"/>
    <n v="77"/>
    <n v="0"/>
    <n v="0"/>
    <n v="0"/>
    <n v="0"/>
    <n v="0"/>
    <n v="0"/>
    <n v="0"/>
    <m/>
    <n v="0"/>
  </r>
  <r>
    <n v="480"/>
    <s v="cliente480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1"/>
    <s v="cliente481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2"/>
    <s v="cliente482"/>
    <x v="2"/>
    <x v="2"/>
    <n v="73"/>
    <n v="73"/>
    <x v="12"/>
    <n v="75"/>
    <n v="73"/>
    <n v="73"/>
    <n v="73"/>
    <n v="73"/>
    <n v="73"/>
    <n v="73"/>
    <n v="75"/>
    <n v="75"/>
    <n v="77"/>
    <n v="77"/>
    <n v="77"/>
    <n v="80"/>
    <n v="75"/>
    <n v="77"/>
    <n v="420484.44659484189"/>
    <n v="85"/>
  </r>
  <r>
    <n v="483"/>
    <s v="cliente483"/>
    <x v="2"/>
    <x v="2"/>
    <n v="85"/>
    <n v="85"/>
    <x v="4"/>
    <n v="83"/>
    <n v="87"/>
    <n v="85"/>
    <n v="0"/>
    <n v="0"/>
    <n v="0"/>
    <n v="0"/>
    <n v="0"/>
    <n v="0"/>
    <n v="0"/>
    <n v="0"/>
    <n v="0"/>
    <n v="0"/>
    <n v="0"/>
    <n v="0"/>
    <m/>
    <n v="0"/>
  </r>
  <r>
    <n v="484"/>
    <s v="cliente484"/>
    <x v="2"/>
    <x v="2"/>
    <n v="80"/>
    <n v="80"/>
    <x v="8"/>
    <n v="83"/>
    <n v="83"/>
    <n v="83"/>
    <n v="83"/>
    <n v="80"/>
    <n v="0"/>
    <n v="0"/>
    <n v="0"/>
    <n v="0"/>
    <n v="0"/>
    <n v="0"/>
    <n v="0"/>
    <n v="0"/>
    <n v="0"/>
    <n v="0"/>
    <m/>
    <n v="0"/>
  </r>
  <r>
    <n v="485"/>
    <s v="cliente485"/>
    <x v="2"/>
    <x v="2"/>
    <n v="83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6"/>
    <s v="cliente486"/>
    <x v="2"/>
    <x v="2"/>
    <n v="73"/>
    <n v="0"/>
    <x v="3"/>
    <n v="0"/>
    <n v="0"/>
    <n v="0"/>
    <n v="0"/>
    <n v="0"/>
    <n v="0"/>
    <n v="0"/>
    <n v="0"/>
    <n v="0"/>
    <n v="0"/>
    <n v="85"/>
    <n v="85"/>
    <n v="85"/>
    <n v="85"/>
    <n v="85"/>
    <n v="111322.59523404448"/>
    <n v="85"/>
  </r>
  <r>
    <n v="487"/>
    <s v="cliente487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0"/>
    <n v="0"/>
    <m/>
    <n v="0"/>
  </r>
  <r>
    <n v="488"/>
    <s v="cliente488"/>
    <x v="2"/>
    <x v="2"/>
    <n v="0"/>
    <n v="85"/>
    <x v="6"/>
    <n v="85"/>
    <n v="80"/>
    <n v="85"/>
    <n v="85"/>
    <n v="75"/>
    <n v="83"/>
    <n v="83"/>
    <n v="83"/>
    <n v="83"/>
    <n v="85"/>
    <n v="85"/>
    <n v="85"/>
    <n v="75"/>
    <n v="75"/>
    <n v="0"/>
    <m/>
    <n v="0"/>
  </r>
  <r>
    <n v="489"/>
    <s v="cliente489"/>
    <x v="2"/>
    <x v="2"/>
    <n v="0"/>
    <n v="85"/>
    <x v="4"/>
    <n v="83"/>
    <n v="83"/>
    <n v="85"/>
    <n v="85"/>
    <n v="85"/>
    <n v="83"/>
    <n v="85"/>
    <n v="77"/>
    <n v="80"/>
    <n v="80"/>
    <n v="83"/>
    <n v="83"/>
    <n v="83"/>
    <n v="83"/>
    <n v="83"/>
    <n v="187923.38240465301"/>
    <n v="83"/>
  </r>
  <r>
    <n v="490"/>
    <s v="cliente490"/>
    <x v="2"/>
    <x v="2"/>
    <n v="0"/>
    <n v="83"/>
    <x v="4"/>
    <n v="83"/>
    <n v="83"/>
    <n v="83"/>
    <n v="83"/>
    <n v="85"/>
    <n v="85"/>
    <n v="83"/>
    <n v="83"/>
    <n v="83"/>
    <n v="83"/>
    <n v="83"/>
    <n v="83"/>
    <n v="83"/>
    <n v="83"/>
    <n v="85"/>
    <n v="196007.45497260982"/>
    <n v="85"/>
  </r>
  <r>
    <n v="491"/>
    <s v="cliente491"/>
    <x v="2"/>
    <x v="2"/>
    <n v="0"/>
    <n v="80"/>
    <x v="8"/>
    <n v="77"/>
    <n v="77"/>
    <n v="80"/>
    <n v="80"/>
    <n v="75"/>
    <n v="75"/>
    <n v="73"/>
    <n v="75"/>
    <n v="77"/>
    <n v="77"/>
    <n v="77"/>
    <n v="83"/>
    <n v="83"/>
    <n v="75"/>
    <n v="75"/>
    <n v="296488.82669719763"/>
    <n v="80"/>
  </r>
  <r>
    <n v="492"/>
    <s v="cliente492"/>
    <x v="2"/>
    <x v="2"/>
    <n v="0"/>
    <n v="0"/>
    <x v="8"/>
    <n v="83"/>
    <n v="83"/>
    <n v="83"/>
    <n v="0"/>
    <n v="0"/>
    <n v="73"/>
    <n v="80"/>
    <n v="80"/>
    <n v="73"/>
    <n v="0"/>
    <n v="0"/>
    <n v="0"/>
    <n v="0"/>
    <n v="0"/>
    <n v="0"/>
    <m/>
    <n v="0"/>
  </r>
  <r>
    <n v="493"/>
    <s v="cliente493"/>
    <x v="2"/>
    <x v="2"/>
    <n v="0"/>
    <n v="0"/>
    <x v="6"/>
    <n v="80"/>
    <n v="83"/>
    <n v="80"/>
    <n v="0"/>
    <n v="0"/>
    <n v="0"/>
    <n v="0"/>
    <n v="0"/>
    <n v="0"/>
    <n v="0"/>
    <n v="0"/>
    <n v="0"/>
    <n v="0"/>
    <n v="0"/>
    <n v="0"/>
    <m/>
    <n v="0"/>
  </r>
  <r>
    <n v="494"/>
    <s v="cliente494"/>
    <x v="2"/>
    <x v="2"/>
    <n v="0"/>
    <n v="0"/>
    <x v="4"/>
    <n v="80"/>
    <n v="80"/>
    <n v="0"/>
    <n v="0"/>
    <n v="0"/>
    <n v="0"/>
    <n v="0"/>
    <n v="0"/>
    <n v="0"/>
    <n v="0"/>
    <n v="0"/>
    <n v="0"/>
    <n v="0"/>
    <n v="0"/>
    <n v="0"/>
    <m/>
    <n v="0"/>
  </r>
  <r>
    <n v="495"/>
    <s v="cliente495"/>
    <x v="2"/>
    <x v="2"/>
    <n v="0"/>
    <n v="0"/>
    <x v="6"/>
    <n v="85"/>
    <n v="85"/>
    <n v="85"/>
    <n v="87"/>
    <n v="85"/>
    <n v="85"/>
    <n v="85"/>
    <n v="85"/>
    <n v="0"/>
    <n v="0"/>
    <n v="0"/>
    <n v="0"/>
    <n v="0"/>
    <n v="0"/>
    <n v="0"/>
    <m/>
    <n v="0"/>
  </r>
  <r>
    <n v="496"/>
    <s v="cliente496"/>
    <x v="2"/>
    <x v="2"/>
    <n v="0"/>
    <n v="0"/>
    <x v="4"/>
    <n v="85"/>
    <n v="0"/>
    <n v="0"/>
    <n v="0"/>
    <n v="80"/>
    <n v="70"/>
    <n v="73"/>
    <n v="70"/>
    <n v="65"/>
    <n v="85"/>
    <n v="0"/>
    <n v="0"/>
    <n v="83"/>
    <n v="0"/>
    <n v="0"/>
    <m/>
    <n v="0"/>
  </r>
  <r>
    <n v="497"/>
    <s v="cliente497"/>
    <x v="2"/>
    <x v="2"/>
    <n v="0"/>
    <n v="0"/>
    <x v="3"/>
    <n v="85"/>
    <n v="85"/>
    <n v="83"/>
    <n v="83"/>
    <n v="83"/>
    <n v="83"/>
    <n v="83"/>
    <n v="83"/>
    <n v="85"/>
    <n v="75"/>
    <n v="85"/>
    <n v="0"/>
    <n v="0"/>
    <n v="0"/>
    <n v="0"/>
    <m/>
    <n v="0"/>
  </r>
  <r>
    <n v="498"/>
    <s v="cliente498"/>
    <x v="2"/>
    <x v="2"/>
    <n v="0"/>
    <n v="0"/>
    <x v="3"/>
    <n v="83"/>
    <n v="83"/>
    <n v="0"/>
    <n v="83"/>
    <n v="85"/>
    <n v="77"/>
    <n v="77"/>
    <n v="0"/>
    <n v="0"/>
    <n v="0"/>
    <n v="75"/>
    <n v="0"/>
    <n v="0"/>
    <n v="0"/>
    <n v="0"/>
    <m/>
    <n v="0"/>
  </r>
  <r>
    <n v="499"/>
    <s v="cliente499"/>
    <x v="2"/>
    <x v="2"/>
    <n v="0"/>
    <n v="0"/>
    <x v="3"/>
    <n v="83"/>
    <n v="80"/>
    <n v="0"/>
    <n v="0"/>
    <n v="0"/>
    <n v="0"/>
    <n v="0"/>
    <n v="0"/>
    <n v="0"/>
    <n v="0"/>
    <n v="0"/>
    <n v="0"/>
    <n v="0"/>
    <n v="0"/>
    <n v="0"/>
    <m/>
    <n v="0"/>
  </r>
  <r>
    <n v="500"/>
    <s v="cliente500"/>
    <x v="2"/>
    <x v="2"/>
    <n v="0"/>
    <n v="0"/>
    <x v="3"/>
    <n v="80"/>
    <n v="80"/>
    <n v="83"/>
    <n v="83"/>
    <n v="83"/>
    <n v="83"/>
    <n v="80"/>
    <n v="80"/>
    <n v="80"/>
    <n v="75"/>
    <n v="77"/>
    <n v="80"/>
    <n v="80"/>
    <n v="77"/>
    <n v="77"/>
    <n v="180182.07683164068"/>
    <n v="65"/>
  </r>
  <r>
    <n v="501"/>
    <s v="cliente501"/>
    <x v="2"/>
    <x v="2"/>
    <n v="0"/>
    <n v="0"/>
    <x v="3"/>
    <n v="0"/>
    <n v="85"/>
    <n v="83"/>
    <n v="85"/>
    <n v="87"/>
    <n v="0"/>
    <n v="0"/>
    <n v="0"/>
    <n v="0"/>
    <n v="0"/>
    <n v="0"/>
    <n v="0"/>
    <n v="0"/>
    <n v="0"/>
    <n v="0"/>
    <m/>
    <n v="0"/>
  </r>
  <r>
    <n v="502"/>
    <s v="cliente502"/>
    <x v="2"/>
    <x v="2"/>
    <n v="0"/>
    <n v="0"/>
    <x v="3"/>
    <n v="0"/>
    <n v="85"/>
    <n v="85"/>
    <n v="87"/>
    <n v="87"/>
    <n v="87"/>
    <n v="87"/>
    <n v="87"/>
    <n v="87"/>
    <n v="87"/>
    <n v="90"/>
    <n v="85"/>
    <n v="87"/>
    <n v="87"/>
    <n v="87"/>
    <n v="670667.95966117876"/>
    <n v="87"/>
  </r>
  <r>
    <n v="503"/>
    <s v="cliente503"/>
    <x v="2"/>
    <x v="2"/>
    <n v="0"/>
    <n v="0"/>
    <x v="3"/>
    <n v="0"/>
    <n v="0"/>
    <n v="73"/>
    <n v="70"/>
    <n v="73"/>
    <n v="65"/>
    <n v="65"/>
    <n v="65"/>
    <n v="0"/>
    <n v="0"/>
    <n v="0"/>
    <n v="0"/>
    <n v="0"/>
    <n v="0"/>
    <n v="0"/>
    <m/>
    <n v="0"/>
  </r>
  <r>
    <n v="504"/>
    <s v="cliente504"/>
    <x v="2"/>
    <x v="2"/>
    <n v="0"/>
    <n v="0"/>
    <x v="3"/>
    <n v="0"/>
    <n v="80"/>
    <n v="77"/>
    <n v="80"/>
    <n v="83"/>
    <n v="83"/>
    <n v="83"/>
    <n v="83"/>
    <n v="83"/>
    <n v="0"/>
    <n v="0"/>
    <n v="0"/>
    <n v="0"/>
    <n v="0"/>
    <n v="0"/>
    <m/>
    <n v="0"/>
  </r>
  <r>
    <n v="505"/>
    <s v="cliente505"/>
    <x v="2"/>
    <x v="2"/>
    <n v="0"/>
    <n v="0"/>
    <x v="3"/>
    <n v="0"/>
    <n v="83"/>
    <n v="80"/>
    <n v="75"/>
    <n v="70"/>
    <n v="65"/>
    <n v="0"/>
    <n v="0"/>
    <n v="0"/>
    <n v="0"/>
    <n v="0"/>
    <n v="0"/>
    <n v="0"/>
    <n v="0"/>
    <n v="0"/>
    <m/>
    <n v="0"/>
  </r>
  <r>
    <n v="506"/>
    <s v="cliente506"/>
    <x v="2"/>
    <x v="2"/>
    <n v="0"/>
    <n v="0"/>
    <x v="3"/>
    <n v="0"/>
    <n v="0"/>
    <n v="85"/>
    <n v="85"/>
    <n v="83"/>
    <n v="77"/>
    <n v="80"/>
    <n v="83"/>
    <n v="0"/>
    <n v="0"/>
    <n v="0"/>
    <n v="0"/>
    <n v="0"/>
    <n v="0"/>
    <n v="0"/>
    <m/>
    <n v="0"/>
  </r>
  <r>
    <n v="507"/>
    <s v="cliente507"/>
    <x v="2"/>
    <x v="2"/>
    <n v="0"/>
    <n v="0"/>
    <x v="3"/>
    <n v="0"/>
    <n v="0"/>
    <n v="80"/>
    <n v="0"/>
    <n v="83"/>
    <n v="80"/>
    <n v="80"/>
    <n v="83"/>
    <n v="0"/>
    <n v="0"/>
    <n v="0"/>
    <n v="0"/>
    <n v="0"/>
    <n v="0"/>
    <n v="0"/>
    <m/>
    <n v="0"/>
  </r>
  <r>
    <n v="508"/>
    <s v="cliente508"/>
    <x v="2"/>
    <x v="2"/>
    <n v="0"/>
    <n v="0"/>
    <x v="3"/>
    <n v="75"/>
    <n v="73"/>
    <n v="80"/>
    <n v="83"/>
    <n v="83"/>
    <n v="77"/>
    <n v="75"/>
    <n v="77"/>
    <n v="75"/>
    <n v="75"/>
    <n v="75"/>
    <n v="73"/>
    <n v="75"/>
    <n v="77"/>
    <n v="77"/>
    <n v="203632.09108954982"/>
    <n v="77"/>
  </r>
  <r>
    <n v="509"/>
    <s v="cliente509"/>
    <x v="2"/>
    <x v="2"/>
    <n v="0"/>
    <n v="0"/>
    <x v="3"/>
    <n v="0"/>
    <n v="83"/>
    <n v="80"/>
    <n v="80"/>
    <n v="75"/>
    <n v="75"/>
    <n v="73"/>
    <n v="75"/>
    <n v="77"/>
    <n v="77"/>
    <n v="77"/>
    <n v="77"/>
    <n v="77"/>
    <n v="77"/>
    <n v="77"/>
    <n v="126059.23789794785"/>
    <n v="73"/>
  </r>
  <r>
    <n v="510"/>
    <s v="cliente510"/>
    <x v="2"/>
    <x v="2"/>
    <n v="0"/>
    <n v="0"/>
    <x v="3"/>
    <n v="0"/>
    <n v="87"/>
    <n v="87"/>
    <n v="87"/>
    <n v="80"/>
    <n v="80"/>
    <n v="83"/>
    <n v="80"/>
    <n v="83"/>
    <n v="80"/>
    <n v="0"/>
    <n v="83"/>
    <n v="83"/>
    <n v="0"/>
    <n v="83"/>
    <n v="177085.85005025705"/>
    <n v="85"/>
  </r>
  <r>
    <n v="511"/>
    <s v="cliente511"/>
    <x v="2"/>
    <x v="2"/>
    <n v="0"/>
    <n v="0"/>
    <x v="3"/>
    <n v="0"/>
    <n v="80"/>
    <n v="80"/>
    <n v="83"/>
    <n v="85"/>
    <n v="85"/>
    <n v="85"/>
    <n v="85"/>
    <n v="85"/>
    <n v="85"/>
    <n v="85"/>
    <n v="83"/>
    <n v="83"/>
    <n v="85"/>
    <n v="83"/>
    <n v="150473.42122523551"/>
    <n v="77"/>
  </r>
  <r>
    <n v="512"/>
    <s v="cliente512"/>
    <x v="2"/>
    <x v="2"/>
    <n v="0"/>
    <n v="0"/>
    <x v="3"/>
    <n v="0"/>
    <n v="83"/>
    <n v="83"/>
    <n v="0"/>
    <n v="0"/>
    <n v="0"/>
    <n v="0"/>
    <n v="0"/>
    <n v="0"/>
    <n v="83"/>
    <n v="85"/>
    <n v="0"/>
    <n v="0"/>
    <n v="0"/>
    <n v="0"/>
    <m/>
    <n v="0"/>
  </r>
  <r>
    <n v="513"/>
    <s v="cliente513"/>
    <x v="2"/>
    <x v="2"/>
    <n v="0"/>
    <n v="0"/>
    <x v="3"/>
    <n v="0"/>
    <n v="87"/>
    <n v="87"/>
    <n v="85"/>
    <n v="85"/>
    <n v="87"/>
    <n v="87"/>
    <n v="83"/>
    <n v="83"/>
    <n v="80"/>
    <n v="80"/>
    <n v="80"/>
    <n v="95"/>
    <n v="95"/>
    <n v="0"/>
    <m/>
    <n v="0"/>
  </r>
  <r>
    <n v="514"/>
    <s v="cliente514"/>
    <x v="2"/>
    <x v="2"/>
    <n v="0"/>
    <n v="0"/>
    <x v="3"/>
    <n v="0"/>
    <n v="85"/>
    <n v="80"/>
    <n v="83"/>
    <n v="83"/>
    <n v="83"/>
    <n v="83"/>
    <n v="80"/>
    <n v="80"/>
    <n v="83"/>
    <n v="83"/>
    <n v="70"/>
    <n v="0"/>
    <n v="95"/>
    <n v="95"/>
    <n v="2900803.7503954438"/>
    <n v="95"/>
  </r>
  <r>
    <n v="515"/>
    <s v="cliente515"/>
    <x v="2"/>
    <x v="2"/>
    <n v="0"/>
    <n v="0"/>
    <x v="3"/>
    <n v="0"/>
    <n v="0"/>
    <n v="73"/>
    <n v="75"/>
    <n v="73"/>
    <n v="73"/>
    <n v="77"/>
    <n v="0"/>
    <n v="0"/>
    <n v="0"/>
    <n v="0"/>
    <n v="0"/>
    <n v="0"/>
    <n v="0"/>
    <n v="0"/>
    <m/>
    <n v="0"/>
  </r>
  <r>
    <n v="516"/>
    <s v="cliente516"/>
    <x v="2"/>
    <x v="2"/>
    <n v="0"/>
    <n v="0"/>
    <x v="3"/>
    <n v="0"/>
    <n v="0"/>
    <n v="80"/>
    <n v="83"/>
    <n v="83"/>
    <n v="77"/>
    <n v="75"/>
    <n v="77"/>
    <n v="75"/>
    <n v="75"/>
    <n v="75"/>
    <n v="73"/>
    <n v="70"/>
    <n v="77"/>
    <n v="0"/>
    <m/>
    <n v="0"/>
  </r>
  <r>
    <n v="517"/>
    <s v="cliente517"/>
    <x v="2"/>
    <x v="2"/>
    <n v="0"/>
    <n v="0"/>
    <x v="3"/>
    <n v="0"/>
    <n v="0"/>
    <n v="77"/>
    <n v="80"/>
    <n v="0"/>
    <n v="0"/>
    <n v="0"/>
    <n v="0"/>
    <n v="0"/>
    <n v="0"/>
    <n v="0"/>
    <n v="0"/>
    <n v="0"/>
    <n v="0"/>
    <n v="0"/>
    <m/>
    <n v="0"/>
  </r>
  <r>
    <n v="518"/>
    <s v="cliente518"/>
    <x v="2"/>
    <x v="2"/>
    <n v="0"/>
    <n v="0"/>
    <x v="3"/>
    <n v="0"/>
    <n v="0"/>
    <n v="80"/>
    <n v="83"/>
    <n v="83"/>
    <n v="83"/>
    <n v="83"/>
    <n v="85"/>
    <n v="83"/>
    <n v="83"/>
    <n v="83"/>
    <n v="0"/>
    <n v="0"/>
    <n v="0"/>
    <n v="0"/>
    <m/>
    <n v="0"/>
  </r>
  <r>
    <n v="519"/>
    <s v="cliente519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77"/>
    <n v="0"/>
    <m/>
    <n v="0"/>
  </r>
  <r>
    <n v="520"/>
    <s v="cliente520"/>
    <x v="2"/>
    <x v="2"/>
    <n v="0"/>
    <n v="0"/>
    <x v="3"/>
    <n v="0"/>
    <n v="0"/>
    <n v="80"/>
    <n v="83"/>
    <n v="0"/>
    <n v="83"/>
    <n v="83"/>
    <n v="83"/>
    <n v="83"/>
    <n v="83"/>
    <n v="83"/>
    <n v="85"/>
    <n v="85"/>
    <n v="0"/>
    <n v="0"/>
    <m/>
    <n v="0"/>
  </r>
  <r>
    <n v="521"/>
    <s v="cliente521"/>
    <x v="2"/>
    <x v="2"/>
    <n v="0"/>
    <n v="0"/>
    <x v="3"/>
    <n v="0"/>
    <n v="0"/>
    <n v="0"/>
    <n v="0"/>
    <n v="0"/>
    <n v="0"/>
    <n v="80"/>
    <n v="75"/>
    <n v="75"/>
    <n v="77"/>
    <n v="77"/>
    <n v="80"/>
    <n v="80"/>
    <n v="77"/>
    <n v="77"/>
    <n v="375627.82864885853"/>
    <n v="83"/>
  </r>
  <r>
    <n v="522"/>
    <s v="cliente522"/>
    <x v="2"/>
    <x v="2"/>
    <n v="0"/>
    <n v="0"/>
    <x v="3"/>
    <n v="0"/>
    <n v="0"/>
    <n v="80"/>
    <n v="0"/>
    <n v="0"/>
    <n v="0"/>
    <n v="77"/>
    <n v="83"/>
    <n v="83"/>
    <n v="83"/>
    <n v="83"/>
    <n v="83"/>
    <n v="83"/>
    <n v="83"/>
    <n v="83"/>
    <n v="611863.06104340916"/>
    <n v="85"/>
  </r>
  <r>
    <n v="523"/>
    <s v="cliente523"/>
    <x v="2"/>
    <x v="2"/>
    <n v="0"/>
    <n v="0"/>
    <x v="3"/>
    <n v="0"/>
    <n v="0"/>
    <n v="0"/>
    <n v="87"/>
    <n v="87"/>
    <n v="75"/>
    <n v="75"/>
    <n v="73"/>
    <n v="73"/>
    <n v="75"/>
    <n v="70"/>
    <n v="70"/>
    <n v="73"/>
    <n v="73"/>
    <n v="75"/>
    <n v="145791.2070743473"/>
    <n v="75"/>
  </r>
  <r>
    <n v="524"/>
    <s v="cliente5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25"/>
    <s v="cliente525"/>
    <x v="2"/>
    <x v="2"/>
    <n v="0"/>
    <n v="0"/>
    <x v="3"/>
    <n v="0"/>
    <n v="0"/>
    <n v="0"/>
    <n v="0"/>
    <n v="80"/>
    <n v="80"/>
    <n v="83"/>
    <n v="77"/>
    <n v="77"/>
    <n v="80"/>
    <n v="83"/>
    <n v="83"/>
    <n v="83"/>
    <n v="83"/>
    <n v="83"/>
    <n v="193592.25043252169"/>
    <n v="70"/>
  </r>
  <r>
    <n v="526"/>
    <s v="cliente526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7"/>
    <s v="cliente527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8"/>
    <s v="cliente528"/>
    <x v="2"/>
    <x v="2"/>
    <n v="0"/>
    <n v="0"/>
    <x v="3"/>
    <n v="0"/>
    <n v="0"/>
    <n v="0"/>
    <n v="0"/>
    <n v="80"/>
    <n v="0"/>
    <n v="80"/>
    <n v="77"/>
    <n v="0"/>
    <n v="0"/>
    <n v="80"/>
    <n v="83"/>
    <n v="0"/>
    <n v="0"/>
    <n v="0"/>
    <m/>
    <n v="0"/>
  </r>
  <r>
    <n v="529"/>
    <s v="cliente529"/>
    <x v="2"/>
    <x v="2"/>
    <n v="0"/>
    <n v="0"/>
    <x v="3"/>
    <n v="0"/>
    <n v="0"/>
    <n v="0"/>
    <n v="83"/>
    <n v="83"/>
    <n v="83"/>
    <n v="83"/>
    <n v="80"/>
    <n v="80"/>
    <n v="83"/>
    <n v="83"/>
    <n v="70"/>
    <n v="0"/>
    <n v="0"/>
    <n v="0"/>
    <m/>
    <n v="0"/>
  </r>
  <r>
    <n v="530"/>
    <s v="cliente530"/>
    <x v="2"/>
    <x v="2"/>
    <n v="0"/>
    <n v="0"/>
    <x v="3"/>
    <n v="0"/>
    <n v="0"/>
    <n v="0"/>
    <n v="0"/>
    <n v="85"/>
    <n v="80"/>
    <n v="80"/>
    <n v="0"/>
    <n v="0"/>
    <n v="0"/>
    <n v="0"/>
    <n v="85"/>
    <n v="85"/>
    <n v="85"/>
    <n v="83"/>
    <n v="330502.82433332189"/>
    <n v="83"/>
  </r>
  <r>
    <n v="531"/>
    <s v="cliente531"/>
    <x v="2"/>
    <x v="2"/>
    <n v="0"/>
    <n v="0"/>
    <x v="3"/>
    <n v="0"/>
    <n v="0"/>
    <n v="0"/>
    <n v="0"/>
    <n v="0"/>
    <n v="0"/>
    <n v="73"/>
    <n v="70"/>
    <n v="0"/>
    <n v="0"/>
    <n v="0"/>
    <n v="0"/>
    <n v="0"/>
    <n v="0"/>
    <n v="0"/>
    <m/>
    <n v="0"/>
  </r>
  <r>
    <n v="532"/>
    <s v="cliente532"/>
    <x v="2"/>
    <x v="2"/>
    <n v="0"/>
    <n v="0"/>
    <x v="3"/>
    <n v="0"/>
    <n v="0"/>
    <n v="0"/>
    <n v="0"/>
    <n v="0"/>
    <n v="80"/>
    <n v="83"/>
    <n v="83"/>
    <n v="83"/>
    <n v="80"/>
    <n v="77"/>
    <n v="80"/>
    <n v="83"/>
    <n v="83"/>
    <n v="83"/>
    <n v="419171.89071151067"/>
    <n v="83"/>
  </r>
  <r>
    <n v="533"/>
    <s v="cliente533"/>
    <x v="2"/>
    <x v="2"/>
    <n v="0"/>
    <n v="0"/>
    <x v="3"/>
    <n v="0"/>
    <n v="0"/>
    <n v="0"/>
    <n v="0"/>
    <n v="85"/>
    <n v="85"/>
    <n v="83"/>
    <n v="85"/>
    <n v="85"/>
    <n v="85"/>
    <n v="85"/>
    <n v="85"/>
    <n v="87"/>
    <n v="85"/>
    <n v="85"/>
    <n v="118356.30681677618"/>
    <n v="83"/>
  </r>
  <r>
    <n v="534"/>
    <s v="cliente534"/>
    <x v="2"/>
    <x v="2"/>
    <n v="0"/>
    <n v="0"/>
    <x v="3"/>
    <n v="0"/>
    <n v="0"/>
    <n v="0"/>
    <n v="0"/>
    <n v="87"/>
    <n v="87"/>
    <n v="87"/>
    <n v="87"/>
    <n v="0"/>
    <n v="0"/>
    <n v="0"/>
    <n v="0"/>
    <n v="0"/>
    <n v="0"/>
    <n v="0"/>
    <m/>
    <n v="0"/>
  </r>
  <r>
    <n v="535"/>
    <s v="cliente535"/>
    <x v="2"/>
    <x v="2"/>
    <n v="0"/>
    <n v="0"/>
    <x v="3"/>
    <n v="0"/>
    <n v="0"/>
    <n v="0"/>
    <n v="0"/>
    <n v="83"/>
    <n v="83"/>
    <n v="85"/>
    <n v="83"/>
    <n v="85"/>
    <n v="0"/>
    <n v="85"/>
    <n v="87"/>
    <n v="87"/>
    <n v="87"/>
    <n v="87"/>
    <n v="195496.6169107864"/>
    <n v="85"/>
  </r>
  <r>
    <n v="536"/>
    <s v="cliente536"/>
    <x v="2"/>
    <x v="2"/>
    <n v="0"/>
    <n v="0"/>
    <x v="3"/>
    <n v="0"/>
    <n v="0"/>
    <n v="0"/>
    <n v="0"/>
    <n v="70"/>
    <n v="70"/>
    <n v="70"/>
    <n v="70"/>
    <n v="70"/>
    <n v="70"/>
    <n v="70"/>
    <n v="70"/>
    <n v="65"/>
    <n v="65"/>
    <n v="65"/>
    <n v="157499.98354993903"/>
    <n v="65"/>
  </r>
  <r>
    <n v="537"/>
    <s v="cliente537"/>
    <x v="2"/>
    <x v="2"/>
    <n v="0"/>
    <n v="0"/>
    <x v="3"/>
    <n v="0"/>
    <n v="0"/>
    <n v="0"/>
    <n v="0"/>
    <n v="0"/>
    <n v="77"/>
    <n v="77"/>
    <n v="0"/>
    <n v="77"/>
    <n v="0"/>
    <n v="0"/>
    <n v="0"/>
    <n v="0"/>
    <n v="0"/>
    <n v="0"/>
    <m/>
    <n v="0"/>
  </r>
  <r>
    <n v="538"/>
    <s v="cliente538"/>
    <x v="2"/>
    <x v="2"/>
    <n v="0"/>
    <n v="0"/>
    <x v="3"/>
    <n v="0"/>
    <n v="0"/>
    <n v="0"/>
    <n v="0"/>
    <n v="0"/>
    <n v="83"/>
    <n v="80"/>
    <n v="77"/>
    <n v="75"/>
    <n v="75"/>
    <n v="75"/>
    <n v="73"/>
    <n v="70"/>
    <n v="77"/>
    <n v="77"/>
    <n v="251515.35673855184"/>
    <n v="83"/>
  </r>
  <r>
    <n v="539"/>
    <s v="cliente539"/>
    <x v="2"/>
    <x v="2"/>
    <n v="0"/>
    <n v="0"/>
    <x v="3"/>
    <n v="0"/>
    <n v="0"/>
    <n v="0"/>
    <n v="0"/>
    <n v="0"/>
    <n v="85"/>
    <n v="85"/>
    <n v="85"/>
    <n v="85"/>
    <n v="85"/>
    <n v="87"/>
    <n v="87"/>
    <n v="87"/>
    <n v="77"/>
    <n v="77"/>
    <n v="118197.01451738997"/>
    <n v="83"/>
  </r>
  <r>
    <n v="540"/>
    <s v="cliente540"/>
    <x v="2"/>
    <x v="2"/>
    <n v="0"/>
    <n v="0"/>
    <x v="3"/>
    <n v="0"/>
    <n v="0"/>
    <n v="0"/>
    <n v="0"/>
    <n v="0"/>
    <n v="73"/>
    <n v="80"/>
    <n v="80"/>
    <n v="80"/>
    <n v="80"/>
    <n v="80"/>
    <n v="80"/>
    <n v="80"/>
    <n v="77"/>
    <n v="0"/>
    <m/>
    <n v="0"/>
  </r>
  <r>
    <n v="541"/>
    <s v="cliente541"/>
    <x v="2"/>
    <x v="2"/>
    <n v="0"/>
    <n v="0"/>
    <x v="3"/>
    <n v="0"/>
    <n v="0"/>
    <n v="0"/>
    <n v="0"/>
    <n v="0"/>
    <n v="0"/>
    <n v="83"/>
    <n v="83"/>
    <n v="77"/>
    <n v="80"/>
    <n v="77"/>
    <n v="80"/>
    <n v="80"/>
    <n v="80"/>
    <n v="80"/>
    <n v="319075.36099515151"/>
    <n v="80"/>
  </r>
  <r>
    <n v="542"/>
    <s v="cliente542"/>
    <x v="2"/>
    <x v="2"/>
    <n v="0"/>
    <n v="0"/>
    <x v="3"/>
    <n v="0"/>
    <n v="0"/>
    <n v="0"/>
    <n v="0"/>
    <n v="0"/>
    <n v="0"/>
    <n v="77"/>
    <n v="77"/>
    <n v="80"/>
    <n v="77"/>
    <n v="77"/>
    <n v="77"/>
    <n v="77"/>
    <n v="77"/>
    <n v="77"/>
    <n v="239832.22408733383"/>
    <n v="40"/>
  </r>
  <r>
    <n v="543"/>
    <s v="cliente543"/>
    <x v="2"/>
    <x v="2"/>
    <n v="0"/>
    <n v="0"/>
    <x v="3"/>
    <n v="0"/>
    <n v="0"/>
    <n v="0"/>
    <n v="0"/>
    <n v="0"/>
    <n v="0"/>
    <n v="85"/>
    <n v="85"/>
    <n v="83"/>
    <n v="85"/>
    <n v="83"/>
    <n v="85"/>
    <n v="0"/>
    <n v="0"/>
    <n v="0"/>
    <m/>
    <n v="0"/>
  </r>
  <r>
    <n v="544"/>
    <s v="cliente54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4516.97081827733"/>
    <n v="22"/>
  </r>
  <r>
    <n v="545"/>
    <s v="cliente54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4140.13580228837"/>
    <n v="22"/>
  </r>
  <r>
    <n v="546"/>
    <s v="cliente54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144.42419746541"/>
    <n v="22"/>
  </r>
  <r>
    <n v="547"/>
    <s v="cliente54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2397.46536696449"/>
    <n v="22"/>
  </r>
  <r>
    <n v="548"/>
    <s v="cliente54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43.59718024955"/>
    <n v="22"/>
  </r>
  <r>
    <n v="549"/>
    <s v="cliente54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1823.86560536394"/>
    <n v="22"/>
  </r>
  <r>
    <n v="550"/>
    <s v="cliente55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6404.82331680271"/>
    <n v="22"/>
  </r>
  <r>
    <n v="551"/>
    <s v="cliente55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08.96415948332"/>
    <n v="22"/>
  </r>
  <r>
    <n v="552"/>
    <s v="cliente55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21692.27276033099"/>
    <n v="22"/>
  </r>
  <r>
    <n v="553"/>
    <s v="cliente55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14019.6671593388"/>
    <n v="22"/>
  </r>
  <r>
    <n v="554"/>
    <s v="cliente55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635.63636230302"/>
    <n v="22"/>
  </r>
  <r>
    <n v="555"/>
    <s v="cliente55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061969.784065388"/>
    <n v="22"/>
  </r>
  <r>
    <n v="556"/>
    <s v="cliente55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841939.54140186321"/>
    <n v="22"/>
  </r>
  <r>
    <n v="557"/>
    <s v="cliente55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25540.21215899941"/>
    <n v="22"/>
  </r>
  <r>
    <n v="558"/>
    <s v="cliente55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8680.47004580096"/>
    <n v="22"/>
  </r>
  <r>
    <n v="559"/>
    <s v="cliente55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6574.12722261238"/>
    <n v="22"/>
  </r>
  <r>
    <n v="560"/>
    <s v="cliente560"/>
    <x v="2"/>
    <x v="2"/>
    <n v="0"/>
    <n v="0"/>
    <x v="3"/>
    <n v="0"/>
    <n v="0"/>
    <n v="0"/>
    <n v="0"/>
    <n v="40"/>
    <n v="60"/>
    <n v="60"/>
    <n v="65"/>
    <n v="60"/>
    <n v="60"/>
    <n v="65"/>
    <n v="65"/>
    <n v="65"/>
    <n v="65"/>
    <n v="65"/>
    <n v="348065.11408132088"/>
    <n v="65"/>
  </r>
  <r>
    <n v="561"/>
    <s v="cliente56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4629.50924968533"/>
    <n v="22"/>
  </r>
  <r>
    <n v="562"/>
    <s v="cliente56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42089.29272587819"/>
    <n v="22"/>
  </r>
  <r>
    <n v="563"/>
    <s v="cliente56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177.31607820753"/>
    <n v="22"/>
  </r>
  <r>
    <n v="564"/>
    <s v="cliente56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7556.68714988537"/>
    <n v="22"/>
  </r>
  <r>
    <n v="565"/>
    <s v="cliente56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8992.25060525179"/>
    <n v="22"/>
  </r>
  <r>
    <n v="566"/>
    <s v="cliente56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9209.12204733293"/>
    <n v="22"/>
  </r>
  <r>
    <n v="567"/>
    <s v="cliente56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054.77846846444"/>
    <n v="22"/>
  </r>
  <r>
    <n v="568"/>
    <s v="cliente56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7783.34184847734"/>
    <n v="22"/>
  </r>
  <r>
    <n v="569"/>
    <s v="cliente56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5305.99881048247"/>
    <n v="22"/>
  </r>
  <r>
    <n v="570"/>
    <s v="cliente57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9969.96003281038"/>
    <n v="22"/>
  </r>
  <r>
    <n v="571"/>
    <s v="cliente57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4364.83889033402"/>
    <n v="22"/>
  </r>
  <r>
    <n v="572"/>
    <s v="cliente57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212.48607504254"/>
    <n v="22"/>
  </r>
  <r>
    <n v="573"/>
    <s v="cliente57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0324.19422576309"/>
    <n v="22"/>
  </r>
  <r>
    <n v="574"/>
    <s v="cliente57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4145.13279469952"/>
    <n v="22"/>
  </r>
  <r>
    <n v="575"/>
    <s v="cliente57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9386.57656593266"/>
    <n v="22"/>
  </r>
  <r>
    <n v="576"/>
    <s v="cliente57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05354.68785621395"/>
    <n v="22"/>
  </r>
  <r>
    <n v="577"/>
    <s v="cliente57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9504.50208214566"/>
    <n v="22"/>
  </r>
  <r>
    <n v="578"/>
    <s v="cliente578"/>
    <x v="3"/>
    <x v="7"/>
    <n v="77"/>
    <n v="77"/>
    <x v="5"/>
    <n v="70"/>
    <n v="22"/>
    <n v="22"/>
    <n v="22"/>
    <n v="22"/>
    <n v="22"/>
    <n v="22"/>
    <n v="22"/>
    <n v="22"/>
    <n v="22"/>
    <n v="22"/>
    <n v="22"/>
    <n v="22"/>
    <n v="22"/>
    <n v="22"/>
    <n v="1515975.4368826405"/>
    <n v="22"/>
  </r>
  <r>
    <n v="579"/>
    <s v="cliente57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0374.53684983886"/>
    <n v="22"/>
  </r>
  <r>
    <n v="580"/>
    <s v="cliente580"/>
    <x v="12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8392.84420441635"/>
    <n v="22"/>
  </r>
  <r>
    <n v="581"/>
    <s v="cliente58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790894.08838497079"/>
    <n v="22"/>
  </r>
  <r>
    <n v="582"/>
    <s v="cliente582"/>
    <x v="4"/>
    <x v="13"/>
    <n v="73"/>
    <n v="73"/>
    <x v="5"/>
    <n v="73"/>
    <n v="73"/>
    <n v="77"/>
    <n v="75"/>
    <n v="77"/>
    <n v="22"/>
    <n v="22"/>
    <n v="22"/>
    <n v="22"/>
    <n v="22"/>
    <n v="22"/>
    <n v="22"/>
    <n v="22"/>
    <n v="22"/>
    <n v="22"/>
    <n v="359647.40996798628"/>
    <n v="22"/>
  </r>
  <r>
    <n v="583"/>
    <s v="cliente58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23216.61250883866"/>
    <n v="22"/>
  </r>
  <r>
    <n v="584"/>
    <s v="cliente58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533.55581478268"/>
    <n v="22"/>
  </r>
  <r>
    <n v="585"/>
    <s v="cliente58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0584.64289825462"/>
    <n v="22"/>
  </r>
  <r>
    <n v="586"/>
    <s v="cliente58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61598.95699179548"/>
    <n v="22"/>
  </r>
  <r>
    <n v="587"/>
    <s v="cliente58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90454.46692025772"/>
    <n v="22"/>
  </r>
  <r>
    <n v="588"/>
    <s v="cliente58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2525.61597073142"/>
    <n v="22"/>
  </r>
  <r>
    <n v="589"/>
    <s v="cliente58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117.8926708346"/>
    <n v="22"/>
  </r>
  <r>
    <n v="590"/>
    <s v="cliente59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5758.41094023219"/>
    <n v="22"/>
  </r>
  <r>
    <n v="591"/>
    <s v="cliente59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2352.54438783911"/>
    <n v="22"/>
  </r>
  <r>
    <n v="592"/>
    <s v="cliente59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5804.0351430462"/>
    <n v="22"/>
  </r>
  <r>
    <n v="593"/>
    <s v="cliente59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922366.7083703134"/>
    <n v="22"/>
  </r>
  <r>
    <n v="594"/>
    <s v="cliente59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710.56899008284"/>
    <n v="22"/>
  </r>
  <r>
    <n v="595"/>
    <s v="cliente59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2163.37701783181"/>
    <n v="22"/>
  </r>
  <r>
    <n v="596"/>
    <s v="cliente59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50400.41387009469"/>
    <n v="22"/>
  </r>
  <r>
    <n v="597"/>
    <s v="cliente59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5699.72795727814"/>
    <n v="22"/>
  </r>
  <r>
    <n v="598"/>
    <s v="cliente59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0552.32742694576"/>
    <n v="22"/>
  </r>
  <r>
    <n v="599"/>
    <s v="cliente599"/>
    <x v="11"/>
    <x v="12"/>
    <n v="75"/>
    <n v="75"/>
    <x v="10"/>
    <n v="22"/>
    <n v="22"/>
    <n v="22"/>
    <n v="22"/>
    <n v="22"/>
    <n v="22"/>
    <n v="22"/>
    <n v="22"/>
    <n v="22"/>
    <n v="22"/>
    <n v="22"/>
    <n v="22"/>
    <n v="22"/>
    <n v="22"/>
    <n v="22"/>
    <n v="233232.01575714612"/>
    <n v="22"/>
  </r>
  <r>
    <n v="600"/>
    <s v="cliente600"/>
    <x v="0"/>
    <x v="11"/>
    <n v="80"/>
    <n v="75"/>
    <x v="12"/>
    <n v="70"/>
    <n v="40"/>
    <n v="22"/>
    <n v="22"/>
    <n v="22"/>
    <n v="22"/>
    <n v="22"/>
    <n v="22"/>
    <n v="22"/>
    <n v="22"/>
    <n v="22"/>
    <n v="22"/>
    <n v="22"/>
    <n v="22"/>
    <n v="22"/>
    <n v="234626.32288100748"/>
    <n v="22"/>
  </r>
  <r>
    <n v="601"/>
    <s v="cliente601"/>
    <x v="2"/>
    <x v="2"/>
    <n v="75"/>
    <n v="75"/>
    <x v="12"/>
    <n v="77"/>
    <n v="75"/>
    <n v="65"/>
    <n v="22"/>
    <n v="22"/>
    <n v="22"/>
    <n v="22"/>
    <n v="22"/>
    <n v="22"/>
    <n v="22"/>
    <n v="22"/>
    <n v="22"/>
    <n v="22"/>
    <n v="22"/>
    <n v="22"/>
    <n v="240162.93825544207"/>
    <n v="22"/>
  </r>
  <r>
    <n v="602"/>
    <s v="cliente602"/>
    <x v="2"/>
    <x v="2"/>
    <n v="0"/>
    <n v="0"/>
    <x v="3"/>
    <n v="0"/>
    <n v="0"/>
    <n v="0"/>
    <n v="0"/>
    <n v="70"/>
    <n v="70"/>
    <n v="70"/>
    <n v="65"/>
    <n v="22"/>
    <n v="22"/>
    <n v="22"/>
    <n v="22"/>
    <n v="22"/>
    <n v="22"/>
    <n v="22"/>
    <n v="216471.46809397289"/>
    <n v="22"/>
  </r>
  <r>
    <n v="603"/>
    <s v="cliente60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8445.59939775168"/>
    <n v="22"/>
  </r>
  <r>
    <n v="604"/>
    <s v="cliente604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76096.27422433105"/>
    <n v="22"/>
  </r>
  <r>
    <n v="605"/>
    <s v="cliente60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329.83293917154"/>
    <n v="22"/>
  </r>
  <r>
    <n v="606"/>
    <s v="cliente60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383657.04990057688"/>
    <n v="22"/>
  </r>
  <r>
    <n v="607"/>
    <s v="cliente60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1390.46245890608"/>
    <n v="22"/>
  </r>
  <r>
    <n v="608"/>
    <s v="cliente608"/>
    <x v="5"/>
    <x v="7"/>
    <n v="73"/>
    <n v="73"/>
    <x v="7"/>
    <n v="22"/>
    <n v="22"/>
    <n v="22"/>
    <n v="22"/>
    <n v="22"/>
    <n v="22"/>
    <n v="22"/>
    <n v="22"/>
    <n v="22"/>
    <n v="22"/>
    <n v="22"/>
    <n v="22"/>
    <n v="22"/>
    <n v="22"/>
    <n v="22"/>
    <n v="252638.96627120714"/>
    <n v="22"/>
  </r>
  <r>
    <n v="609"/>
    <s v="cliente60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89689.78514675848"/>
    <n v="22"/>
  </r>
  <r>
    <n v="610"/>
    <s v="cliente610"/>
    <x v="2"/>
    <x v="0"/>
    <n v="0"/>
    <n v="83"/>
    <x v="4"/>
    <n v="83"/>
    <n v="80"/>
    <n v="73"/>
    <n v="65"/>
    <n v="65"/>
    <n v="60"/>
    <n v="22"/>
    <n v="22"/>
    <n v="22"/>
    <n v="22"/>
    <n v="22"/>
    <n v="22"/>
    <n v="22"/>
    <n v="22"/>
    <n v="22"/>
    <n v="174295.2542977267"/>
    <n v="22"/>
  </r>
  <r>
    <n v="611"/>
    <s v="cliente611"/>
    <x v="6"/>
    <x v="11"/>
    <n v="83"/>
    <n v="83"/>
    <x v="9"/>
    <n v="87"/>
    <n v="87"/>
    <n v="87"/>
    <n v="85"/>
    <n v="85"/>
    <n v="85"/>
    <n v="85"/>
    <n v="83"/>
    <n v="85"/>
    <n v="85"/>
    <n v="87"/>
    <n v="85"/>
    <n v="85"/>
    <n v="87"/>
    <n v="87"/>
    <n v="159127.80039039155"/>
    <n v="83"/>
  </r>
  <r>
    <n v="612"/>
    <s v="cliente612"/>
    <x v="6"/>
    <x v="11"/>
    <n v="77"/>
    <n v="77"/>
    <x v="5"/>
    <n v="85"/>
    <n v="83"/>
    <n v="83"/>
    <n v="0"/>
    <n v="0"/>
    <n v="0"/>
    <n v="0"/>
    <n v="0"/>
    <n v="0"/>
    <n v="0"/>
    <n v="0"/>
    <n v="0"/>
    <n v="0"/>
    <n v="0"/>
    <n v="0"/>
    <m/>
    <n v="0"/>
  </r>
  <r>
    <n v="613"/>
    <s v="cliente613"/>
    <x v="1"/>
    <x v="0"/>
    <n v="80"/>
    <n v="83"/>
    <x v="8"/>
    <n v="85"/>
    <n v="80"/>
    <n v="80"/>
    <n v="83"/>
    <n v="83"/>
    <n v="77"/>
    <n v="0"/>
    <n v="0"/>
    <n v="0"/>
    <n v="0"/>
    <n v="0"/>
    <n v="0"/>
    <n v="0"/>
    <n v="0"/>
    <n v="0"/>
    <m/>
    <n v="0"/>
  </r>
  <r>
    <n v="614"/>
    <s v="cliente614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5"/>
    <s v="cliente615"/>
    <x v="11"/>
    <x v="4"/>
    <n v="85"/>
    <n v="85"/>
    <x v="8"/>
    <n v="80"/>
    <n v="80"/>
    <n v="80"/>
    <n v="80"/>
    <n v="83"/>
    <n v="83"/>
    <n v="83"/>
    <n v="80"/>
    <n v="83"/>
    <n v="83"/>
    <n v="85"/>
    <n v="83"/>
    <n v="80"/>
    <n v="80"/>
    <n v="80"/>
    <n v="286579.46783145098"/>
    <n v="85"/>
  </r>
  <r>
    <n v="616"/>
    <s v="cliente616"/>
    <x v="4"/>
    <x v="6"/>
    <n v="73"/>
    <n v="73"/>
    <x v="0"/>
    <n v="73"/>
    <n v="73"/>
    <n v="65"/>
    <n v="70"/>
    <n v="65"/>
    <n v="65"/>
    <n v="65"/>
    <n v="0"/>
    <n v="0"/>
    <n v="0"/>
    <n v="0"/>
    <n v="0"/>
    <n v="0"/>
    <n v="0"/>
    <n v="0"/>
    <m/>
    <n v="0"/>
  </r>
  <r>
    <n v="617"/>
    <s v="cliente617"/>
    <x v="3"/>
    <x v="0"/>
    <n v="7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8"/>
    <s v="cliente618"/>
    <x v="11"/>
    <x v="4"/>
    <n v="85"/>
    <n v="85"/>
    <x v="6"/>
    <n v="85"/>
    <n v="83"/>
    <n v="80"/>
    <n v="80"/>
    <n v="83"/>
    <n v="80"/>
    <n v="80"/>
    <n v="83"/>
    <n v="83"/>
    <n v="83"/>
    <n v="85"/>
    <n v="85"/>
    <n v="85"/>
    <n v="0"/>
    <n v="0"/>
    <m/>
    <n v="0"/>
  </r>
  <r>
    <n v="619"/>
    <s v="cliente619"/>
    <x v="5"/>
    <x v="7"/>
    <n v="75"/>
    <n v="75"/>
    <x v="12"/>
    <n v="77"/>
    <n v="77"/>
    <n v="75"/>
    <n v="80"/>
    <n v="80"/>
    <n v="80"/>
    <n v="80"/>
    <n v="80"/>
    <n v="80"/>
    <n v="80"/>
    <n v="83"/>
    <n v="80"/>
    <n v="80"/>
    <n v="0"/>
    <n v="0"/>
    <m/>
    <n v="0"/>
  </r>
  <r>
    <n v="620"/>
    <s v="cliente620"/>
    <x v="12"/>
    <x v="5"/>
    <n v="77"/>
    <n v="77"/>
    <x v="5"/>
    <n v="80"/>
    <n v="77"/>
    <n v="0"/>
    <n v="0"/>
    <n v="0"/>
    <n v="0"/>
    <n v="0"/>
    <n v="0"/>
    <n v="0"/>
    <n v="0"/>
    <n v="0"/>
    <n v="0"/>
    <n v="0"/>
    <n v="0"/>
    <n v="0"/>
    <m/>
    <n v="0"/>
  </r>
  <r>
    <n v="621"/>
    <s v="cliente621"/>
    <x v="4"/>
    <x v="11"/>
    <n v="77"/>
    <n v="77"/>
    <x v="8"/>
    <n v="80"/>
    <n v="80"/>
    <n v="80"/>
    <n v="77"/>
    <n v="73"/>
    <n v="75"/>
    <n v="75"/>
    <n v="75"/>
    <n v="77"/>
    <n v="77"/>
    <n v="0"/>
    <n v="0"/>
    <n v="0"/>
    <n v="0"/>
    <n v="0"/>
    <m/>
    <n v="0"/>
  </r>
  <r>
    <n v="622"/>
    <s v="cliente622"/>
    <x v="0"/>
    <x v="4"/>
    <n v="83"/>
    <n v="83"/>
    <x v="4"/>
    <n v="85"/>
    <n v="85"/>
    <n v="80"/>
    <n v="80"/>
    <n v="83"/>
    <n v="80"/>
    <n v="80"/>
    <n v="83"/>
    <n v="80"/>
    <n v="75"/>
    <n v="73"/>
    <n v="73"/>
    <n v="73"/>
    <n v="77"/>
    <n v="77"/>
    <n v="403260.17119869398"/>
    <n v="77"/>
  </r>
  <r>
    <n v="623"/>
    <s v="cliente623"/>
    <x v="0"/>
    <x v="4"/>
    <n v="80"/>
    <n v="80"/>
    <x v="8"/>
    <n v="80"/>
    <n v="80"/>
    <n v="83"/>
    <n v="77"/>
    <n v="77"/>
    <n v="0"/>
    <n v="0"/>
    <n v="0"/>
    <n v="0"/>
    <n v="0"/>
    <n v="0"/>
    <n v="0"/>
    <n v="0"/>
    <n v="0"/>
    <n v="0"/>
    <m/>
    <n v="0"/>
  </r>
  <r>
    <n v="624"/>
    <s v="cliente624"/>
    <x v="0"/>
    <x v="11"/>
    <n v="77"/>
    <n v="77"/>
    <x v="5"/>
    <n v="83"/>
    <n v="83"/>
    <n v="85"/>
    <n v="85"/>
    <n v="83"/>
    <n v="80"/>
    <n v="80"/>
    <n v="77"/>
    <n v="80"/>
    <n v="77"/>
    <n v="77"/>
    <n v="77"/>
    <n v="77"/>
    <n v="77"/>
    <n v="77"/>
    <n v="145626.77284014574"/>
    <n v="77"/>
  </r>
  <r>
    <n v="625"/>
    <s v="cliente625"/>
    <x v="11"/>
    <x v="4"/>
    <n v="83"/>
    <n v="83"/>
    <x v="4"/>
    <n v="83"/>
    <n v="80"/>
    <n v="73"/>
    <n v="75"/>
    <n v="75"/>
    <n v="77"/>
    <n v="73"/>
    <n v="75"/>
    <n v="75"/>
    <n v="80"/>
    <n v="80"/>
    <n v="80"/>
    <n v="80"/>
    <n v="0"/>
    <n v="0"/>
    <m/>
    <n v="0"/>
  </r>
  <r>
    <n v="626"/>
    <s v="cliente626"/>
    <x v="3"/>
    <x v="0"/>
    <n v="80"/>
    <n v="80"/>
    <x v="5"/>
    <n v="77"/>
    <n v="80"/>
    <n v="83"/>
    <n v="80"/>
    <n v="80"/>
    <n v="77"/>
    <n v="77"/>
    <n v="77"/>
    <n v="77"/>
    <n v="77"/>
    <n v="77"/>
    <n v="87"/>
    <n v="85"/>
    <n v="85"/>
    <n v="85"/>
    <n v="468283.58065206342"/>
    <n v="85"/>
  </r>
  <r>
    <n v="627"/>
    <s v="cliente627"/>
    <x v="2"/>
    <x v="2"/>
    <n v="77"/>
    <n v="77"/>
    <x v="6"/>
    <n v="77"/>
    <n v="75"/>
    <n v="0"/>
    <n v="0"/>
    <n v="0"/>
    <n v="0"/>
    <n v="0"/>
    <n v="0"/>
    <n v="0"/>
    <n v="0"/>
    <n v="0"/>
    <n v="0"/>
    <n v="0"/>
    <n v="0"/>
    <n v="0"/>
    <m/>
    <n v="0"/>
  </r>
  <r>
    <n v="628"/>
    <s v="cliente628"/>
    <x v="11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29"/>
    <s v="cliente629"/>
    <x v="2"/>
    <x v="4"/>
    <n v="83"/>
    <n v="83"/>
    <x v="8"/>
    <n v="83"/>
    <n v="83"/>
    <n v="83"/>
    <n v="83"/>
    <n v="85"/>
    <n v="83"/>
    <n v="83"/>
    <n v="83"/>
    <n v="83"/>
    <n v="83"/>
    <n v="85"/>
    <n v="83"/>
    <n v="83"/>
    <n v="83"/>
    <n v="83"/>
    <n v="117091.74353107503"/>
    <n v="83"/>
  </r>
  <r>
    <n v="630"/>
    <s v="cliente630"/>
    <x v="2"/>
    <x v="11"/>
    <n v="83"/>
    <n v="83"/>
    <x v="4"/>
    <n v="83"/>
    <n v="83"/>
    <n v="83"/>
    <n v="85"/>
    <n v="83"/>
    <n v="83"/>
    <n v="83"/>
    <n v="80"/>
    <n v="75"/>
    <n v="75"/>
    <n v="0"/>
    <n v="0"/>
    <n v="0"/>
    <n v="0"/>
    <n v="0"/>
    <m/>
    <n v="0"/>
  </r>
  <r>
    <n v="631"/>
    <s v="cliente631"/>
    <x v="2"/>
    <x v="11"/>
    <n v="77"/>
    <n v="77"/>
    <x v="5"/>
    <n v="83"/>
    <n v="83"/>
    <n v="80"/>
    <n v="80"/>
    <n v="80"/>
    <n v="77"/>
    <n v="77"/>
    <n v="80"/>
    <n v="77"/>
    <n v="77"/>
    <n v="80"/>
    <n v="80"/>
    <n v="80"/>
    <n v="80"/>
    <n v="80"/>
    <n v="929356.57205066737"/>
    <n v="80"/>
  </r>
  <r>
    <n v="632"/>
    <s v="cliente632"/>
    <x v="2"/>
    <x v="0"/>
    <n v="83"/>
    <n v="83"/>
    <x v="5"/>
    <n v="77"/>
    <n v="85"/>
    <n v="83"/>
    <n v="77"/>
    <n v="80"/>
    <n v="75"/>
    <n v="75"/>
    <n v="0"/>
    <n v="0"/>
    <n v="0"/>
    <n v="0"/>
    <n v="0"/>
    <n v="0"/>
    <n v="0"/>
    <n v="0"/>
    <m/>
    <n v="0"/>
  </r>
  <r>
    <n v="633"/>
    <s v="cliente633"/>
    <x v="2"/>
    <x v="2"/>
    <n v="70"/>
    <n v="70"/>
    <x v="0"/>
    <n v="73"/>
    <n v="73"/>
    <n v="70"/>
    <n v="70"/>
    <n v="70"/>
    <n v="70"/>
    <n v="70"/>
    <n v="70"/>
    <n v="70"/>
    <n v="75"/>
    <n v="73"/>
    <n v="73"/>
    <n v="73"/>
    <n v="75"/>
    <n v="75"/>
    <n v="381754.99787608662"/>
    <n v="22"/>
  </r>
  <r>
    <n v="634"/>
    <s v="cliente634"/>
    <x v="2"/>
    <x v="2"/>
    <n v="83"/>
    <n v="83"/>
    <x v="4"/>
    <n v="83"/>
    <n v="87"/>
    <n v="87"/>
    <n v="80"/>
    <n v="80"/>
    <n v="77"/>
    <n v="83"/>
    <n v="83"/>
    <n v="83"/>
    <n v="85"/>
    <n v="87"/>
    <n v="85"/>
    <n v="85"/>
    <n v="0"/>
    <n v="0"/>
    <m/>
    <n v="0"/>
  </r>
  <r>
    <n v="635"/>
    <s v="cliente635"/>
    <x v="2"/>
    <x v="2"/>
    <n v="77"/>
    <n v="75"/>
    <x v="0"/>
    <n v="75"/>
    <n v="75"/>
    <n v="70"/>
    <n v="83"/>
    <n v="80"/>
    <n v="70"/>
    <n v="73"/>
    <n v="73"/>
    <n v="83"/>
    <n v="73"/>
    <n v="73"/>
    <n v="73"/>
    <n v="73"/>
    <n v="77"/>
    <n v="77"/>
    <n v="110251.2071520367"/>
    <n v="73"/>
  </r>
  <r>
    <n v="636"/>
    <s v="cliente636"/>
    <x v="2"/>
    <x v="2"/>
    <n v="77"/>
    <n v="77"/>
    <x v="5"/>
    <n v="80"/>
    <n v="77"/>
    <n v="73"/>
    <n v="75"/>
    <n v="73"/>
    <n v="73"/>
    <n v="70"/>
    <n v="70"/>
    <n v="73"/>
    <n v="70"/>
    <n v="73"/>
    <n v="73"/>
    <n v="70"/>
    <n v="70"/>
    <n v="70"/>
    <n v="1889835.0357725772"/>
    <n v="70"/>
  </r>
  <r>
    <n v="637"/>
    <s v="cliente637"/>
    <x v="2"/>
    <x v="2"/>
    <n v="0"/>
    <n v="73"/>
    <x v="12"/>
    <n v="75"/>
    <n v="75"/>
    <n v="73"/>
    <n v="80"/>
    <n v="77"/>
    <n v="83"/>
    <n v="83"/>
    <n v="80"/>
    <n v="80"/>
    <n v="80"/>
    <n v="80"/>
    <n v="80"/>
    <n v="80"/>
    <n v="83"/>
    <n v="83"/>
    <n v="161598.74948180173"/>
    <n v="83"/>
  </r>
  <r>
    <n v="638"/>
    <s v="cliente638"/>
    <x v="2"/>
    <x v="2"/>
    <n v="0"/>
    <n v="83"/>
    <x v="12"/>
    <n v="73"/>
    <n v="65"/>
    <n v="75"/>
    <n v="22"/>
    <n v="22"/>
    <n v="22"/>
    <n v="22"/>
    <n v="22"/>
    <n v="22"/>
    <n v="22"/>
    <n v="22"/>
    <n v="22"/>
    <n v="22"/>
    <n v="22"/>
    <n v="22"/>
    <n v="269752.07081258146"/>
    <n v="22"/>
  </r>
  <r>
    <n v="639"/>
    <s v="cliente639"/>
    <x v="2"/>
    <x v="2"/>
    <n v="0"/>
    <n v="65"/>
    <x v="11"/>
    <n v="73"/>
    <n v="73"/>
    <n v="73"/>
    <n v="73"/>
    <n v="73"/>
    <n v="0"/>
    <n v="0"/>
    <n v="0"/>
    <n v="0"/>
    <n v="0"/>
    <n v="0"/>
    <n v="0"/>
    <n v="0"/>
    <n v="0"/>
    <n v="0"/>
    <m/>
    <n v="0"/>
  </r>
  <r>
    <n v="640"/>
    <s v="cliente640"/>
    <x v="2"/>
    <x v="2"/>
    <n v="0"/>
    <n v="83"/>
    <x v="6"/>
    <n v="85"/>
    <n v="83"/>
    <n v="83"/>
    <n v="83"/>
    <n v="85"/>
    <n v="83"/>
    <n v="80"/>
    <n v="80"/>
    <n v="83"/>
    <n v="77"/>
    <n v="73"/>
    <n v="70"/>
    <n v="70"/>
    <n v="70"/>
    <n v="73"/>
    <n v="744379.93456048216"/>
    <n v="65"/>
  </r>
  <r>
    <n v="641"/>
    <s v="cliente641"/>
    <x v="2"/>
    <x v="2"/>
    <n v="0"/>
    <n v="77"/>
    <x v="8"/>
    <n v="80"/>
    <n v="83"/>
    <n v="80"/>
    <n v="80"/>
    <n v="80"/>
    <n v="80"/>
    <n v="80"/>
    <n v="83"/>
    <n v="83"/>
    <n v="83"/>
    <n v="83"/>
    <n v="83"/>
    <n v="83"/>
    <n v="83"/>
    <n v="83"/>
    <n v="2756675.9555255156"/>
    <n v="83"/>
  </r>
  <r>
    <n v="642"/>
    <s v="cliente642"/>
    <x v="2"/>
    <x v="2"/>
    <n v="0"/>
    <n v="0"/>
    <x v="4"/>
    <n v="77"/>
    <n v="73"/>
    <n v="70"/>
    <n v="70"/>
    <n v="70"/>
    <n v="70"/>
    <n v="70"/>
    <n v="70"/>
    <n v="70"/>
    <n v="70"/>
    <n v="73"/>
    <n v="73"/>
    <n v="73"/>
    <n v="77"/>
    <n v="77"/>
    <n v="196110.85679008803"/>
    <n v="73"/>
  </r>
  <r>
    <n v="643"/>
    <s v="cliente643"/>
    <x v="2"/>
    <x v="2"/>
    <n v="0"/>
    <n v="0"/>
    <x v="8"/>
    <n v="73"/>
    <n v="73"/>
    <n v="70"/>
    <n v="70"/>
    <n v="77"/>
    <n v="70"/>
    <n v="73"/>
    <n v="70"/>
    <n v="75"/>
    <n v="73"/>
    <n v="73"/>
    <n v="73"/>
    <n v="73"/>
    <n v="77"/>
    <n v="77"/>
    <n v="150067.05548453238"/>
    <n v="83"/>
  </r>
  <r>
    <n v="644"/>
    <s v="cliente644"/>
    <x v="2"/>
    <x v="2"/>
    <n v="0"/>
    <n v="0"/>
    <x v="8"/>
    <n v="83"/>
    <n v="80"/>
    <n v="85"/>
    <n v="80"/>
    <n v="80"/>
    <n v="77"/>
    <n v="77"/>
    <n v="80"/>
    <n v="80"/>
    <n v="75"/>
    <n v="77"/>
    <n v="77"/>
    <n v="80"/>
    <n v="80"/>
    <n v="80"/>
    <n v="350585.27645366255"/>
    <n v="77"/>
  </r>
  <r>
    <n v="645"/>
    <s v="cliente6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46"/>
    <s v="cliente646"/>
    <x v="2"/>
    <x v="2"/>
    <n v="0"/>
    <n v="0"/>
    <x v="8"/>
    <n v="83"/>
    <n v="80"/>
    <n v="80"/>
    <n v="75"/>
    <n v="77"/>
    <n v="75"/>
    <n v="75"/>
    <n v="77"/>
    <n v="75"/>
    <n v="75"/>
    <n v="77"/>
    <n v="77"/>
    <n v="77"/>
    <n v="77"/>
    <n v="77"/>
    <n v="2687393.0585102364"/>
    <n v="77"/>
  </r>
  <r>
    <n v="647"/>
    <s v="cliente647"/>
    <x v="2"/>
    <x v="2"/>
    <n v="0"/>
    <n v="0"/>
    <x v="6"/>
    <n v="75"/>
    <n v="75"/>
    <n v="77"/>
    <n v="75"/>
    <n v="75"/>
    <n v="73"/>
    <n v="75"/>
    <n v="75"/>
    <n v="75"/>
    <n v="75"/>
    <n v="83"/>
    <n v="0"/>
    <n v="0"/>
    <n v="0"/>
    <n v="0"/>
    <m/>
    <n v="0"/>
  </r>
  <r>
    <n v="648"/>
    <s v="cliente648"/>
    <x v="2"/>
    <x v="2"/>
    <n v="0"/>
    <n v="0"/>
    <x v="3"/>
    <n v="85"/>
    <n v="85"/>
    <n v="83"/>
    <n v="83"/>
    <n v="83"/>
    <n v="83"/>
    <n v="85"/>
    <n v="87"/>
    <n v="87"/>
    <n v="85"/>
    <n v="87"/>
    <n v="85"/>
    <n v="85"/>
    <n v="85"/>
    <n v="85"/>
    <n v="141552.25447774224"/>
    <n v="83"/>
  </r>
  <r>
    <n v="649"/>
    <s v="cliente649"/>
    <x v="2"/>
    <x v="2"/>
    <n v="0"/>
    <n v="0"/>
    <x v="3"/>
    <n v="87"/>
    <n v="85"/>
    <n v="83"/>
    <n v="83"/>
    <n v="70"/>
    <n v="73"/>
    <n v="77"/>
    <n v="77"/>
    <n v="77"/>
    <n v="73"/>
    <n v="73"/>
    <n v="73"/>
    <n v="73"/>
    <n v="77"/>
    <n v="77"/>
    <n v="118752.1793372557"/>
    <n v="80"/>
  </r>
  <r>
    <n v="650"/>
    <s v="cliente650"/>
    <x v="2"/>
    <x v="2"/>
    <n v="0"/>
    <n v="0"/>
    <x v="3"/>
    <n v="87"/>
    <n v="85"/>
    <n v="80"/>
    <n v="83"/>
    <n v="80"/>
    <n v="70"/>
    <n v="70"/>
    <n v="70"/>
    <n v="70"/>
    <n v="70"/>
    <n v="75"/>
    <n v="77"/>
    <n v="73"/>
    <n v="77"/>
    <n v="73"/>
    <n v="319101.55700053723"/>
    <n v="73"/>
  </r>
  <r>
    <n v="651"/>
    <s v="cliente651"/>
    <x v="2"/>
    <x v="2"/>
    <n v="0"/>
    <n v="0"/>
    <x v="3"/>
    <n v="0"/>
    <n v="83"/>
    <n v="85"/>
    <n v="85"/>
    <n v="85"/>
    <n v="83"/>
    <n v="83"/>
    <n v="85"/>
    <n v="83"/>
    <n v="83"/>
    <n v="83"/>
    <n v="83"/>
    <n v="83"/>
    <n v="83"/>
    <n v="83"/>
    <n v="136118.58866207325"/>
    <n v="83"/>
  </r>
  <r>
    <n v="652"/>
    <s v="cliente652"/>
    <x v="2"/>
    <x v="2"/>
    <n v="0"/>
    <n v="0"/>
    <x v="3"/>
    <n v="0"/>
    <n v="83"/>
    <n v="80"/>
    <n v="80"/>
    <n v="80"/>
    <n v="77"/>
    <n v="83"/>
    <n v="85"/>
    <n v="80"/>
    <n v="80"/>
    <n v="80"/>
    <n v="77"/>
    <n v="80"/>
    <n v="80"/>
    <n v="80"/>
    <n v="329908.83682039654"/>
    <n v="80"/>
  </r>
  <r>
    <n v="653"/>
    <s v="cliente653"/>
    <x v="2"/>
    <x v="2"/>
    <n v="0"/>
    <n v="0"/>
    <x v="3"/>
    <n v="0"/>
    <n v="0"/>
    <n v="77"/>
    <n v="80"/>
    <n v="80"/>
    <n v="77"/>
    <n v="80"/>
    <n v="80"/>
    <n v="80"/>
    <n v="80"/>
    <n v="80"/>
    <n v="77"/>
    <n v="80"/>
    <n v="80"/>
    <n v="80"/>
    <n v="257392.54168938907"/>
    <n v="80"/>
  </r>
  <r>
    <n v="654"/>
    <s v="cliente654"/>
    <x v="2"/>
    <x v="2"/>
    <n v="0"/>
    <n v="0"/>
    <x v="3"/>
    <n v="0"/>
    <n v="0"/>
    <n v="0"/>
    <n v="0"/>
    <n v="0"/>
    <n v="0"/>
    <n v="75"/>
    <n v="0"/>
    <n v="75"/>
    <n v="0"/>
    <n v="0"/>
    <n v="0"/>
    <n v="0"/>
    <n v="0"/>
    <n v="0"/>
    <m/>
    <n v="0"/>
  </r>
  <r>
    <n v="655"/>
    <s v="cliente655"/>
    <x v="2"/>
    <x v="2"/>
    <n v="0"/>
    <n v="0"/>
    <x v="3"/>
    <n v="0"/>
    <n v="0"/>
    <n v="0"/>
    <n v="0"/>
    <n v="80"/>
    <n v="83"/>
    <n v="75"/>
    <n v="80"/>
    <n v="83"/>
    <n v="83"/>
    <n v="0"/>
    <n v="0"/>
    <n v="0"/>
    <n v="0"/>
    <n v="0"/>
    <m/>
    <n v="0"/>
  </r>
  <r>
    <n v="656"/>
    <s v="cliente656"/>
    <x v="2"/>
    <x v="2"/>
    <n v="0"/>
    <n v="0"/>
    <x v="3"/>
    <n v="0"/>
    <n v="0"/>
    <n v="83"/>
    <n v="73"/>
    <n v="73"/>
    <n v="75"/>
    <n v="75"/>
    <n v="75"/>
    <n v="80"/>
    <n v="80"/>
    <n v="80"/>
    <n v="80"/>
    <n v="80"/>
    <n v="80"/>
    <n v="75"/>
    <n v="608315.88635358913"/>
    <n v="75"/>
  </r>
  <r>
    <n v="657"/>
    <s v="cliente657"/>
    <x v="2"/>
    <x v="2"/>
    <n v="0"/>
    <n v="0"/>
    <x v="3"/>
    <n v="0"/>
    <n v="0"/>
    <n v="83"/>
    <n v="73"/>
    <n v="77"/>
    <n v="77"/>
    <n v="75"/>
    <n v="75"/>
    <n v="83"/>
    <n v="80"/>
    <n v="80"/>
    <n v="83"/>
    <n v="80"/>
    <n v="80"/>
    <n v="80"/>
    <n v="143821.61704565995"/>
    <n v="83"/>
  </r>
  <r>
    <n v="658"/>
    <s v="cliente658"/>
    <x v="2"/>
    <x v="2"/>
    <n v="0"/>
    <n v="0"/>
    <x v="3"/>
    <n v="0"/>
    <n v="0"/>
    <n v="75"/>
    <n v="75"/>
    <n v="75"/>
    <n v="75"/>
    <n v="80"/>
    <n v="80"/>
    <n v="75"/>
    <n v="75"/>
    <n v="80"/>
    <n v="0"/>
    <n v="0"/>
    <n v="0"/>
    <n v="0"/>
    <m/>
    <n v="0"/>
  </r>
  <r>
    <n v="659"/>
    <s v="cliente659"/>
    <x v="2"/>
    <x v="2"/>
    <n v="0"/>
    <n v="0"/>
    <x v="3"/>
    <n v="0"/>
    <n v="0"/>
    <n v="80"/>
    <n v="80"/>
    <n v="80"/>
    <n v="77"/>
    <n v="80"/>
    <n v="80"/>
    <n v="80"/>
    <n v="80"/>
    <n v="80"/>
    <n v="0"/>
    <n v="0"/>
    <n v="0"/>
    <n v="0"/>
    <m/>
    <n v="0"/>
  </r>
  <r>
    <n v="660"/>
    <s v="cliente660"/>
    <x v="2"/>
    <x v="2"/>
    <n v="0"/>
    <n v="0"/>
    <x v="3"/>
    <n v="0"/>
    <n v="0"/>
    <n v="0"/>
    <n v="0"/>
    <n v="85"/>
    <n v="83"/>
    <n v="77"/>
    <n v="80"/>
    <n v="75"/>
    <n v="75"/>
    <n v="75"/>
    <n v="77"/>
    <n v="0"/>
    <n v="0"/>
    <n v="0"/>
    <m/>
    <n v="0"/>
  </r>
  <r>
    <n v="661"/>
    <s v="cliente661"/>
    <x v="2"/>
    <x v="2"/>
    <n v="0"/>
    <n v="0"/>
    <x v="3"/>
    <n v="0"/>
    <n v="0"/>
    <n v="0"/>
    <n v="0"/>
    <n v="0"/>
    <n v="0"/>
    <n v="80"/>
    <n v="77"/>
    <n v="80"/>
    <n v="80"/>
    <n v="80"/>
    <n v="80"/>
    <n v="80"/>
    <n v="80"/>
    <n v="80"/>
    <n v="122391.44750525604"/>
    <n v="22"/>
  </r>
  <r>
    <n v="662"/>
    <s v="cliente662"/>
    <x v="2"/>
    <x v="2"/>
    <n v="0"/>
    <n v="0"/>
    <x v="3"/>
    <n v="0"/>
    <n v="0"/>
    <n v="0"/>
    <n v="0"/>
    <n v="0"/>
    <n v="0"/>
    <n v="75"/>
    <n v="77"/>
    <n v="77"/>
    <n v="77"/>
    <n v="77"/>
    <n v="77"/>
    <n v="80"/>
    <n v="77"/>
    <n v="80"/>
    <n v="808892.5617644029"/>
    <n v="77"/>
  </r>
  <r>
    <n v="663"/>
    <s v="cliente663"/>
    <x v="2"/>
    <x v="2"/>
    <n v="0"/>
    <n v="0"/>
    <x v="3"/>
    <n v="0"/>
    <n v="0"/>
    <n v="0"/>
    <n v="0"/>
    <n v="0"/>
    <n v="0"/>
    <n v="83"/>
    <n v="80"/>
    <n v="80"/>
    <n v="80"/>
    <n v="77"/>
    <n v="77"/>
    <n v="77"/>
    <n v="77"/>
    <n v="0"/>
    <m/>
    <n v="0"/>
  </r>
  <r>
    <n v="664"/>
    <s v="cliente664"/>
    <x v="2"/>
    <x v="2"/>
    <n v="0"/>
    <n v="0"/>
    <x v="3"/>
    <n v="0"/>
    <n v="0"/>
    <n v="0"/>
    <n v="0"/>
    <n v="0"/>
    <n v="0"/>
    <n v="83"/>
    <n v="83"/>
    <n v="83"/>
    <n v="83"/>
    <n v="85"/>
    <n v="83"/>
    <n v="83"/>
    <n v="83"/>
    <n v="83"/>
    <n v="126398.68122701153"/>
    <n v="80"/>
  </r>
  <r>
    <n v="665"/>
    <s v="cliente665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1137546.2171199431"/>
    <n v="83"/>
  </r>
  <r>
    <n v="666"/>
    <s v="cliente666"/>
    <x v="2"/>
    <x v="2"/>
    <n v="0"/>
    <n v="0"/>
    <x v="3"/>
    <n v="0"/>
    <n v="0"/>
    <n v="0"/>
    <n v="0"/>
    <n v="0"/>
    <n v="0"/>
    <n v="0"/>
    <n v="0"/>
    <n v="0"/>
    <n v="0"/>
    <n v="77"/>
    <n v="75"/>
    <n v="77"/>
    <n v="77"/>
    <n v="77"/>
    <n v="215349.12433142285"/>
    <n v="80"/>
  </r>
  <r>
    <n v="667"/>
    <s v="cliente667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197544.95209701342"/>
    <n v="85"/>
  </r>
  <r>
    <n v="668"/>
    <s v="cliente668"/>
    <x v="2"/>
    <x v="2"/>
    <n v="0"/>
    <n v="0"/>
    <x v="3"/>
    <n v="0"/>
    <n v="0"/>
    <n v="0"/>
    <n v="0"/>
    <n v="0"/>
    <n v="0"/>
    <n v="0"/>
    <n v="0"/>
    <n v="0"/>
    <n v="0"/>
    <n v="87"/>
    <n v="85"/>
    <n v="87"/>
    <n v="87"/>
    <n v="87"/>
    <n v="141301.20233747078"/>
    <n v="87"/>
  </r>
  <r>
    <n v="669"/>
    <s v="cliente669"/>
    <x v="2"/>
    <x v="2"/>
    <n v="0"/>
    <n v="0"/>
    <x v="3"/>
    <n v="0"/>
    <n v="0"/>
    <n v="0"/>
    <n v="0"/>
    <n v="0"/>
    <n v="0"/>
    <n v="0"/>
    <n v="0"/>
    <n v="0"/>
    <n v="0"/>
    <n v="85"/>
    <n v="0"/>
    <n v="0"/>
    <n v="0"/>
    <n v="0"/>
    <m/>
    <n v="0"/>
  </r>
  <r>
    <n v="670"/>
    <s v="cliente670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83"/>
    <n v="83"/>
    <n v="235654.46284596153"/>
    <n v="83"/>
  </r>
  <r>
    <n v="671"/>
    <s v="cliente67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62721.37087395677"/>
    <n v="87"/>
  </r>
  <r>
    <n v="672"/>
    <s v="cliente672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469733.8474214517"/>
    <n v="80"/>
  </r>
  <r>
    <n v="673"/>
    <s v="cliente673"/>
    <x v="2"/>
    <x v="2"/>
    <n v="0"/>
    <n v="0"/>
    <x v="3"/>
    <n v="0"/>
    <n v="0"/>
    <n v="0"/>
    <n v="0"/>
    <n v="0"/>
    <n v="0"/>
    <n v="0"/>
    <n v="0"/>
    <n v="0"/>
    <n v="0"/>
    <n v="75"/>
    <n v="0"/>
    <n v="0"/>
    <n v="0"/>
    <n v="0"/>
    <m/>
    <n v="0"/>
  </r>
  <r>
    <n v="674"/>
    <s v="cliente674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5"/>
    <n v="83"/>
    <n v="140581.2386181668"/>
    <n v="95"/>
  </r>
  <r>
    <n v="675"/>
    <s v="cliente67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150816.1378024311"/>
    <n v="87"/>
  </r>
  <r>
    <n v="676"/>
    <s v="cliente67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22380.17721737262"/>
    <n v="85"/>
  </r>
  <r>
    <n v="677"/>
    <s v="cliente67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72602.17063468456"/>
    <n v="87"/>
  </r>
  <r>
    <n v="678"/>
    <s v="cliente678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679"/>
    <s v="cliente67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31048.38559657242"/>
    <n v="87"/>
  </r>
  <r>
    <n v="680"/>
    <s v="cliente680"/>
    <x v="2"/>
    <x v="2"/>
    <n v="0"/>
    <n v="0"/>
    <x v="3"/>
    <n v="0"/>
    <n v="0"/>
    <n v="0"/>
    <n v="0"/>
    <n v="0"/>
    <n v="0"/>
    <n v="0"/>
    <n v="0"/>
    <n v="0"/>
    <n v="0"/>
    <n v="65"/>
    <n v="65"/>
    <n v="70"/>
    <n v="70"/>
    <n v="70"/>
    <n v="371372.93733019795"/>
    <n v="70"/>
  </r>
  <r>
    <n v="681"/>
    <s v="cliente68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3"/>
    <n v="83"/>
    <n v="178208.11770534355"/>
    <n v="85"/>
  </r>
  <r>
    <n v="682"/>
    <s v="cliente682"/>
    <x v="2"/>
    <x v="2"/>
    <n v="0"/>
    <n v="0"/>
    <x v="3"/>
    <n v="0"/>
    <n v="0"/>
    <n v="0"/>
    <n v="0"/>
    <n v="0"/>
    <n v="0"/>
    <n v="0"/>
    <n v="0"/>
    <n v="0"/>
    <n v="0"/>
    <n v="83"/>
    <n v="83"/>
    <n v="80"/>
    <n v="80"/>
    <n v="80"/>
    <n v="230607.09124887665"/>
    <n v="80"/>
  </r>
  <r>
    <n v="683"/>
    <s v="cliente6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84"/>
    <s v="cliente684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138351.9164251015"/>
    <n v="83"/>
  </r>
  <r>
    <n v="685"/>
    <s v="cliente685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201693.0714535248"/>
    <n v="85"/>
  </r>
  <r>
    <n v="686"/>
    <s v="cliente686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3"/>
    <n v="0"/>
    <m/>
    <n v="0"/>
  </r>
  <r>
    <n v="687"/>
    <s v="cliente68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87644.23201279895"/>
    <n v="85"/>
  </r>
  <r>
    <n v="688"/>
    <s v="cliente688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3"/>
    <n v="83"/>
    <n v="236431.33413758117"/>
    <n v="83"/>
  </r>
  <r>
    <n v="689"/>
    <s v="cliente689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7"/>
    <n v="87"/>
    <n v="111538.18160208166"/>
    <n v="85"/>
  </r>
  <r>
    <n v="690"/>
    <s v="cliente690"/>
    <x v="2"/>
    <x v="2"/>
    <n v="0"/>
    <n v="0"/>
    <x v="3"/>
    <n v="0"/>
    <n v="0"/>
    <n v="0"/>
    <n v="0"/>
    <n v="0"/>
    <n v="0"/>
    <n v="0"/>
    <n v="0"/>
    <n v="0"/>
    <n v="0"/>
    <n v="90"/>
    <n v="0"/>
    <n v="0"/>
    <n v="0"/>
    <n v="0"/>
    <m/>
    <n v="0"/>
  </r>
  <r>
    <n v="691"/>
    <s v="cliente691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0"/>
    <n v="80"/>
    <n v="2247970.3622880238"/>
    <n v="70"/>
  </r>
  <r>
    <n v="692"/>
    <s v="cliente692"/>
    <x v="2"/>
    <x v="2"/>
    <n v="0"/>
    <n v="0"/>
    <x v="3"/>
    <n v="0"/>
    <n v="0"/>
    <n v="0"/>
    <n v="0"/>
    <n v="0"/>
    <n v="0"/>
    <n v="0"/>
    <n v="0"/>
    <n v="0"/>
    <n v="0"/>
    <n v="80"/>
    <n v="83"/>
    <n v="83"/>
    <n v="80"/>
    <n v="80"/>
    <n v="132347.4754541697"/>
    <n v="83"/>
  </r>
  <r>
    <n v="693"/>
    <s v="cliente69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262722.57839082164"/>
    <n v="80"/>
  </r>
  <r>
    <n v="694"/>
    <s v="cliente694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74453.62718173466"/>
    <n v="73"/>
  </r>
  <r>
    <n v="695"/>
    <s v="cliente695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0"/>
    <n v="85"/>
    <n v="154969.44412070132"/>
    <n v="83"/>
  </r>
  <r>
    <n v="696"/>
    <s v="cliente696"/>
    <x v="2"/>
    <x v="2"/>
    <n v="0"/>
    <n v="0"/>
    <x v="3"/>
    <n v="0"/>
    <n v="0"/>
    <n v="0"/>
    <n v="0"/>
    <n v="0"/>
    <n v="0"/>
    <n v="0"/>
    <n v="0"/>
    <n v="0"/>
    <n v="0"/>
    <n v="75"/>
    <n v="75"/>
    <n v="77"/>
    <n v="80"/>
    <n v="77"/>
    <n v="125616.57670021889"/>
    <n v="65"/>
  </r>
  <r>
    <n v="697"/>
    <s v="cliente697"/>
    <x v="2"/>
    <x v="2"/>
    <n v="0"/>
    <n v="0"/>
    <x v="3"/>
    <n v="0"/>
    <n v="0"/>
    <n v="0"/>
    <n v="0"/>
    <n v="0"/>
    <n v="0"/>
    <n v="0"/>
    <n v="0"/>
    <n v="0"/>
    <n v="0"/>
    <n v="85"/>
    <n v="87"/>
    <n v="87"/>
    <n v="87"/>
    <n v="85"/>
    <n v="289199.60405002721"/>
    <n v="83"/>
  </r>
  <r>
    <n v="698"/>
    <s v="cliente698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3"/>
    <n v="185688.66772029613"/>
    <n v="83"/>
  </r>
  <r>
    <n v="699"/>
    <s v="cliente699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85"/>
    <n v="170495.78034201029"/>
    <n v="85"/>
  </r>
  <r>
    <n v="700"/>
    <s v="cliente70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79046.79041656764"/>
    <n v="83"/>
  </r>
  <r>
    <n v="701"/>
    <s v="cliente701"/>
    <x v="2"/>
    <x v="2"/>
    <n v="0"/>
    <n v="0"/>
    <x v="3"/>
    <n v="0"/>
    <n v="0"/>
    <n v="0"/>
    <n v="0"/>
    <n v="0"/>
    <n v="0"/>
    <n v="0"/>
    <n v="0"/>
    <n v="0"/>
    <n v="0"/>
    <n v="80"/>
    <n v="83"/>
    <n v="80"/>
    <n v="80"/>
    <n v="80"/>
    <n v="115345.36236125078"/>
    <n v="80"/>
  </r>
  <r>
    <n v="702"/>
    <s v="cliente70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85"/>
    <n v="1072441.4779197006"/>
    <n v="85"/>
  </r>
  <r>
    <n v="703"/>
    <s v="cliente703"/>
    <x v="2"/>
    <x v="2"/>
    <n v="0"/>
    <n v="0"/>
    <x v="3"/>
    <n v="0"/>
    <n v="0"/>
    <n v="0"/>
    <n v="0"/>
    <n v="0"/>
    <n v="0"/>
    <n v="0"/>
    <n v="0"/>
    <n v="0"/>
    <n v="0"/>
    <n v="80"/>
    <n v="85"/>
    <n v="83"/>
    <n v="83"/>
    <n v="85"/>
    <n v="426592.91241830471"/>
    <n v="85"/>
  </r>
  <r>
    <n v="704"/>
    <s v="cliente704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138378.08732518172"/>
    <n v="83"/>
  </r>
  <r>
    <n v="705"/>
    <s v="cliente70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89372.70304689649"/>
    <n v="73"/>
  </r>
  <r>
    <n v="706"/>
    <s v="cliente706"/>
    <x v="2"/>
    <x v="2"/>
    <n v="0"/>
    <n v="0"/>
    <x v="3"/>
    <n v="0"/>
    <n v="0"/>
    <n v="0"/>
    <n v="0"/>
    <n v="0"/>
    <n v="0"/>
    <n v="0"/>
    <n v="0"/>
    <n v="0"/>
    <n v="0"/>
    <n v="73"/>
    <n v="73"/>
    <n v="70"/>
    <n v="73"/>
    <n v="75"/>
    <n v="109324.36977462791"/>
    <n v="75"/>
  </r>
  <r>
    <n v="707"/>
    <s v="cliente70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1501829.246386525"/>
    <n v="80"/>
  </r>
  <r>
    <n v="708"/>
    <s v="cliente70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61929.93574980416"/>
    <n v="85"/>
  </r>
  <r>
    <n v="709"/>
    <s v="cliente709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0"/>
    <m/>
    <n v="0"/>
  </r>
  <r>
    <n v="710"/>
    <s v="cliente710"/>
    <x v="2"/>
    <x v="2"/>
    <n v="0"/>
    <n v="0"/>
    <x v="3"/>
    <n v="0"/>
    <n v="0"/>
    <n v="0"/>
    <n v="0"/>
    <n v="0"/>
    <n v="0"/>
    <n v="0"/>
    <n v="0"/>
    <n v="0"/>
    <n v="0"/>
    <n v="65"/>
    <n v="65"/>
    <n v="65"/>
    <n v="0"/>
    <n v="0"/>
    <m/>
    <n v="0"/>
  </r>
  <r>
    <n v="711"/>
    <s v="cliente711"/>
    <x v="2"/>
    <x v="2"/>
    <n v="0"/>
    <n v="0"/>
    <x v="3"/>
    <n v="0"/>
    <n v="0"/>
    <n v="0"/>
    <n v="0"/>
    <n v="0"/>
    <n v="0"/>
    <n v="0"/>
    <n v="0"/>
    <n v="0"/>
    <n v="0"/>
    <n v="83"/>
    <n v="80"/>
    <n v="80"/>
    <n v="70"/>
    <n v="73"/>
    <n v="382330.22101871949"/>
    <n v="73"/>
  </r>
  <r>
    <n v="712"/>
    <s v="cliente712"/>
    <x v="2"/>
    <x v="2"/>
    <n v="0"/>
    <n v="0"/>
    <x v="3"/>
    <n v="0"/>
    <n v="0"/>
    <n v="0"/>
    <n v="0"/>
    <n v="0"/>
    <n v="0"/>
    <n v="0"/>
    <n v="0"/>
    <n v="0"/>
    <n v="0"/>
    <n v="85"/>
    <n v="0"/>
    <n v="83"/>
    <n v="0"/>
    <n v="0"/>
    <m/>
    <n v="0"/>
  </r>
  <r>
    <n v="713"/>
    <s v="cliente713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0"/>
    <m/>
    <n v="0"/>
  </r>
  <r>
    <n v="714"/>
    <s v="cliente7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5"/>
    <s v="cliente715"/>
    <x v="2"/>
    <x v="2"/>
    <n v="0"/>
    <n v="0"/>
    <x v="3"/>
    <n v="0"/>
    <n v="0"/>
    <n v="0"/>
    <n v="0"/>
    <n v="0"/>
    <n v="0"/>
    <n v="0"/>
    <n v="0"/>
    <n v="0"/>
    <n v="0"/>
    <n v="85"/>
    <n v="80"/>
    <n v="0"/>
    <n v="0"/>
    <n v="0"/>
    <m/>
    <n v="0"/>
  </r>
  <r>
    <n v="716"/>
    <s v="cliente7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7"/>
    <s v="cliente717"/>
    <x v="2"/>
    <x v="2"/>
    <n v="0"/>
    <n v="0"/>
    <x v="3"/>
    <n v="0"/>
    <n v="0"/>
    <n v="0"/>
    <n v="0"/>
    <n v="0"/>
    <n v="0"/>
    <n v="0"/>
    <n v="0"/>
    <n v="0"/>
    <n v="0"/>
    <n v="85"/>
    <n v="0"/>
    <n v="80"/>
    <n v="0"/>
    <n v="0"/>
    <m/>
    <n v="0"/>
  </r>
  <r>
    <n v="718"/>
    <s v="cliente71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3"/>
    <n v="80"/>
    <n v="1961709.0788687069"/>
    <n v="83"/>
  </r>
  <r>
    <n v="719"/>
    <s v="cliente719"/>
    <x v="2"/>
    <x v="2"/>
    <n v="0"/>
    <n v="0"/>
    <x v="3"/>
    <n v="0"/>
    <n v="0"/>
    <n v="0"/>
    <n v="0"/>
    <n v="0"/>
    <n v="0"/>
    <n v="0"/>
    <n v="0"/>
    <n v="0"/>
    <n v="0"/>
    <n v="80"/>
    <n v="77"/>
    <n v="80"/>
    <n v="80"/>
    <n v="83"/>
    <n v="137922.83890712826"/>
    <n v="83"/>
  </r>
  <r>
    <n v="720"/>
    <s v="cliente720"/>
    <x v="2"/>
    <x v="2"/>
    <n v="0"/>
    <n v="0"/>
    <x v="3"/>
    <n v="0"/>
    <n v="0"/>
    <n v="0"/>
    <n v="0"/>
    <n v="0"/>
    <n v="0"/>
    <n v="0"/>
    <n v="0"/>
    <n v="0"/>
    <n v="0"/>
    <n v="83"/>
    <n v="0"/>
    <n v="85"/>
    <n v="0"/>
    <n v="0"/>
    <m/>
    <n v="0"/>
  </r>
  <r>
    <n v="721"/>
    <s v="cliente721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83791.7410677454"/>
    <n v="83"/>
  </r>
  <r>
    <n v="722"/>
    <s v="cliente72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0"/>
    <n v="0"/>
    <m/>
    <n v="0"/>
  </r>
  <r>
    <n v="723"/>
    <s v="cliente723"/>
    <x v="2"/>
    <x v="2"/>
    <n v="0"/>
    <n v="0"/>
    <x v="3"/>
    <n v="0"/>
    <n v="0"/>
    <n v="0"/>
    <n v="0"/>
    <n v="0"/>
    <n v="0"/>
    <n v="0"/>
    <n v="0"/>
    <n v="0"/>
    <n v="0"/>
    <n v="65"/>
    <n v="22"/>
    <n v="22"/>
    <n v="22"/>
    <n v="22"/>
    <n v="117077.42177020671"/>
    <n v="22"/>
  </r>
  <r>
    <n v="724"/>
    <s v="cliente72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0"/>
    <m/>
    <n v="0"/>
  </r>
  <r>
    <n v="725"/>
    <s v="cliente725"/>
    <x v="2"/>
    <x v="2"/>
    <n v="0"/>
    <n v="0"/>
    <x v="3"/>
    <n v="0"/>
    <n v="0"/>
    <n v="0"/>
    <n v="0"/>
    <n v="0"/>
    <n v="0"/>
    <n v="0"/>
    <n v="0"/>
    <n v="0"/>
    <n v="0"/>
    <n v="80"/>
    <n v="0"/>
    <n v="0"/>
    <n v="0"/>
    <n v="0"/>
    <m/>
    <n v="0"/>
  </r>
  <r>
    <n v="726"/>
    <s v="cliente72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367453.30755973741"/>
    <n v="85"/>
  </r>
  <r>
    <n v="727"/>
    <s v="cliente72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6780.7432337434"/>
    <n v="87"/>
  </r>
  <r>
    <n v="728"/>
    <s v="cliente728"/>
    <x v="2"/>
    <x v="2"/>
    <n v="0"/>
    <n v="0"/>
    <x v="3"/>
    <n v="0"/>
    <n v="0"/>
    <n v="0"/>
    <n v="0"/>
    <n v="0"/>
    <n v="0"/>
    <n v="0"/>
    <n v="0"/>
    <n v="0"/>
    <n v="0"/>
    <n v="87"/>
    <n v="83"/>
    <n v="80"/>
    <n v="0"/>
    <n v="83"/>
    <n v="331388.55150166317"/>
    <n v="70"/>
  </r>
  <r>
    <n v="729"/>
    <s v="cliente729"/>
    <x v="2"/>
    <x v="2"/>
    <n v="0"/>
    <n v="0"/>
    <x v="3"/>
    <n v="0"/>
    <n v="0"/>
    <n v="0"/>
    <n v="0"/>
    <n v="0"/>
    <n v="0"/>
    <n v="0"/>
    <n v="0"/>
    <n v="0"/>
    <n v="0"/>
    <n v="87"/>
    <n v="87"/>
    <n v="85"/>
    <n v="87"/>
    <n v="87"/>
    <n v="150756.73572075123"/>
    <n v="85"/>
  </r>
  <r>
    <n v="730"/>
    <s v="cliente730"/>
    <x v="2"/>
    <x v="2"/>
    <n v="0"/>
    <n v="0"/>
    <x v="3"/>
    <n v="0"/>
    <n v="0"/>
    <n v="0"/>
    <n v="0"/>
    <n v="0"/>
    <n v="0"/>
    <n v="0"/>
    <n v="0"/>
    <n v="0"/>
    <n v="0"/>
    <n v="85"/>
    <n v="83"/>
    <n v="80"/>
    <n v="80"/>
    <n v="77"/>
    <n v="251386.82089850339"/>
    <n v="77"/>
  </r>
  <r>
    <n v="731"/>
    <s v="cliente7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8613.19076277525"/>
    <n v="83"/>
  </r>
  <r>
    <n v="732"/>
    <s v="cliente732"/>
    <x v="2"/>
    <x v="2"/>
    <n v="0"/>
    <n v="0"/>
    <x v="3"/>
    <n v="0"/>
    <n v="0"/>
    <n v="0"/>
    <n v="0"/>
    <n v="0"/>
    <n v="0"/>
    <n v="0"/>
    <n v="0"/>
    <n v="0"/>
    <n v="0"/>
    <n v="85"/>
    <n v="73"/>
    <n v="73"/>
    <n v="73"/>
    <n v="73"/>
    <n v="156989.18341818638"/>
    <n v="73"/>
  </r>
  <r>
    <n v="733"/>
    <s v="cliente733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670133.19331780938"/>
    <n v="77"/>
  </r>
  <r>
    <n v="734"/>
    <s v="cliente734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3"/>
    <n v="0"/>
    <m/>
    <n v="0"/>
  </r>
  <r>
    <n v="735"/>
    <s v="cliente7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0966.67527810774"/>
    <n v="85"/>
  </r>
  <r>
    <n v="736"/>
    <s v="cliente736"/>
    <x v="2"/>
    <x v="2"/>
    <n v="0"/>
    <n v="0"/>
    <x v="3"/>
    <n v="0"/>
    <n v="0"/>
    <n v="0"/>
    <n v="0"/>
    <n v="0"/>
    <n v="0"/>
    <n v="0"/>
    <n v="0"/>
    <n v="0"/>
    <n v="0"/>
    <n v="87"/>
    <n v="87"/>
    <n v="90"/>
    <n v="90"/>
    <n v="90"/>
    <n v="339702.26898527367"/>
    <n v="90"/>
  </r>
  <r>
    <n v="737"/>
    <s v="cliente7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0"/>
    <m/>
    <n v="0"/>
  </r>
  <r>
    <n v="738"/>
    <s v="cliente738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282481.77220978955"/>
    <n v="83"/>
  </r>
  <r>
    <n v="739"/>
    <s v="cliente739"/>
    <x v="2"/>
    <x v="2"/>
    <n v="0"/>
    <n v="0"/>
    <x v="3"/>
    <n v="0"/>
    <n v="0"/>
    <n v="0"/>
    <n v="0"/>
    <n v="0"/>
    <n v="0"/>
    <n v="0"/>
    <n v="0"/>
    <n v="0"/>
    <n v="0"/>
    <n v="85"/>
    <n v="85"/>
    <n v="22"/>
    <n v="22"/>
    <n v="22"/>
    <n v="164096.62452631799"/>
    <n v="22"/>
  </r>
  <r>
    <n v="740"/>
    <s v="cliente740"/>
    <x v="2"/>
    <x v="2"/>
    <n v="0"/>
    <n v="0"/>
    <x v="3"/>
    <n v="0"/>
    <n v="0"/>
    <n v="0"/>
    <n v="0"/>
    <n v="0"/>
    <n v="0"/>
    <n v="0"/>
    <n v="0"/>
    <n v="0"/>
    <n v="0"/>
    <n v="80"/>
    <n v="80"/>
    <n v="0"/>
    <n v="80"/>
    <n v="75"/>
    <n v="846059.11709616578"/>
    <n v="85"/>
  </r>
  <r>
    <n v="741"/>
    <s v="cliente74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5"/>
    <n v="85"/>
    <n v="284935.44971643499"/>
    <n v="83"/>
  </r>
  <r>
    <n v="742"/>
    <s v="cliente742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45680.96876901051"/>
    <n v="70"/>
  </r>
  <r>
    <n v="743"/>
    <s v="cliente743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5"/>
    <n v="85"/>
    <n v="3861582.7872609161"/>
    <n v="85"/>
  </r>
  <r>
    <n v="744"/>
    <s v="cliente744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403775.28325177019"/>
    <n v="85"/>
  </r>
  <r>
    <n v="745"/>
    <s v="cliente745"/>
    <x v="2"/>
    <x v="2"/>
    <n v="0"/>
    <n v="0"/>
    <x v="3"/>
    <n v="0"/>
    <n v="0"/>
    <n v="0"/>
    <n v="0"/>
    <n v="0"/>
    <n v="0"/>
    <n v="0"/>
    <n v="0"/>
    <n v="0"/>
    <n v="0"/>
    <n v="85"/>
    <n v="85"/>
    <n v="80"/>
    <n v="0"/>
    <n v="0"/>
    <m/>
    <n v="0"/>
  </r>
  <r>
    <n v="746"/>
    <s v="cliente746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80"/>
    <n v="129958.42991098635"/>
    <n v="80"/>
  </r>
  <r>
    <n v="747"/>
    <s v="cliente74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748"/>
    <s v="cliente748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80"/>
    <n v="80"/>
    <n v="254670.06051177465"/>
    <n v="75"/>
  </r>
  <r>
    <n v="749"/>
    <s v="cliente74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5"/>
    <n v="244329.53729962095"/>
    <n v="83"/>
  </r>
  <r>
    <n v="750"/>
    <s v="cliente750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5"/>
    <n v="85"/>
    <n v="157139.06062526794"/>
    <n v="85"/>
  </r>
  <r>
    <n v="751"/>
    <s v="cliente751"/>
    <x v="2"/>
    <x v="2"/>
    <n v="0"/>
    <n v="0"/>
    <x v="3"/>
    <n v="0"/>
    <n v="0"/>
    <n v="0"/>
    <n v="0"/>
    <n v="0"/>
    <n v="0"/>
    <n v="0"/>
    <n v="0"/>
    <n v="0"/>
    <n v="0"/>
    <n v="80"/>
    <n v="77"/>
    <n v="77"/>
    <n v="75"/>
    <n v="77"/>
    <n v="253957.28047641952"/>
    <n v="77"/>
  </r>
  <r>
    <n v="752"/>
    <s v="cliente752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0"/>
    <n v="77"/>
    <n v="148156.23023111257"/>
    <n v="77"/>
  </r>
  <r>
    <n v="753"/>
    <s v="cliente753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5"/>
    <n v="77"/>
    <n v="212261.08771517684"/>
    <n v="77"/>
  </r>
  <r>
    <n v="754"/>
    <s v="cliente754"/>
    <x v="2"/>
    <x v="2"/>
    <n v="0"/>
    <n v="0"/>
    <x v="3"/>
    <n v="0"/>
    <n v="0"/>
    <n v="0"/>
    <n v="0"/>
    <n v="0"/>
    <n v="0"/>
    <n v="0"/>
    <n v="0"/>
    <n v="0"/>
    <n v="0"/>
    <n v="87"/>
    <n v="85"/>
    <n v="83"/>
    <n v="85"/>
    <n v="85"/>
    <n v="281297.08550275589"/>
    <n v="85"/>
  </r>
  <r>
    <n v="755"/>
    <s v="cliente755"/>
    <x v="2"/>
    <x v="2"/>
    <n v="0"/>
    <n v="0"/>
    <x v="3"/>
    <n v="0"/>
    <n v="0"/>
    <n v="0"/>
    <n v="0"/>
    <n v="0"/>
    <n v="0"/>
    <n v="0"/>
    <n v="0"/>
    <n v="0"/>
    <n v="0"/>
    <n v="80"/>
    <n v="77"/>
    <n v="75"/>
    <n v="73"/>
    <n v="73"/>
    <n v="326898.64785226219"/>
    <n v="73"/>
  </r>
  <r>
    <n v="756"/>
    <s v="cliente756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77"/>
    <n v="22"/>
    <n v="287521.37747874606"/>
    <n v="22"/>
  </r>
  <r>
    <n v="757"/>
    <s v="cliente757"/>
    <x v="2"/>
    <x v="2"/>
    <n v="0"/>
    <n v="0"/>
    <x v="3"/>
    <n v="0"/>
    <n v="0"/>
    <n v="0"/>
    <n v="0"/>
    <n v="0"/>
    <n v="0"/>
    <n v="0"/>
    <n v="0"/>
    <n v="0"/>
    <n v="0"/>
    <n v="90"/>
    <n v="87"/>
    <n v="0"/>
    <n v="0"/>
    <n v="87"/>
    <n v="275700.63958735415"/>
    <n v="85"/>
  </r>
  <r>
    <n v="758"/>
    <s v="cliente75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5"/>
    <n v="85"/>
    <n v="247108.58729532425"/>
    <n v="85"/>
  </r>
  <r>
    <n v="759"/>
    <s v="cliente759"/>
    <x v="2"/>
    <x v="2"/>
    <n v="0"/>
    <n v="0"/>
    <x v="3"/>
    <n v="0"/>
    <n v="0"/>
    <n v="0"/>
    <n v="0"/>
    <n v="0"/>
    <n v="0"/>
    <n v="0"/>
    <n v="0"/>
    <n v="0"/>
    <n v="0"/>
    <n v="80"/>
    <n v="83"/>
    <n v="0"/>
    <n v="0"/>
    <n v="0"/>
    <m/>
    <n v="0"/>
  </r>
  <r>
    <n v="760"/>
    <s v="cliente76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240724.2271047616"/>
    <n v="85"/>
  </r>
  <r>
    <n v="761"/>
    <s v="cliente76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17259.02042277403"/>
    <n v="87"/>
  </r>
  <r>
    <n v="762"/>
    <s v="cliente76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57116.87009267946"/>
    <n v="85"/>
  </r>
  <r>
    <n v="763"/>
    <s v="cliente76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535183.31058271485"/>
    <n v="83"/>
  </r>
  <r>
    <n v="764"/>
    <s v="cliente764"/>
    <x v="2"/>
    <x v="2"/>
    <n v="0"/>
    <n v="0"/>
    <x v="3"/>
    <n v="0"/>
    <n v="0"/>
    <n v="0"/>
    <n v="0"/>
    <n v="0"/>
    <n v="0"/>
    <n v="0"/>
    <n v="0"/>
    <n v="0"/>
    <n v="0"/>
    <n v="0"/>
    <n v="80"/>
    <n v="80"/>
    <n v="83"/>
    <n v="80"/>
    <n v="8410565.9120164644"/>
    <n v="77"/>
  </r>
  <r>
    <n v="765"/>
    <s v="cliente765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73"/>
    <n v="73"/>
    <n v="231155.29330730825"/>
    <n v="73"/>
  </r>
  <r>
    <n v="766"/>
    <s v="cliente766"/>
    <x v="2"/>
    <x v="2"/>
    <n v="0"/>
    <n v="0"/>
    <x v="3"/>
    <n v="0"/>
    <n v="0"/>
    <n v="0"/>
    <n v="0"/>
    <n v="0"/>
    <n v="0"/>
    <n v="0"/>
    <n v="0"/>
    <n v="0"/>
    <n v="0"/>
    <n v="0"/>
    <n v="85"/>
    <n v="87"/>
    <n v="87"/>
    <n v="87"/>
    <n v="438365.92514240526"/>
    <n v="87"/>
  </r>
  <r>
    <n v="767"/>
    <s v="cliente76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0"/>
    <m/>
    <n v="0"/>
  </r>
  <r>
    <n v="768"/>
    <s v="cliente768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69"/>
    <s v="cliente769"/>
    <x v="2"/>
    <x v="2"/>
    <n v="0"/>
    <n v="0"/>
    <x v="3"/>
    <n v="0"/>
    <n v="0"/>
    <n v="0"/>
    <n v="0"/>
    <n v="0"/>
    <n v="0"/>
    <n v="0"/>
    <n v="0"/>
    <n v="0"/>
    <n v="0"/>
    <n v="0"/>
    <n v="77"/>
    <n v="0"/>
    <n v="83"/>
    <n v="83"/>
    <n v="198322.23442255936"/>
    <n v="85"/>
  </r>
  <r>
    <n v="770"/>
    <s v="cliente77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042119.7208105171"/>
    <n v="83"/>
  </r>
  <r>
    <n v="771"/>
    <s v="cliente771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21622.58147722861"/>
    <n v="83"/>
  </r>
  <r>
    <n v="772"/>
    <s v="cliente772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73"/>
    <s v="cliente773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85"/>
    <n v="511237.07320081501"/>
    <n v="85"/>
  </r>
  <r>
    <n v="774"/>
    <s v="cliente774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5"/>
    <n v="254394.26599185177"/>
    <n v="85"/>
  </r>
  <r>
    <n v="775"/>
    <s v="cliente775"/>
    <x v="2"/>
    <x v="2"/>
    <n v="0"/>
    <n v="0"/>
    <x v="3"/>
    <n v="0"/>
    <n v="0"/>
    <n v="0"/>
    <n v="0"/>
    <n v="0"/>
    <n v="0"/>
    <n v="0"/>
    <n v="0"/>
    <n v="0"/>
    <n v="0"/>
    <n v="0"/>
    <n v="83"/>
    <n v="83"/>
    <n v="83"/>
    <n v="85"/>
    <n v="2034402.4642741005"/>
    <n v="83"/>
  </r>
  <r>
    <n v="776"/>
    <s v="cliente776"/>
    <x v="2"/>
    <x v="2"/>
    <n v="0"/>
    <n v="0"/>
    <x v="3"/>
    <n v="0"/>
    <n v="0"/>
    <n v="0"/>
    <n v="0"/>
    <n v="0"/>
    <n v="0"/>
    <n v="0"/>
    <n v="0"/>
    <n v="0"/>
    <n v="0"/>
    <n v="0"/>
    <n v="83"/>
    <n v="75"/>
    <n v="0"/>
    <n v="0"/>
    <m/>
    <n v="0"/>
  </r>
  <r>
    <n v="777"/>
    <s v="cliente77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82384.48772923485"/>
    <n v="85"/>
  </r>
  <r>
    <n v="778"/>
    <s v="cliente778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305943.41758559085"/>
    <n v="85"/>
  </r>
  <r>
    <n v="779"/>
    <s v="cliente779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18824.31094038603"/>
    <n v="83"/>
  </r>
  <r>
    <n v="780"/>
    <s v="cliente780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5"/>
    <n v="80"/>
    <n v="122071.68591168552"/>
    <n v="80"/>
  </r>
  <r>
    <n v="781"/>
    <s v="cliente781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7"/>
    <n v="108096.36688152059"/>
    <n v="87"/>
  </r>
  <r>
    <n v="782"/>
    <s v="cliente782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0"/>
    <m/>
    <n v="0"/>
  </r>
  <r>
    <n v="783"/>
    <s v="cliente783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3"/>
    <n v="297907.92405077902"/>
    <n v="77"/>
  </r>
  <r>
    <n v="784"/>
    <s v="cliente784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568.68705821547"/>
    <n v="87"/>
  </r>
  <r>
    <n v="785"/>
    <s v="cliente785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0"/>
    <n v="0"/>
    <m/>
    <n v="0"/>
  </r>
  <r>
    <n v="786"/>
    <s v="cliente786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3"/>
    <n v="83"/>
    <n v="841006.12533147924"/>
    <n v="83"/>
  </r>
  <r>
    <n v="787"/>
    <s v="cliente787"/>
    <x v="2"/>
    <x v="2"/>
    <n v="0"/>
    <n v="0"/>
    <x v="3"/>
    <n v="0"/>
    <n v="0"/>
    <n v="0"/>
    <n v="0"/>
    <n v="0"/>
    <n v="0"/>
    <n v="0"/>
    <n v="0"/>
    <n v="0"/>
    <n v="0"/>
    <n v="0"/>
    <n v="87"/>
    <n v="85"/>
    <n v="87"/>
    <n v="0"/>
    <m/>
    <n v="0"/>
  </r>
  <r>
    <n v="788"/>
    <s v="cliente788"/>
    <x v="2"/>
    <x v="2"/>
    <n v="0"/>
    <n v="0"/>
    <x v="3"/>
    <n v="0"/>
    <n v="0"/>
    <n v="0"/>
    <n v="0"/>
    <n v="0"/>
    <n v="0"/>
    <n v="0"/>
    <n v="0"/>
    <n v="0"/>
    <n v="0"/>
    <n v="0"/>
    <n v="80"/>
    <n v="83"/>
    <n v="83"/>
    <n v="83"/>
    <n v="188766.97969300565"/>
    <n v="83"/>
  </r>
  <r>
    <n v="789"/>
    <s v="cliente789"/>
    <x v="2"/>
    <x v="2"/>
    <n v="0"/>
    <n v="0"/>
    <x v="3"/>
    <n v="0"/>
    <n v="0"/>
    <n v="0"/>
    <n v="0"/>
    <n v="0"/>
    <n v="0"/>
    <n v="0"/>
    <n v="0"/>
    <n v="0"/>
    <n v="0"/>
    <n v="0"/>
    <n v="83"/>
    <n v="85"/>
    <n v="85"/>
    <n v="85"/>
    <n v="684377.903970454"/>
    <n v="85"/>
  </r>
  <r>
    <n v="790"/>
    <s v="cliente79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821315.56562346022"/>
    <n v="85"/>
  </r>
  <r>
    <n v="791"/>
    <s v="cliente791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729.37740273296"/>
    <n v="83"/>
  </r>
  <r>
    <n v="792"/>
    <s v="cliente792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141688.36046954271"/>
    <n v="85"/>
  </r>
  <r>
    <n v="793"/>
    <s v="cliente793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5"/>
    <n v="85"/>
    <n v="960182.50572998542"/>
    <n v="83"/>
  </r>
  <r>
    <n v="794"/>
    <s v="cliente794"/>
    <x v="2"/>
    <x v="2"/>
    <n v="0"/>
    <n v="0"/>
    <x v="3"/>
    <n v="0"/>
    <n v="0"/>
    <n v="0"/>
    <n v="0"/>
    <n v="0"/>
    <n v="0"/>
    <n v="0"/>
    <n v="0"/>
    <n v="0"/>
    <n v="0"/>
    <n v="0"/>
    <n v="0"/>
    <n v="77"/>
    <n v="77"/>
    <n v="77"/>
    <n v="180437.62183506083"/>
    <n v="77"/>
  </r>
  <r>
    <n v="795"/>
    <s v="cliente795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0"/>
    <n v="83"/>
    <n v="121748.86742391901"/>
    <n v="83"/>
  </r>
  <r>
    <n v="796"/>
    <s v="cliente796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77"/>
    <n v="648043.37063237489"/>
    <n v="77"/>
  </r>
  <r>
    <n v="797"/>
    <s v="cliente797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457985.27403578308"/>
    <n v="77"/>
  </r>
  <r>
    <n v="798"/>
    <s v="cliente798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261973.35068796473"/>
    <n v="77"/>
  </r>
  <r>
    <n v="799"/>
    <s v="cliente799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0769.2043750071"/>
    <n v="80"/>
  </r>
  <r>
    <n v="800"/>
    <s v="cliente80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326368.79790635512"/>
    <n v="87"/>
  </r>
  <r>
    <n v="801"/>
    <s v="cliente801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7"/>
    <n v="85"/>
    <n v="445754.62476010114"/>
    <n v="73"/>
  </r>
  <r>
    <n v="802"/>
    <s v="cliente802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149860.96157744181"/>
    <n v="85"/>
  </r>
  <r>
    <n v="803"/>
    <s v="cliente803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5"/>
    <n v="116199.1879219674"/>
    <n v="87"/>
  </r>
  <r>
    <n v="804"/>
    <s v="cliente804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7993.8838409505"/>
    <n v="83"/>
  </r>
  <r>
    <n v="805"/>
    <s v="cliente805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5"/>
    <n v="530491.33557975327"/>
    <n v="80"/>
  </r>
  <r>
    <n v="806"/>
    <s v="cliente806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352466.6941925734"/>
    <n v="83"/>
  </r>
  <r>
    <n v="807"/>
    <s v="cliente807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3"/>
    <n v="83"/>
    <n v="292675.65346847277"/>
    <n v="83"/>
  </r>
  <r>
    <n v="808"/>
    <s v="cliente808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252932.32653306751"/>
    <n v="85"/>
  </r>
  <r>
    <n v="809"/>
    <s v="cliente809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40288.01292172735"/>
    <n v="80"/>
  </r>
  <r>
    <n v="810"/>
    <s v="cliente810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80"/>
    <n v="992689.92803475657"/>
    <n v="80"/>
  </r>
  <r>
    <n v="811"/>
    <s v="cliente811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48527.58316266787"/>
    <n v="73"/>
  </r>
  <r>
    <n v="812"/>
    <s v="cliente812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12007.93692459261"/>
    <n v="83"/>
  </r>
  <r>
    <n v="813"/>
    <s v="cliente813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0"/>
    <n v="0"/>
    <m/>
    <n v="0"/>
  </r>
  <r>
    <n v="814"/>
    <s v="cliente8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17014.52123774895"/>
    <n v="83"/>
  </r>
  <r>
    <n v="815"/>
    <s v="cliente8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687562.39442194905"/>
    <n v="87"/>
  </r>
  <r>
    <n v="816"/>
    <s v="cliente8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9976907.9483182952"/>
    <n v="80"/>
  </r>
  <r>
    <n v="817"/>
    <s v="cliente8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18"/>
    <s v="cliente8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130460.37251102962"/>
    <n v="85"/>
  </r>
  <r>
    <n v="819"/>
    <s v="cliente8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73770.29222432332"/>
    <n v="85"/>
  </r>
  <r>
    <n v="820"/>
    <s v="cliente8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10046.28264069486"/>
    <n v="85"/>
  </r>
  <r>
    <n v="821"/>
    <s v="cliente8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125272.5443764704"/>
    <n v="87"/>
  </r>
  <r>
    <n v="822"/>
    <s v="cliente8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23"/>
    <s v="cliente8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80"/>
    <n v="263728.03146354243"/>
    <n v="77"/>
  </r>
  <r>
    <n v="824"/>
    <s v="cliente8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802360.7549392111"/>
    <n v="85"/>
  </r>
  <r>
    <n v="825"/>
    <s v="cliente8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5"/>
    <n v="473399.00837007852"/>
    <n v="85"/>
  </r>
  <r>
    <n v="826"/>
    <s v="cliente8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0"/>
    <m/>
    <n v="0"/>
  </r>
  <r>
    <n v="827"/>
    <s v="cliente8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67076.47445462181"/>
    <n v="83"/>
  </r>
  <r>
    <n v="828"/>
    <s v="cliente8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3"/>
    <n v="129512.54043040622"/>
    <n v="83"/>
  </r>
  <r>
    <n v="829"/>
    <s v="cliente8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0"/>
    <n v="185805.47212038565"/>
    <n v="77"/>
  </r>
  <r>
    <n v="830"/>
    <s v="cliente8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23936.4775899216"/>
    <n v="73"/>
  </r>
  <r>
    <n v="831"/>
    <s v="cliente8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27024.38436230199"/>
    <n v="83"/>
  </r>
  <r>
    <n v="832"/>
    <s v="cliente8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33"/>
    <s v="cliente8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77"/>
    <n v="428211.51641021878"/>
    <n v="80"/>
  </r>
  <r>
    <n v="834"/>
    <s v="cliente8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49119.52762792056"/>
    <n v="87"/>
  </r>
  <r>
    <n v="835"/>
    <s v="cliente8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52738.59250446287"/>
    <n v="85"/>
  </r>
  <r>
    <n v="836"/>
    <s v="cliente8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3"/>
    <n v="116351.93529717707"/>
    <n v="83"/>
  </r>
  <r>
    <n v="837"/>
    <s v="cliente8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6592.48993394032"/>
    <n v="83"/>
  </r>
  <r>
    <n v="838"/>
    <s v="cliente8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7849.29847293596"/>
    <n v="83"/>
  </r>
  <r>
    <n v="839"/>
    <s v="cliente8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389498.84172410012"/>
    <n v="85"/>
  </r>
  <r>
    <n v="840"/>
    <s v="cliente8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794776.91652700445"/>
    <n v="85"/>
  </r>
  <r>
    <n v="841"/>
    <s v="cliente8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590929.62763628806"/>
    <n v="85"/>
  </r>
  <r>
    <n v="842"/>
    <s v="cliente8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1455.21216584436"/>
    <n v="87"/>
  </r>
  <r>
    <n v="843"/>
    <s v="cliente8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18710.19607293297"/>
    <n v="85"/>
  </r>
  <r>
    <n v="844"/>
    <s v="cliente8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3483.88959239621"/>
    <n v="73"/>
  </r>
  <r>
    <n v="845"/>
    <s v="cliente8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175255.736403344"/>
    <n v="85"/>
  </r>
  <r>
    <n v="846"/>
    <s v="cliente8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92886.7967921948"/>
    <n v="87"/>
  </r>
  <r>
    <n v="847"/>
    <s v="cliente8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6830.2767877584"/>
    <n v="85"/>
  </r>
  <r>
    <n v="848"/>
    <s v="cliente8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143876.32681139116"/>
    <n v="83"/>
  </r>
  <r>
    <n v="849"/>
    <s v="cliente8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0"/>
    <s v="cliente8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318125.83654752752"/>
    <n v="80"/>
  </r>
  <r>
    <n v="851"/>
    <s v="cliente8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355492.12283276266"/>
    <n v="87"/>
  </r>
  <r>
    <n v="852"/>
    <s v="cliente8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25711.40392601579"/>
    <n v="83"/>
  </r>
  <r>
    <n v="853"/>
    <s v="cliente8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73380.25505688234"/>
    <n v="83"/>
  </r>
  <r>
    <n v="854"/>
    <s v="cliente8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20312.00026370742"/>
    <n v="85"/>
  </r>
  <r>
    <n v="855"/>
    <s v="cliente8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8531.56973089748"/>
    <n v="80"/>
  </r>
  <r>
    <n v="856"/>
    <s v="cliente8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03599.49213282959"/>
    <n v="85"/>
  </r>
  <r>
    <n v="857"/>
    <s v="cliente8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422170.70941182959"/>
    <n v="80"/>
  </r>
  <r>
    <n v="858"/>
    <s v="cliente8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38106.9789653995"/>
    <n v="85"/>
  </r>
  <r>
    <n v="859"/>
    <s v="cliente8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3"/>
    <n v="374182.08411485929"/>
    <n v="77"/>
  </r>
  <r>
    <n v="860"/>
    <s v="cliente8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7"/>
    <n v="113298.30021249058"/>
    <n v="80"/>
  </r>
  <r>
    <n v="861"/>
    <s v="cliente8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2"/>
    <s v="cliente8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3"/>
    <s v="cliente8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4"/>
    <s v="cliente8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5"/>
    <s v="cliente8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6"/>
    <s v="cliente8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7"/>
    <s v="cliente8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8"/>
    <s v="cliente8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9"/>
    <s v="cliente8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0"/>
    <s v="cliente8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1"/>
    <s v="cliente8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2"/>
    <s v="cliente8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3"/>
    <s v="cliente8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4"/>
    <s v="cliente8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5"/>
    <s v="cliente8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6"/>
    <s v="cliente8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7"/>
    <s v="cliente8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8"/>
    <s v="cliente8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9"/>
    <s v="cliente879"/>
    <x v="2"/>
    <x v="2"/>
    <n v="73"/>
    <n v="73"/>
    <x v="0"/>
    <n v="77"/>
    <n v="80"/>
    <n v="83"/>
    <n v="83"/>
    <n v="83"/>
    <n v="83"/>
    <n v="85"/>
    <n v="83"/>
    <n v="85"/>
    <n v="83"/>
    <n v="85"/>
    <n v="85"/>
    <n v="85"/>
    <n v="85"/>
    <n v="83"/>
    <n v="158105.18315196745"/>
    <n v="83"/>
  </r>
  <r>
    <n v="880"/>
    <s v="cliente880"/>
    <x v="2"/>
    <x v="2"/>
    <n v="73"/>
    <n v="73"/>
    <x v="5"/>
    <n v="80"/>
    <n v="77"/>
    <n v="77"/>
    <n v="80"/>
    <n v="80"/>
    <n v="80"/>
    <n v="77"/>
    <n v="80"/>
    <n v="80"/>
    <n v="80"/>
    <n v="80"/>
    <n v="80"/>
    <n v="75"/>
    <n v="80"/>
    <n v="77"/>
    <n v="345952.60520431603"/>
    <n v="83"/>
  </r>
  <r>
    <n v="881"/>
    <s v="cliente881"/>
    <x v="2"/>
    <x v="2"/>
    <n v="0"/>
    <n v="0"/>
    <x v="3"/>
    <n v="0"/>
    <n v="0"/>
    <n v="0"/>
    <n v="0"/>
    <n v="0"/>
    <n v="80"/>
    <n v="0"/>
    <n v="83"/>
    <n v="80"/>
    <n v="77"/>
    <n v="77"/>
    <n v="80"/>
    <n v="80"/>
    <n v="0"/>
    <n v="0"/>
    <m/>
    <n v="0"/>
  </r>
  <r>
    <n v="882"/>
    <s v="cliente882"/>
    <x v="0"/>
    <x v="11"/>
    <n v="83"/>
    <n v="83"/>
    <x v="4"/>
    <n v="85"/>
    <n v="83"/>
    <n v="83"/>
    <n v="85"/>
    <n v="85"/>
    <n v="70"/>
    <n v="75"/>
    <n v="60"/>
    <n v="22"/>
    <n v="22"/>
    <n v="22"/>
    <n v="22"/>
    <n v="22"/>
    <n v="22"/>
    <n v="22"/>
    <n v="7832391.9835743932"/>
    <n v="22"/>
  </r>
  <r>
    <n v="883"/>
    <s v="cliente883"/>
    <x v="2"/>
    <x v="2"/>
    <n v="0"/>
    <n v="0"/>
    <x v="3"/>
    <n v="0"/>
    <n v="0"/>
    <n v="77"/>
    <n v="85"/>
    <n v="83"/>
    <n v="80"/>
    <n v="83"/>
    <n v="85"/>
    <n v="83"/>
    <n v="85"/>
    <n v="83"/>
    <n v="83"/>
    <n v="83"/>
    <n v="83"/>
    <n v="83"/>
    <n v="177186.77966010291"/>
    <n v="85"/>
  </r>
  <r>
    <n v="884"/>
    <s v="cliente884"/>
    <x v="6"/>
    <x v="7"/>
    <n v="80"/>
    <n v="80"/>
    <x v="5"/>
    <n v="73"/>
    <n v="73"/>
    <n v="73"/>
    <n v="73"/>
    <n v="73"/>
    <n v="73"/>
    <n v="73"/>
    <n v="75"/>
    <n v="75"/>
    <n v="77"/>
    <n v="77"/>
    <n v="77"/>
    <n v="75"/>
    <n v="75"/>
    <n v="75"/>
    <n v="120421.74101358032"/>
    <n v="75"/>
  </r>
  <r>
    <n v="885"/>
    <s v="cliente885"/>
    <x v="2"/>
    <x v="2"/>
    <n v="0"/>
    <n v="0"/>
    <x v="3"/>
    <n v="0"/>
    <n v="0"/>
    <n v="0"/>
    <n v="85"/>
    <n v="83"/>
    <n v="83"/>
    <n v="80"/>
    <n v="83"/>
    <n v="83"/>
    <n v="77"/>
    <n v="77"/>
    <n v="80"/>
    <n v="77"/>
    <n v="80"/>
    <n v="80"/>
    <n v="150103.30344570099"/>
    <n v="73"/>
  </r>
  <r>
    <n v="886"/>
    <s v="cliente886"/>
    <x v="4"/>
    <x v="7"/>
    <n v="80"/>
    <n v="80"/>
    <x v="8"/>
    <n v="83"/>
    <n v="83"/>
    <n v="83"/>
    <n v="83"/>
    <n v="83"/>
    <n v="83"/>
    <n v="85"/>
    <n v="83"/>
    <n v="85"/>
    <n v="83"/>
    <n v="85"/>
    <n v="85"/>
    <n v="85"/>
    <n v="83"/>
    <n v="75"/>
    <n v="2100731.8418637854"/>
    <n v="77"/>
  </r>
  <r>
    <n v="887"/>
    <s v="cliente887"/>
    <x v="4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88"/>
    <s v="cliente888"/>
    <x v="2"/>
    <x v="2"/>
    <n v="0"/>
    <n v="0"/>
    <x v="3"/>
    <n v="0"/>
    <n v="0"/>
    <n v="83"/>
    <n v="80"/>
    <n v="77"/>
    <n v="83"/>
    <n v="80"/>
    <n v="80"/>
    <n v="83"/>
    <n v="80"/>
    <n v="83"/>
    <n v="80"/>
    <n v="77"/>
    <n v="77"/>
    <n v="83"/>
    <n v="110909.08378264075"/>
    <n v="83"/>
  </r>
  <r>
    <n v="889"/>
    <s v="cliente889"/>
    <x v="2"/>
    <x v="2"/>
    <n v="0"/>
    <n v="0"/>
    <x v="3"/>
    <n v="0"/>
    <n v="77"/>
    <n v="75"/>
    <n v="75"/>
    <n v="83"/>
    <n v="83"/>
    <n v="75"/>
    <n v="77"/>
    <n v="77"/>
    <n v="85"/>
    <n v="87"/>
    <n v="0"/>
    <n v="0"/>
    <n v="0"/>
    <n v="0"/>
    <m/>
    <n v="0"/>
  </r>
  <r>
    <n v="890"/>
    <s v="cliente8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1"/>
    <s v="cliente8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2"/>
    <s v="cliente8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3"/>
    <s v="cliente8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4"/>
    <s v="cliente8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5"/>
    <s v="cliente8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6"/>
    <s v="cliente8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7"/>
    <s v="cliente8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8"/>
    <s v="cliente8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9"/>
    <s v="cliente8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0"/>
    <s v="cliente9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1"/>
    <s v="cliente9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2"/>
    <s v="cliente9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3"/>
    <s v="cliente9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4"/>
    <s v="cliente9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5"/>
    <s v="cliente9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6"/>
    <s v="cliente9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7"/>
    <s v="cliente9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8"/>
    <s v="cliente9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9"/>
    <s v="cliente9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0"/>
    <s v="cliente9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1"/>
    <s v="cliente9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2"/>
    <s v="cliente9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3"/>
    <s v="cliente9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4"/>
    <s v="cliente9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5"/>
    <s v="cliente9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6"/>
    <s v="cliente9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7"/>
    <s v="cliente9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8"/>
    <s v="cliente9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9"/>
    <s v="cliente9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0"/>
    <s v="cliente9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1"/>
    <s v="cliente9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2"/>
    <s v="cliente9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3"/>
    <s v="cliente9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4"/>
    <s v="cliente9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5"/>
    <s v="cliente9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6"/>
    <s v="cliente9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7"/>
    <s v="cliente9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8"/>
    <s v="cliente9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9"/>
    <s v="cliente9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0"/>
    <s v="cliente9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1"/>
    <s v="cliente9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2"/>
    <s v="cliente9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3"/>
    <s v="cliente9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4"/>
    <s v="cliente9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5"/>
    <s v="cliente9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6"/>
    <s v="cliente9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7"/>
    <s v="cliente9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8"/>
    <s v="cliente9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9"/>
    <s v="cliente9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0"/>
    <s v="cliente9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1"/>
    <s v="cliente9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2"/>
    <s v="cliente9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3"/>
    <s v="cliente9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4"/>
    <s v="cliente9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5"/>
    <s v="cliente9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6"/>
    <s v="cliente9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7"/>
    <s v="cliente9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8"/>
    <s v="cliente9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9"/>
    <s v="cliente9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0"/>
    <s v="cliente9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1"/>
    <s v="cliente9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2"/>
    <s v="cliente9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3"/>
    <s v="cliente9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4"/>
    <s v="cliente9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5"/>
    <s v="cliente9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6"/>
    <s v="cliente9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7"/>
    <s v="cliente9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8"/>
    <s v="cliente9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9"/>
    <s v="cliente9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0"/>
    <s v="cliente9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1"/>
    <s v="cliente9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2"/>
    <s v="cliente9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3"/>
    <s v="cliente9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4"/>
    <s v="cliente9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5"/>
    <s v="cliente9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6"/>
    <s v="cliente9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7"/>
    <s v="cliente9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8"/>
    <s v="cliente9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9"/>
    <s v="cliente9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0"/>
    <s v="cliente9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1"/>
    <s v="cliente9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2"/>
    <s v="cliente9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3"/>
    <s v="cliente9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4"/>
    <s v="cliente9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5"/>
    <s v="cliente9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6"/>
    <s v="cliente9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7"/>
    <s v="cliente9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8"/>
    <s v="cliente9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9"/>
    <s v="cliente9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0"/>
    <s v="cliente9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1"/>
    <s v="cliente9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2"/>
    <s v="cliente9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3"/>
    <s v="cliente9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4"/>
    <s v="cliente9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5"/>
    <s v="cliente9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6"/>
    <s v="cliente9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7"/>
    <s v="cliente9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8"/>
    <s v="cliente9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9"/>
    <s v="cliente9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0"/>
    <s v="cliente9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1"/>
    <s v="cliente9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2"/>
    <s v="cliente9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3"/>
    <s v="cliente9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4"/>
    <s v="cliente9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5"/>
    <s v="cliente9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6"/>
    <s v="cliente9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7"/>
    <s v="cliente9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8"/>
    <s v="cliente9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9"/>
    <s v="cliente9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0"/>
    <s v="cliente10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1"/>
    <s v="cliente10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2"/>
    <s v="cliente10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3"/>
    <s v="cliente10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4"/>
    <s v="cliente10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5"/>
    <s v="cliente10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6"/>
    <s v="cliente10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7"/>
    <s v="cliente10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8"/>
    <s v="cliente10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9"/>
    <s v="cliente10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0"/>
    <s v="cliente10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1"/>
    <s v="cliente10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2"/>
    <s v="cliente10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3"/>
    <s v="cliente10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4"/>
    <s v="cliente10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5"/>
    <s v="cliente10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6"/>
    <s v="cliente10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7"/>
    <s v="cliente1017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19450.82890315991"/>
    <n v="87"/>
  </r>
  <r>
    <n v="1018"/>
    <s v="cliente1018"/>
    <x v="2"/>
    <x v="2"/>
    <n v="0"/>
    <n v="0"/>
    <x v="3"/>
    <n v="0"/>
    <n v="0"/>
    <n v="0"/>
    <n v="0"/>
    <n v="83"/>
    <n v="85"/>
    <n v="83"/>
    <n v="83"/>
    <n v="80"/>
    <n v="83"/>
    <n v="83"/>
    <n v="83"/>
    <n v="83"/>
    <n v="85"/>
    <n v="85"/>
    <n v="321949.43454865244"/>
    <n v="85"/>
  </r>
  <r>
    <n v="1019"/>
    <s v="cliente1019"/>
    <x v="2"/>
    <x v="2"/>
    <n v="0"/>
    <n v="0"/>
    <x v="3"/>
    <n v="0"/>
    <n v="0"/>
    <n v="0"/>
    <n v="0"/>
    <n v="0"/>
    <n v="0"/>
    <n v="80"/>
    <n v="83"/>
    <n v="83"/>
    <n v="0"/>
    <n v="85"/>
    <n v="85"/>
    <n v="85"/>
    <n v="85"/>
    <n v="83"/>
    <n v="107894.70320317696"/>
    <n v="83"/>
  </r>
  <r>
    <n v="1020"/>
    <s v="cliente1020"/>
    <x v="2"/>
    <x v="2"/>
    <n v="0"/>
    <n v="0"/>
    <x v="3"/>
    <n v="0"/>
    <n v="83"/>
    <n v="80"/>
    <n v="0"/>
    <n v="0"/>
    <n v="0"/>
    <n v="0"/>
    <n v="0"/>
    <n v="0"/>
    <n v="85"/>
    <n v="83"/>
    <n v="85"/>
    <n v="85"/>
    <n v="80"/>
    <n v="80"/>
    <n v="463291.90209294826"/>
    <n v="83"/>
  </r>
  <r>
    <n v="1021"/>
    <s v="cliente1021"/>
    <x v="2"/>
    <x v="2"/>
    <n v="0"/>
    <n v="0"/>
    <x v="3"/>
    <n v="0"/>
    <n v="0"/>
    <n v="0"/>
    <n v="0"/>
    <n v="0"/>
    <n v="87"/>
    <n v="87"/>
    <n v="90"/>
    <n v="85"/>
    <n v="87"/>
    <n v="87"/>
    <n v="87"/>
    <n v="85"/>
    <n v="87"/>
    <n v="87"/>
    <n v="143788.61639860622"/>
    <n v="85"/>
  </r>
  <r>
    <n v="1022"/>
    <s v="cliente10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3"/>
    <s v="cliente1023"/>
    <x v="2"/>
    <x v="2"/>
    <n v="0"/>
    <n v="0"/>
    <x v="3"/>
    <n v="83"/>
    <n v="83"/>
    <n v="83"/>
    <n v="83"/>
    <n v="80"/>
    <n v="80"/>
    <n v="83"/>
    <n v="0"/>
    <n v="0"/>
    <n v="0"/>
    <n v="83"/>
    <n v="83"/>
    <n v="83"/>
    <n v="83"/>
    <n v="83"/>
    <n v="112034.50966118748"/>
    <n v="83"/>
  </r>
  <r>
    <n v="1024"/>
    <s v="cliente1024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3"/>
    <n v="85"/>
    <n v="119428.71080020462"/>
    <n v="87"/>
  </r>
  <r>
    <n v="1025"/>
    <s v="cliente10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6"/>
    <s v="cliente1026"/>
    <x v="0"/>
    <x v="4"/>
    <n v="85"/>
    <n v="85"/>
    <x v="9"/>
    <n v="87"/>
    <n v="80"/>
    <n v="87"/>
    <n v="85"/>
    <n v="80"/>
    <n v="85"/>
    <n v="83"/>
    <n v="83"/>
    <n v="80"/>
    <n v="77"/>
    <n v="83"/>
    <n v="85"/>
    <n v="85"/>
    <n v="85"/>
    <n v="85"/>
    <n v="119945.43493030228"/>
    <n v="83"/>
  </r>
  <r>
    <n v="1027"/>
    <s v="cliente1027"/>
    <x v="0"/>
    <x v="0"/>
    <n v="80"/>
    <n v="80"/>
    <x v="5"/>
    <n v="85"/>
    <n v="83"/>
    <n v="75"/>
    <n v="75"/>
    <n v="70"/>
    <n v="70"/>
    <n v="60"/>
    <n v="70"/>
    <n v="73"/>
    <n v="70"/>
    <n v="80"/>
    <n v="77"/>
    <n v="77"/>
    <n v="75"/>
    <n v="77"/>
    <n v="197398.48153162136"/>
    <n v="83"/>
  </r>
  <r>
    <n v="1028"/>
    <s v="cliente1028"/>
    <x v="11"/>
    <x v="2"/>
    <n v="85"/>
    <n v="85"/>
    <x v="6"/>
    <n v="85"/>
    <n v="83"/>
    <n v="85"/>
    <n v="87"/>
    <n v="85"/>
    <n v="83"/>
    <n v="83"/>
    <n v="83"/>
    <n v="80"/>
    <n v="80"/>
    <n v="85"/>
    <n v="85"/>
    <n v="85"/>
    <n v="85"/>
    <n v="85"/>
    <n v="135728.36877802198"/>
    <n v="87"/>
  </r>
  <r>
    <n v="1029"/>
    <s v="cliente1029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53435.45418125263"/>
    <n v="83"/>
  </r>
  <r>
    <n v="1030"/>
    <s v="cliente1030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26809.8423074067"/>
    <n v="83"/>
  </r>
  <r>
    <n v="1031"/>
    <s v="cliente10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794298.9144430497"/>
    <n v="85"/>
  </r>
  <r>
    <n v="1032"/>
    <s v="cliente103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42094.99303467761"/>
    <n v="85"/>
  </r>
  <r>
    <n v="1033"/>
    <s v="cliente103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3419.48045382841"/>
    <n v="85"/>
  </r>
  <r>
    <n v="1034"/>
    <s v="cliente103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93378.88540198328"/>
    <n v="85"/>
  </r>
  <r>
    <n v="1035"/>
    <s v="cliente10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56985.17654444376"/>
    <n v="87"/>
  </r>
  <r>
    <n v="1036"/>
    <s v="cliente1036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100116.493970979"/>
    <n v="85"/>
  </r>
  <r>
    <n v="1037"/>
    <s v="cliente10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691245.59528985131"/>
    <n v="83"/>
  </r>
  <r>
    <n v="1038"/>
    <s v="cliente103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00543.04564966654"/>
    <n v="83"/>
  </r>
  <r>
    <n v="1039"/>
    <s v="cliente1039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20599.6944582407"/>
    <n v="83"/>
  </r>
  <r>
    <n v="1040"/>
    <s v="cliente10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66755.80695639396"/>
    <n v="85"/>
  </r>
  <r>
    <n v="1041"/>
    <s v="cliente10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2"/>
    <s v="cliente104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870862.35014208418"/>
    <n v="85"/>
  </r>
  <r>
    <n v="1043"/>
    <s v="cliente1043"/>
    <x v="0"/>
    <x v="11"/>
    <n v="80"/>
    <n v="80"/>
    <x v="4"/>
    <n v="83"/>
    <n v="85"/>
    <n v="85"/>
    <n v="0"/>
    <n v="0"/>
    <n v="0"/>
    <n v="0"/>
    <n v="0"/>
    <n v="0"/>
    <n v="0"/>
    <n v="0"/>
    <n v="0"/>
    <n v="0"/>
    <n v="0"/>
    <n v="0"/>
    <m/>
    <n v="0"/>
  </r>
  <r>
    <n v="1044"/>
    <s v="cliente1044"/>
    <x v="6"/>
    <x v="4"/>
    <n v="0"/>
    <n v="85"/>
    <x v="6"/>
    <n v="85"/>
    <n v="85"/>
    <n v="87"/>
    <n v="87"/>
    <n v="85"/>
    <n v="87"/>
    <n v="85"/>
    <n v="87"/>
    <n v="87"/>
    <n v="87"/>
    <n v="85"/>
    <n v="87"/>
    <n v="90"/>
    <n v="87"/>
    <n v="87"/>
    <n v="114098.66456342922"/>
    <n v="87"/>
  </r>
  <r>
    <n v="1045"/>
    <s v="cliente1045"/>
    <x v="2"/>
    <x v="2"/>
    <n v="0"/>
    <n v="0"/>
    <x v="3"/>
    <n v="0"/>
    <n v="0"/>
    <n v="80"/>
    <n v="85"/>
    <n v="83"/>
    <n v="83"/>
    <n v="83"/>
    <n v="83"/>
    <n v="83"/>
    <n v="83"/>
    <n v="80"/>
    <n v="80"/>
    <n v="80"/>
    <n v="80"/>
    <n v="80"/>
    <n v="133062.51784996068"/>
    <n v="80"/>
  </r>
  <r>
    <n v="1046"/>
    <s v="cliente1046"/>
    <x v="2"/>
    <x v="2"/>
    <n v="0"/>
    <n v="0"/>
    <x v="3"/>
    <n v="0"/>
    <n v="85"/>
    <n v="83"/>
    <n v="73"/>
    <n v="75"/>
    <n v="75"/>
    <n v="80"/>
    <n v="77"/>
    <n v="83"/>
    <n v="80"/>
    <n v="80"/>
    <n v="77"/>
    <n v="75"/>
    <n v="73"/>
    <n v="73"/>
    <n v="490461.16726755002"/>
    <n v="77"/>
  </r>
  <r>
    <n v="1047"/>
    <s v="cliente1047"/>
    <x v="2"/>
    <x v="2"/>
    <n v="0"/>
    <n v="0"/>
    <x v="3"/>
    <n v="0"/>
    <n v="83"/>
    <n v="83"/>
    <n v="73"/>
    <n v="75"/>
    <n v="75"/>
    <n v="77"/>
    <n v="77"/>
    <n v="80"/>
    <n v="80"/>
    <n v="80"/>
    <n v="77"/>
    <n v="75"/>
    <n v="73"/>
    <n v="73"/>
    <n v="205305.75638887906"/>
    <n v="77"/>
  </r>
  <r>
    <n v="1048"/>
    <s v="cliente1048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23540.49568125373"/>
    <n v="75"/>
  </r>
  <r>
    <n v="1049"/>
    <s v="cliente1049"/>
    <x v="2"/>
    <x v="2"/>
    <n v="0"/>
    <n v="0"/>
    <x v="3"/>
    <n v="83"/>
    <n v="85"/>
    <n v="83"/>
    <n v="80"/>
    <n v="83"/>
    <n v="80"/>
    <n v="77"/>
    <n v="80"/>
    <n v="80"/>
    <n v="80"/>
    <n v="83"/>
    <n v="83"/>
    <n v="80"/>
    <n v="80"/>
    <n v="80"/>
    <n v="200363.75021732657"/>
    <n v="83"/>
  </r>
  <r>
    <n v="1050"/>
    <s v="cliente105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2043830.1550712578"/>
    <n v="87"/>
  </r>
  <r>
    <n v="1051"/>
    <s v="cliente1051"/>
    <x v="2"/>
    <x v="2"/>
    <n v="0"/>
    <n v="0"/>
    <x v="3"/>
    <n v="0"/>
    <n v="0"/>
    <n v="0"/>
    <n v="0"/>
    <n v="0"/>
    <n v="0"/>
    <n v="0"/>
    <n v="0"/>
    <n v="0"/>
    <n v="0"/>
    <n v="0"/>
    <n v="90"/>
    <n v="90"/>
    <n v="90"/>
    <n v="90"/>
    <n v="435568.74059459468"/>
    <n v="90"/>
  </r>
  <r>
    <n v="1052"/>
    <s v="cliente10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3"/>
    <s v="cliente105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77"/>
    <n v="260653.02566221671"/>
    <n v="77"/>
  </r>
  <r>
    <n v="1054"/>
    <s v="cliente10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5"/>
    <s v="cliente10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6"/>
    <s v="cliente1056"/>
    <x v="2"/>
    <x v="2"/>
    <n v="77"/>
    <n v="77"/>
    <x v="5"/>
    <n v="73"/>
    <n v="80"/>
    <n v="77"/>
    <n v="80"/>
    <n v="80"/>
    <n v="77"/>
    <n v="77"/>
    <n v="0"/>
    <n v="0"/>
    <n v="77"/>
    <n v="80"/>
    <n v="83"/>
    <n v="0"/>
    <n v="0"/>
    <n v="87"/>
    <n v="185222.14844826132"/>
    <n v="73"/>
  </r>
  <r>
    <n v="1057"/>
    <s v="cliente1057"/>
    <x v="2"/>
    <x v="2"/>
    <n v="0"/>
    <n v="0"/>
    <x v="3"/>
    <n v="0"/>
    <n v="0"/>
    <n v="85"/>
    <n v="85"/>
    <n v="87"/>
    <n v="85"/>
    <n v="85"/>
    <n v="85"/>
    <n v="87"/>
    <n v="87"/>
    <n v="87"/>
    <n v="87"/>
    <n v="87"/>
    <n v="87"/>
    <n v="87"/>
    <n v="176872.16389045285"/>
    <n v="87"/>
  </r>
  <r>
    <n v="1058"/>
    <s v="cliente10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227590.71841668003"/>
    <n v="87"/>
  </r>
  <r>
    <n v="1059"/>
    <s v="cliente1059"/>
    <x v="2"/>
    <x v="2"/>
    <n v="0"/>
    <n v="0"/>
    <x v="3"/>
    <n v="0"/>
    <n v="0"/>
    <n v="0"/>
    <n v="0"/>
    <n v="0"/>
    <n v="0"/>
    <n v="0"/>
    <n v="0"/>
    <n v="0"/>
    <n v="0"/>
    <n v="77"/>
    <n v="0"/>
    <n v="0"/>
    <n v="0"/>
    <n v="85"/>
    <n v="153938.8376285751"/>
    <n v="85"/>
  </r>
  <r>
    <n v="1060"/>
    <s v="cliente1060"/>
    <x v="2"/>
    <x v="2"/>
    <n v="0"/>
    <n v="0"/>
    <x v="3"/>
    <n v="73"/>
    <n v="22"/>
    <n v="22"/>
    <n v="22"/>
    <n v="22"/>
    <n v="22"/>
    <n v="22"/>
    <n v="22"/>
    <n v="22"/>
    <n v="22"/>
    <n v="22"/>
    <n v="22"/>
    <n v="22"/>
    <n v="22"/>
    <n v="22"/>
    <n v="1009542.3290224387"/>
    <n v="22"/>
  </r>
  <r>
    <n v="1061"/>
    <s v="cliente1061"/>
    <x v="2"/>
    <x v="2"/>
    <n v="0"/>
    <n v="0"/>
    <x v="3"/>
    <n v="0"/>
    <n v="0"/>
    <n v="65"/>
    <n v="65"/>
    <n v="22"/>
    <n v="22"/>
    <n v="22"/>
    <n v="22"/>
    <n v="22"/>
    <n v="22"/>
    <n v="22"/>
    <n v="22"/>
    <n v="22"/>
    <n v="22"/>
    <n v="22"/>
    <n v="121268.29016147782"/>
    <n v="22"/>
  </r>
  <r>
    <n v="1062"/>
    <s v="cliente10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3"/>
    <s v="cliente1063"/>
    <x v="2"/>
    <x v="2"/>
    <n v="0"/>
    <n v="0"/>
    <x v="3"/>
    <n v="0"/>
    <n v="0"/>
    <n v="0"/>
    <n v="0"/>
    <n v="0"/>
    <n v="0"/>
    <n v="0"/>
    <n v="0"/>
    <n v="40"/>
    <n v="22"/>
    <n v="22"/>
    <n v="22"/>
    <n v="22"/>
    <n v="22"/>
    <n v="22"/>
    <n v="254862.2612248917"/>
    <n v="22"/>
  </r>
  <r>
    <n v="1064"/>
    <s v="cliente10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5"/>
    <s v="cliente1065"/>
    <x v="2"/>
    <x v="2"/>
    <n v="0"/>
    <n v="0"/>
    <x v="3"/>
    <n v="0"/>
    <n v="0"/>
    <n v="0"/>
    <n v="0"/>
    <n v="0"/>
    <n v="0"/>
    <n v="0"/>
    <n v="0"/>
    <n v="0"/>
    <n v="0"/>
    <n v="73"/>
    <n v="60"/>
    <n v="60"/>
    <n v="60"/>
    <n v="40"/>
    <n v="281055.47847860679"/>
    <n v="40"/>
  </r>
  <r>
    <n v="1066"/>
    <s v="cliente1066"/>
    <x v="2"/>
    <x v="2"/>
    <n v="65"/>
    <n v="65"/>
    <x v="2"/>
    <n v="70"/>
    <n v="70"/>
    <n v="70"/>
    <n v="70"/>
    <n v="65"/>
    <n v="40"/>
    <n v="22"/>
    <n v="22"/>
    <n v="22"/>
    <n v="22"/>
    <n v="22"/>
    <n v="22"/>
    <n v="22"/>
    <n v="22"/>
    <n v="22"/>
    <n v="124088.22417520013"/>
    <n v="22"/>
  </r>
  <r>
    <n v="1067"/>
    <s v="cliente1067"/>
    <x v="2"/>
    <x v="2"/>
    <n v="0"/>
    <n v="0"/>
    <x v="3"/>
    <n v="0"/>
    <n v="0"/>
    <n v="0"/>
    <n v="0"/>
    <n v="0"/>
    <n v="0"/>
    <n v="0"/>
    <n v="65"/>
    <n v="22"/>
    <n v="22"/>
    <n v="22"/>
    <n v="22"/>
    <n v="22"/>
    <n v="22"/>
    <n v="22"/>
    <n v="155535.40704068498"/>
    <n v="22"/>
  </r>
  <r>
    <n v="1068"/>
    <s v="cliente1068"/>
    <x v="2"/>
    <x v="2"/>
    <n v="0"/>
    <n v="0"/>
    <x v="3"/>
    <n v="0"/>
    <n v="0"/>
    <n v="0"/>
    <n v="0"/>
    <n v="0"/>
    <n v="0"/>
    <n v="0"/>
    <n v="0"/>
    <n v="0"/>
    <n v="40"/>
    <n v="77"/>
    <n v="77"/>
    <n v="73"/>
    <n v="73"/>
    <n v="22"/>
    <n v="284476.4748803351"/>
    <n v="22"/>
  </r>
  <r>
    <n v="1069"/>
    <s v="cliente1069"/>
    <x v="2"/>
    <x v="2"/>
    <n v="0"/>
    <n v="0"/>
    <x v="3"/>
    <n v="0"/>
    <n v="0"/>
    <n v="0"/>
    <n v="0"/>
    <n v="0"/>
    <n v="0"/>
    <n v="0"/>
    <n v="40"/>
    <n v="40"/>
    <n v="60"/>
    <n v="60"/>
    <n v="60"/>
    <n v="0"/>
    <n v="0"/>
    <n v="0"/>
    <m/>
    <n v="0"/>
  </r>
  <r>
    <n v="1070"/>
    <s v="cliente10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60"/>
    <n v="65"/>
    <n v="310659.118239036"/>
    <n v="65"/>
  </r>
  <r>
    <n v="1071"/>
    <s v="cliente1071"/>
    <x v="2"/>
    <x v="2"/>
    <n v="0"/>
    <n v="0"/>
    <x v="3"/>
    <n v="0"/>
    <n v="0"/>
    <n v="0"/>
    <n v="40"/>
    <n v="60"/>
    <n v="65"/>
    <n v="65"/>
    <n v="0"/>
    <n v="0"/>
    <n v="0"/>
    <n v="0"/>
    <n v="0"/>
    <n v="0"/>
    <n v="0"/>
    <n v="0"/>
    <m/>
    <n v="0"/>
  </r>
  <r>
    <n v="1072"/>
    <s v="cliente10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3"/>
    <s v="cliente10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4"/>
    <s v="cliente10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5"/>
    <s v="cliente10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6"/>
    <s v="cliente10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7"/>
    <s v="cliente10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8"/>
    <s v="cliente10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9"/>
    <s v="cliente10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0"/>
    <s v="cliente10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1"/>
    <s v="cliente10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2"/>
    <s v="cliente10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3"/>
    <s v="cliente10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4"/>
    <s v="cliente10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5"/>
    <s v="cliente10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6"/>
    <s v="cliente10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7"/>
    <s v="cliente10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8"/>
    <s v="cliente10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9"/>
    <s v="cliente10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0"/>
    <s v="cliente10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1"/>
    <s v="cliente10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2"/>
    <s v="cliente10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3"/>
    <s v="cliente10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4"/>
    <s v="cliente10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5"/>
    <s v="cliente10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6"/>
    <s v="cliente10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7"/>
    <s v="cliente10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8"/>
    <s v="cliente10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9"/>
    <s v="cliente10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0"/>
    <s v="cliente11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1"/>
    <s v="cliente11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2"/>
    <s v="cliente11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3"/>
    <s v="cliente11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4"/>
    <s v="cliente11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5"/>
    <s v="cliente11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6"/>
    <s v="cliente11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7"/>
    <s v="cliente11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8"/>
    <s v="cliente11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9"/>
    <s v="cliente11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0"/>
    <s v="cliente11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1"/>
    <s v="cliente11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2"/>
    <s v="cliente11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3"/>
    <s v="cliente11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4"/>
    <s v="cliente11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5"/>
    <s v="cliente11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6"/>
    <s v="cliente11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7"/>
    <s v="cliente11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8"/>
    <s v="cliente11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9"/>
    <s v="cliente11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0"/>
    <s v="cliente11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1"/>
    <s v="cliente11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2"/>
    <s v="cliente11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3"/>
    <s v="cliente11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4"/>
    <s v="cliente11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5"/>
    <s v="cliente11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6"/>
    <s v="cliente11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7"/>
    <s v="cliente11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8"/>
    <s v="cliente11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9"/>
    <s v="cliente11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0"/>
    <s v="cliente11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1"/>
    <s v="cliente11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2"/>
    <s v="cliente11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3"/>
    <s v="cliente11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4"/>
    <s v="cliente11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5"/>
    <s v="cliente11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6"/>
    <s v="cliente11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7"/>
    <s v="cliente11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8"/>
    <s v="cliente11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9"/>
    <s v="cliente11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0"/>
    <s v="cliente11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1"/>
    <s v="cliente11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2"/>
    <s v="cliente11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3"/>
    <s v="cliente11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4"/>
    <s v="cliente11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5"/>
    <s v="cliente11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6"/>
    <s v="cliente11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7"/>
    <s v="cliente11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8"/>
    <s v="cliente11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9"/>
    <s v="cliente11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0"/>
    <s v="cliente11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1"/>
    <s v="cliente11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2"/>
    <s v="cliente11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3"/>
    <s v="cliente11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4"/>
    <s v="cliente11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5"/>
    <s v="cliente11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6"/>
    <s v="cliente11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7"/>
    <s v="cliente11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8"/>
    <s v="cliente11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9"/>
    <s v="cliente11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0"/>
    <s v="cliente11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1"/>
    <s v="cliente11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2"/>
    <s v="cliente11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3"/>
    <s v="cliente11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4"/>
    <s v="cliente11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5"/>
    <s v="cliente11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6"/>
    <s v="cliente11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7"/>
    <s v="cliente11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8"/>
    <s v="cliente11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9"/>
    <s v="cliente11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70"/>
    <s v="cliente11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m/>
    <n v="22"/>
  </r>
  <r>
    <s v="t"/>
    <s v="Temporales"/>
    <x v="9"/>
    <x v="10"/>
    <n v="40"/>
    <n v="40"/>
    <x v="1"/>
    <n v="40"/>
    <n v="40"/>
    <n v="40"/>
    <n v="40"/>
    <n v="40"/>
    <n v="40"/>
    <n v="40"/>
    <n v="40"/>
    <n v="40"/>
    <n v="40"/>
    <n v="40"/>
    <n v="40"/>
    <n v="40"/>
    <n v="40"/>
    <n v="40"/>
    <m/>
    <n v="40"/>
  </r>
  <r>
    <s v="t"/>
    <s v="Temporales"/>
    <x v="7"/>
    <x v="1"/>
    <n v="60"/>
    <n v="60"/>
    <x v="10"/>
    <n v="60"/>
    <n v="60"/>
    <n v="60"/>
    <n v="60"/>
    <n v="60"/>
    <n v="60"/>
    <n v="60"/>
    <n v="60"/>
    <n v="60"/>
    <n v="60"/>
    <n v="60"/>
    <n v="60"/>
    <n v="60"/>
    <n v="60"/>
    <n v="60"/>
    <m/>
    <n v="40"/>
  </r>
  <r>
    <s v="t"/>
    <s v="Temporales"/>
    <x v="12"/>
    <x v="12"/>
    <n v="65"/>
    <n v="65"/>
    <x v="2"/>
    <n v="65"/>
    <n v="65"/>
    <n v="65"/>
    <n v="65"/>
    <n v="65"/>
    <n v="65"/>
    <n v="65"/>
    <n v="65"/>
    <n v="65"/>
    <n v="65"/>
    <n v="65"/>
    <n v="65"/>
    <n v="65"/>
    <n v="65"/>
    <n v="65"/>
    <m/>
    <n v="65"/>
  </r>
  <r>
    <s v="t"/>
    <s v="Temporales"/>
    <x v="13"/>
    <x v="13"/>
    <n v="70"/>
    <n v="70"/>
    <x v="11"/>
    <n v="70"/>
    <n v="70"/>
    <n v="70"/>
    <n v="70"/>
    <n v="70"/>
    <n v="70"/>
    <n v="70"/>
    <n v="70"/>
    <n v="70"/>
    <n v="70"/>
    <n v="70"/>
    <n v="70"/>
    <n v="70"/>
    <n v="70"/>
    <n v="70"/>
    <m/>
    <n v="75"/>
  </r>
  <r>
    <s v="t"/>
    <s v="Temporales"/>
    <x v="5"/>
    <x v="6"/>
    <n v="73"/>
    <n v="73"/>
    <x v="0"/>
    <n v="73"/>
    <n v="73"/>
    <n v="73"/>
    <n v="73"/>
    <n v="73"/>
    <n v="73"/>
    <n v="73"/>
    <n v="73"/>
    <n v="73"/>
    <n v="73"/>
    <n v="73"/>
    <n v="73"/>
    <n v="73"/>
    <n v="73"/>
    <n v="73"/>
    <m/>
    <n v="70"/>
  </r>
  <r>
    <s v="t"/>
    <s v="Temporales"/>
    <x v="1"/>
    <x v="5"/>
    <n v="75"/>
    <n v="75"/>
    <x v="12"/>
    <n v="75"/>
    <n v="75"/>
    <n v="75"/>
    <n v="75"/>
    <n v="75"/>
    <n v="75"/>
    <n v="75"/>
    <n v="75"/>
    <n v="75"/>
    <n v="75"/>
    <n v="75"/>
    <n v="75"/>
    <n v="75"/>
    <n v="75"/>
    <n v="75"/>
    <m/>
    <n v="75"/>
  </r>
  <r>
    <s v="t"/>
    <s v="Temporales"/>
    <x v="4"/>
    <x v="7"/>
    <n v="77"/>
    <n v="77"/>
    <x v="5"/>
    <n v="77"/>
    <n v="77"/>
    <n v="77"/>
    <n v="77"/>
    <n v="77"/>
    <n v="77"/>
    <n v="77"/>
    <n v="77"/>
    <n v="77"/>
    <n v="77"/>
    <n v="77"/>
    <n v="77"/>
    <n v="77"/>
    <n v="77"/>
    <n v="77"/>
    <m/>
    <n v="77"/>
  </r>
  <r>
    <s v="t"/>
    <s v="Temporales"/>
    <x v="3"/>
    <x v="0"/>
    <n v="80"/>
    <n v="80"/>
    <x v="8"/>
    <n v="80"/>
    <n v="80"/>
    <n v="80"/>
    <n v="80"/>
    <n v="80"/>
    <n v="80"/>
    <n v="80"/>
    <n v="80"/>
    <n v="80"/>
    <n v="80"/>
    <n v="80"/>
    <n v="80"/>
    <n v="80"/>
    <n v="80"/>
    <n v="80"/>
    <m/>
    <n v="80"/>
  </r>
  <r>
    <s v="t"/>
    <s v="Temporales"/>
    <x v="0"/>
    <x v="11"/>
    <n v="83"/>
    <n v="83"/>
    <x v="4"/>
    <n v="83"/>
    <n v="83"/>
    <n v="83"/>
    <n v="83"/>
    <n v="83"/>
    <n v="83"/>
    <n v="83"/>
    <n v="83"/>
    <n v="83"/>
    <n v="83"/>
    <n v="83"/>
    <n v="83"/>
    <n v="83"/>
    <n v="83"/>
    <n v="83"/>
    <m/>
    <n v="83"/>
  </r>
  <r>
    <s v="t"/>
    <s v="Temporales"/>
    <x v="11"/>
    <x v="4"/>
    <n v="85"/>
    <n v="85"/>
    <x v="6"/>
    <n v="85"/>
    <n v="85"/>
    <n v="85"/>
    <n v="85"/>
    <n v="85"/>
    <n v="85"/>
    <n v="85"/>
    <n v="85"/>
    <n v="85"/>
    <n v="85"/>
    <n v="85"/>
    <n v="85"/>
    <n v="85"/>
    <n v="85"/>
    <n v="85"/>
    <m/>
    <n v="87"/>
  </r>
  <r>
    <s v="t"/>
    <s v="Temporales"/>
    <x v="6"/>
    <x v="3"/>
    <n v="87"/>
    <n v="87"/>
    <x v="9"/>
    <n v="87"/>
    <n v="87"/>
    <n v="87"/>
    <n v="87"/>
    <n v="87"/>
    <n v="87"/>
    <n v="87"/>
    <n v="87"/>
    <n v="87"/>
    <n v="87"/>
    <n v="87"/>
    <n v="87"/>
    <n v="87"/>
    <n v="87"/>
    <n v="87"/>
    <m/>
    <n v="80"/>
  </r>
  <r>
    <s v="t"/>
    <s v="Temporales"/>
    <x v="10"/>
    <x v="9"/>
    <n v="90"/>
    <n v="90"/>
    <x v="13"/>
    <n v="90"/>
    <n v="90"/>
    <n v="90"/>
    <n v="90"/>
    <n v="90"/>
    <n v="90"/>
    <n v="90"/>
    <n v="90"/>
    <n v="90"/>
    <n v="90"/>
    <n v="90"/>
    <n v="90"/>
    <n v="90"/>
    <n v="90"/>
    <n v="90"/>
    <m/>
    <n v="85"/>
  </r>
  <r>
    <s v="t"/>
    <s v="Temporales"/>
    <x v="15"/>
    <x v="15"/>
    <n v="93"/>
    <n v="93"/>
    <x v="14"/>
    <n v="93"/>
    <n v="93"/>
    <n v="93"/>
    <n v="93"/>
    <n v="93"/>
    <n v="93"/>
    <n v="93"/>
    <n v="93"/>
    <n v="93"/>
    <n v="93"/>
    <n v="93"/>
    <n v="93"/>
    <n v="93"/>
    <n v="93"/>
    <n v="93"/>
    <m/>
    <n v="93"/>
  </r>
  <r>
    <s v="t"/>
    <s v="Temporales"/>
    <x v="14"/>
    <x v="14"/>
    <n v="95"/>
    <n v="95"/>
    <x v="15"/>
    <n v="95"/>
    <n v="95"/>
    <n v="95"/>
    <n v="95"/>
    <n v="95"/>
    <n v="95"/>
    <n v="95"/>
    <n v="95"/>
    <n v="95"/>
    <n v="95"/>
    <n v="95"/>
    <n v="95"/>
    <n v="95"/>
    <n v="95"/>
    <n v="95"/>
    <m/>
    <n v="95"/>
  </r>
  <r>
    <s v="t"/>
    <s v="Temporales"/>
    <x v="16"/>
    <x v="16"/>
    <n v="99"/>
    <n v="99"/>
    <x v="16"/>
    <n v="99"/>
    <n v="99"/>
    <n v="99"/>
    <n v="99"/>
    <n v="99"/>
    <n v="99"/>
    <n v="99"/>
    <n v="99"/>
    <n v="99"/>
    <n v="99"/>
    <n v="99"/>
    <n v="99"/>
    <n v="99"/>
    <n v="99"/>
    <n v="99"/>
    <m/>
    <n v="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2" cacheId="0" dataOnRows="1" dataPosition="0" applyNumberFormats="0" applyBorderFormats="0" applyFontFormats="0" applyPatternFormats="0" applyAlignmentFormats="0" applyWidthHeightFormats="1" dataCaption="Datos" updatedVersion="2" showMemberPropertyTips="0" useAutoFormatting="1" itemPrintTitles="1" createdVersion="1" indent="0" compact="0" compactData="0" gridDropZones="1">
  <location ref="A3:T40" firstHeaderRow="1" firstDataRow="2" firstDataCol="2"/>
  <pivotFields count="23">
    <pivotField compact="0" outline="0" subtotalTop="0" showAll="0" includeNewItemsInFilter="1"/>
    <pivotField dataField="1" compact="0" outline="0" subtotalTop="0" showAll="0" includeNewItemsInFilter="1">
      <items count="1172">
        <item x="0"/>
        <item x="9"/>
        <item x="99"/>
        <item x="999"/>
        <item x="1000"/>
        <item x="1001"/>
        <item x="1002"/>
        <item x="1003"/>
        <item x="1004"/>
        <item x="1005"/>
        <item x="1006"/>
        <item x="1007"/>
        <item x="1008"/>
        <item x="100"/>
        <item x="1009"/>
        <item x="1010"/>
        <item x="1011"/>
        <item x="1012"/>
        <item x="1013"/>
        <item x="1014"/>
        <item x="1015"/>
        <item x="1016"/>
        <item x="1017"/>
        <item x="1018"/>
        <item x="101"/>
        <item x="1019"/>
        <item x="1020"/>
        <item x="1021"/>
        <item x="1022"/>
        <item x="1023"/>
        <item x="1024"/>
        <item x="1025"/>
        <item x="1026"/>
        <item x="1027"/>
        <item x="1028"/>
        <item x="102"/>
        <item x="1029"/>
        <item x="1030"/>
        <item x="1031"/>
        <item x="1032"/>
        <item x="1033"/>
        <item x="1034"/>
        <item x="1035"/>
        <item x="1036"/>
        <item x="1037"/>
        <item x="1038"/>
        <item x="103"/>
        <item x="1039"/>
        <item x="1040"/>
        <item x="1041"/>
        <item x="1042"/>
        <item x="1043"/>
        <item x="1044"/>
        <item x="1045"/>
        <item x="1046"/>
        <item x="1047"/>
        <item x="1048"/>
        <item x="104"/>
        <item x="1049"/>
        <item x="1050"/>
        <item x="1051"/>
        <item x="1052"/>
        <item x="1053"/>
        <item x="1054"/>
        <item x="1055"/>
        <item x="1056"/>
        <item x="1057"/>
        <item x="1058"/>
        <item x="105"/>
        <item x="1059"/>
        <item x="1060"/>
        <item x="1061"/>
        <item x="1062"/>
        <item x="1063"/>
        <item x="1064"/>
        <item x="1065"/>
        <item x="1066"/>
        <item x="1067"/>
        <item x="1068"/>
        <item x="106"/>
        <item x="1069"/>
        <item x="1070"/>
        <item x="1071"/>
        <item x="1072"/>
        <item x="1073"/>
        <item x="1074"/>
        <item x="1075"/>
        <item x="1076"/>
        <item x="1077"/>
        <item x="1078"/>
        <item x="107"/>
        <item x="1079"/>
        <item x="1080"/>
        <item x="1081"/>
        <item x="1082"/>
        <item x="1083"/>
        <item x="1084"/>
        <item x="1085"/>
        <item x="1086"/>
        <item x="1087"/>
        <item x="1088"/>
        <item x="108"/>
        <item x="1089"/>
        <item x="1090"/>
        <item x="1091"/>
        <item x="1092"/>
        <item x="1093"/>
        <item x="1094"/>
        <item x="1095"/>
        <item x="1096"/>
        <item x="1097"/>
        <item x="1098"/>
        <item x="10"/>
        <item x="109"/>
        <item x="1099"/>
        <item x="1100"/>
        <item x="1101"/>
        <item x="1102"/>
        <item x="1103"/>
        <item x="1104"/>
        <item x="1105"/>
        <item x="1106"/>
        <item x="1107"/>
        <item x="1108"/>
        <item x="110"/>
        <item x="1109"/>
        <item x="1110"/>
        <item x="1111"/>
        <item x="1112"/>
        <item x="1113"/>
        <item x="1114"/>
        <item x="1115"/>
        <item x="1116"/>
        <item x="1117"/>
        <item x="1118"/>
        <item x="111"/>
        <item x="1119"/>
        <item x="1120"/>
        <item x="1121"/>
        <item x="1122"/>
        <item x="1123"/>
        <item x="1124"/>
        <item x="1125"/>
        <item x="1126"/>
        <item x="1127"/>
        <item x="1128"/>
        <item x="112"/>
        <item x="1129"/>
        <item x="1130"/>
        <item x="1131"/>
        <item x="1132"/>
        <item x="1133"/>
        <item x="1134"/>
        <item x="1135"/>
        <item x="1136"/>
        <item x="1137"/>
        <item x="1138"/>
        <item x="113"/>
        <item x="1139"/>
        <item x="1140"/>
        <item x="1141"/>
        <item x="1142"/>
        <item x="1143"/>
        <item x="1144"/>
        <item x="1145"/>
        <item x="1146"/>
        <item x="1147"/>
        <item x="1148"/>
        <item x="114"/>
        <item x="1149"/>
        <item x="1150"/>
        <item x="1151"/>
        <item x="1152"/>
        <item x="1153"/>
        <item x="1154"/>
        <item x="1155"/>
        <item x="1156"/>
        <item x="1157"/>
        <item x="1158"/>
        <item x="115"/>
        <item x="1159"/>
        <item x="1160"/>
        <item x="1161"/>
        <item x="1162"/>
        <item x="1163"/>
        <item x="1164"/>
        <item x="1165"/>
        <item x="1166"/>
        <item x="1167"/>
        <item x="1168"/>
        <item x="116"/>
        <item x="1169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49"/>
        <item x="150"/>
        <item x="151"/>
        <item x="152"/>
        <item x="153"/>
        <item x="154"/>
        <item x="155"/>
        <item x="156"/>
        <item x="157"/>
        <item x="158"/>
        <item x="15"/>
        <item x="159"/>
        <item x="160"/>
        <item x="161"/>
        <item x="162"/>
        <item x="163"/>
        <item x="164"/>
        <item x="165"/>
        <item x="166"/>
        <item x="167"/>
        <item x="168"/>
        <item x="16"/>
        <item x="169"/>
        <item x="170"/>
        <item x="171"/>
        <item x="172"/>
        <item x="173"/>
        <item x="174"/>
        <item x="175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8"/>
        <item x="22"/>
        <item x="229"/>
        <item x="230"/>
        <item x="231"/>
        <item x="232"/>
        <item x="233"/>
        <item x="234"/>
        <item x="235"/>
        <item x="236"/>
        <item x="237"/>
        <item x="238"/>
        <item x="23"/>
        <item x="239"/>
        <item x="240"/>
        <item x="241"/>
        <item x="242"/>
        <item x="243"/>
        <item x="244"/>
        <item x="245"/>
        <item x="246"/>
        <item x="247"/>
        <item x="248"/>
        <item x="24"/>
        <item x="249"/>
        <item x="250"/>
        <item x="251"/>
        <item x="252"/>
        <item x="253"/>
        <item x="254"/>
        <item x="255"/>
        <item x="256"/>
        <item x="257"/>
        <item x="258"/>
        <item x="25"/>
        <item x="259"/>
        <item x="260"/>
        <item x="261"/>
        <item x="262"/>
        <item x="263"/>
        <item x="264"/>
        <item x="265"/>
        <item x="266"/>
        <item x="267"/>
        <item x="268"/>
        <item x="26"/>
        <item x="269"/>
        <item x="270"/>
        <item x="271"/>
        <item x="272"/>
        <item x="273"/>
        <item x="274"/>
        <item x="275"/>
        <item x="276"/>
        <item x="277"/>
        <item x="278"/>
        <item x="27"/>
        <item x="279"/>
        <item x="280"/>
        <item x="281"/>
        <item x="282"/>
        <item x="283"/>
        <item x="284"/>
        <item x="285"/>
        <item x="286"/>
        <item x="287"/>
        <item x="288"/>
        <item x="28"/>
        <item x="289"/>
        <item x="290"/>
        <item x="291"/>
        <item x="292"/>
        <item x="293"/>
        <item x="294"/>
        <item x="295"/>
        <item x="296"/>
        <item x="297"/>
        <item x="298"/>
        <item x="2"/>
        <item x="29"/>
        <item x="299"/>
        <item x="300"/>
        <item x="301"/>
        <item x="302"/>
        <item x="303"/>
        <item x="304"/>
        <item x="305"/>
        <item x="306"/>
        <item x="307"/>
        <item x="308"/>
        <item x="30"/>
        <item x="309"/>
        <item x="310"/>
        <item x="311"/>
        <item x="312"/>
        <item x="313"/>
        <item x="314"/>
        <item x="315"/>
        <item x="316"/>
        <item x="317"/>
        <item x="318"/>
        <item x="31"/>
        <item x="319"/>
        <item x="320"/>
        <item x="321"/>
        <item x="322"/>
        <item x="323"/>
        <item x="324"/>
        <item x="325"/>
        <item x="326"/>
        <item x="327"/>
        <item x="328"/>
        <item x="32"/>
        <item x="329"/>
        <item x="330"/>
        <item x="331"/>
        <item x="332"/>
        <item x="333"/>
        <item x="334"/>
        <item x="335"/>
        <item x="336"/>
        <item x="337"/>
        <item x="338"/>
        <item x="33"/>
        <item x="339"/>
        <item x="340"/>
        <item x="341"/>
        <item x="342"/>
        <item x="343"/>
        <item x="344"/>
        <item x="345"/>
        <item x="346"/>
        <item x="347"/>
        <item x="348"/>
        <item x="34"/>
        <item x="349"/>
        <item x="350"/>
        <item x="351"/>
        <item x="352"/>
        <item x="353"/>
        <item x="354"/>
        <item x="355"/>
        <item x="356"/>
        <item x="357"/>
        <item x="358"/>
        <item x="35"/>
        <item x="359"/>
        <item x="360"/>
        <item x="361"/>
        <item x="362"/>
        <item x="363"/>
        <item x="364"/>
        <item x="365"/>
        <item x="366"/>
        <item x="367"/>
        <item x="368"/>
        <item x="36"/>
        <item x="369"/>
        <item x="370"/>
        <item x="371"/>
        <item x="372"/>
        <item x="373"/>
        <item x="374"/>
        <item x="375"/>
        <item x="376"/>
        <item x="377"/>
        <item x="378"/>
        <item x="37"/>
        <item x="379"/>
        <item x="380"/>
        <item x="381"/>
        <item x="382"/>
        <item x="383"/>
        <item x="384"/>
        <item x="385"/>
        <item x="386"/>
        <item x="387"/>
        <item x="388"/>
        <item x="38"/>
        <item x="389"/>
        <item x="390"/>
        <item x="391"/>
        <item x="392"/>
        <item x="393"/>
        <item x="394"/>
        <item x="395"/>
        <item x="396"/>
        <item x="397"/>
        <item x="398"/>
        <item x="3"/>
        <item x="39"/>
        <item x="399"/>
        <item x="400"/>
        <item x="401"/>
        <item x="402"/>
        <item x="403"/>
        <item x="404"/>
        <item x="405"/>
        <item x="406"/>
        <item x="407"/>
        <item x="408"/>
        <item x="40"/>
        <item x="409"/>
        <item x="410"/>
        <item x="411"/>
        <item x="412"/>
        <item x="413"/>
        <item x="414"/>
        <item x="415"/>
        <item x="416"/>
        <item x="417"/>
        <item x="418"/>
        <item x="41"/>
        <item x="419"/>
        <item x="420"/>
        <item x="421"/>
        <item x="422"/>
        <item x="423"/>
        <item x="424"/>
        <item x="425"/>
        <item x="426"/>
        <item x="427"/>
        <item x="428"/>
        <item x="42"/>
        <item x="429"/>
        <item x="430"/>
        <item x="431"/>
        <item x="432"/>
        <item x="433"/>
        <item x="434"/>
        <item x="435"/>
        <item x="436"/>
        <item x="437"/>
        <item x="438"/>
        <item x="43"/>
        <item x="439"/>
        <item x="440"/>
        <item x="441"/>
        <item x="442"/>
        <item x="443"/>
        <item x="444"/>
        <item x="445"/>
        <item x="446"/>
        <item x="447"/>
        <item x="448"/>
        <item x="44"/>
        <item x="449"/>
        <item x="450"/>
        <item x="451"/>
        <item x="452"/>
        <item x="453"/>
        <item x="454"/>
        <item x="455"/>
        <item x="456"/>
        <item x="457"/>
        <item x="458"/>
        <item x="45"/>
        <item x="459"/>
        <item x="460"/>
        <item x="461"/>
        <item x="462"/>
        <item x="463"/>
        <item x="464"/>
        <item x="465"/>
        <item x="466"/>
        <item x="467"/>
        <item x="468"/>
        <item x="46"/>
        <item x="469"/>
        <item x="470"/>
        <item x="471"/>
        <item x="472"/>
        <item x="473"/>
        <item x="474"/>
        <item x="475"/>
        <item x="476"/>
        <item x="477"/>
        <item x="478"/>
        <item x="47"/>
        <item x="479"/>
        <item x="480"/>
        <item x="481"/>
        <item x="482"/>
        <item x="483"/>
        <item x="484"/>
        <item x="485"/>
        <item x="486"/>
        <item x="487"/>
        <item x="488"/>
        <item x="48"/>
        <item x="489"/>
        <item x="490"/>
        <item x="491"/>
        <item x="492"/>
        <item x="493"/>
        <item x="494"/>
        <item x="495"/>
        <item x="496"/>
        <item x="497"/>
        <item x="498"/>
        <item x="4"/>
        <item x="49"/>
        <item x="499"/>
        <item x="500"/>
        <item x="501"/>
        <item x="502"/>
        <item x="503"/>
        <item x="504"/>
        <item x="505"/>
        <item x="506"/>
        <item x="507"/>
        <item x="508"/>
        <item x="50"/>
        <item x="509"/>
        <item x="510"/>
        <item x="511"/>
        <item x="512"/>
        <item x="513"/>
        <item x="514"/>
        <item x="515"/>
        <item x="516"/>
        <item x="517"/>
        <item x="518"/>
        <item x="51"/>
        <item x="519"/>
        <item x="520"/>
        <item x="521"/>
        <item x="522"/>
        <item x="523"/>
        <item x="524"/>
        <item x="525"/>
        <item x="526"/>
        <item x="527"/>
        <item x="528"/>
        <item x="52"/>
        <item x="529"/>
        <item x="530"/>
        <item x="531"/>
        <item x="532"/>
        <item x="533"/>
        <item x="534"/>
        <item x="535"/>
        <item x="536"/>
        <item x="537"/>
        <item x="538"/>
        <item x="53"/>
        <item x="539"/>
        <item x="540"/>
        <item x="541"/>
        <item x="542"/>
        <item x="543"/>
        <item x="544"/>
        <item x="545"/>
        <item x="546"/>
        <item x="547"/>
        <item x="548"/>
        <item x="54"/>
        <item x="549"/>
        <item x="550"/>
        <item x="551"/>
        <item x="552"/>
        <item x="553"/>
        <item x="554"/>
        <item x="555"/>
        <item x="556"/>
        <item x="557"/>
        <item x="558"/>
        <item x="55"/>
        <item x="559"/>
        <item x="560"/>
        <item x="561"/>
        <item x="562"/>
        <item x="563"/>
        <item x="564"/>
        <item x="565"/>
        <item x="566"/>
        <item x="567"/>
        <item x="568"/>
        <item x="56"/>
        <item x="569"/>
        <item x="570"/>
        <item x="571"/>
        <item x="572"/>
        <item x="573"/>
        <item x="574"/>
        <item x="575"/>
        <item x="576"/>
        <item x="577"/>
        <item x="578"/>
        <item x="57"/>
        <item x="579"/>
        <item x="580"/>
        <item x="581"/>
        <item x="582"/>
        <item x="583"/>
        <item x="584"/>
        <item x="585"/>
        <item x="586"/>
        <item x="587"/>
        <item x="588"/>
        <item x="58"/>
        <item x="589"/>
        <item x="590"/>
        <item x="591"/>
        <item x="592"/>
        <item x="593"/>
        <item x="594"/>
        <item x="595"/>
        <item x="596"/>
        <item x="597"/>
        <item x="598"/>
        <item x="5"/>
        <item x="59"/>
        <item x="599"/>
        <item x="600"/>
        <item x="601"/>
        <item x="602"/>
        <item x="603"/>
        <item x="604"/>
        <item x="605"/>
        <item x="606"/>
        <item x="607"/>
        <item x="608"/>
        <item x="60"/>
        <item x="609"/>
        <item x="610"/>
        <item x="611"/>
        <item x="612"/>
        <item x="613"/>
        <item x="614"/>
        <item x="615"/>
        <item x="616"/>
        <item x="617"/>
        <item x="618"/>
        <item x="61"/>
        <item x="619"/>
        <item x="620"/>
        <item x="621"/>
        <item x="622"/>
        <item x="623"/>
        <item x="624"/>
        <item x="625"/>
        <item x="626"/>
        <item x="627"/>
        <item x="628"/>
        <item x="62"/>
        <item x="629"/>
        <item x="630"/>
        <item x="631"/>
        <item x="632"/>
        <item x="633"/>
        <item x="634"/>
        <item x="635"/>
        <item x="636"/>
        <item x="637"/>
        <item x="638"/>
        <item x="63"/>
        <item x="639"/>
        <item x="640"/>
        <item x="641"/>
        <item x="642"/>
        <item x="643"/>
        <item x="644"/>
        <item x="645"/>
        <item x="646"/>
        <item x="647"/>
        <item x="648"/>
        <item x="64"/>
        <item x="649"/>
        <item x="650"/>
        <item x="651"/>
        <item x="652"/>
        <item x="653"/>
        <item x="654"/>
        <item x="655"/>
        <item x="656"/>
        <item x="657"/>
        <item x="658"/>
        <item x="65"/>
        <item x="659"/>
        <item x="660"/>
        <item x="661"/>
        <item x="662"/>
        <item x="663"/>
        <item x="664"/>
        <item x="665"/>
        <item x="666"/>
        <item x="667"/>
        <item x="668"/>
        <item x="66"/>
        <item x="669"/>
        <item x="670"/>
        <item x="671"/>
        <item x="672"/>
        <item x="673"/>
        <item x="674"/>
        <item x="675"/>
        <item x="676"/>
        <item x="677"/>
        <item x="678"/>
        <item x="67"/>
        <item x="679"/>
        <item x="680"/>
        <item x="681"/>
        <item x="682"/>
        <item x="683"/>
        <item x="684"/>
        <item x="685"/>
        <item x="686"/>
        <item x="687"/>
        <item x="688"/>
        <item x="68"/>
        <item x="689"/>
        <item x="690"/>
        <item x="691"/>
        <item x="692"/>
        <item x="693"/>
        <item x="694"/>
        <item x="695"/>
        <item x="696"/>
        <item x="697"/>
        <item x="698"/>
        <item x="6"/>
        <item x="69"/>
        <item x="699"/>
        <item x="700"/>
        <item x="701"/>
        <item x="702"/>
        <item x="703"/>
        <item x="704"/>
        <item x="705"/>
        <item x="706"/>
        <item x="707"/>
        <item x="708"/>
        <item x="70"/>
        <item x="709"/>
        <item x="710"/>
        <item x="711"/>
        <item x="712"/>
        <item x="713"/>
        <item x="714"/>
        <item x="715"/>
        <item x="716"/>
        <item x="717"/>
        <item x="718"/>
        <item x="71"/>
        <item x="719"/>
        <item x="720"/>
        <item x="721"/>
        <item x="722"/>
        <item x="723"/>
        <item x="724"/>
        <item x="725"/>
        <item x="726"/>
        <item x="727"/>
        <item x="728"/>
        <item x="72"/>
        <item x="729"/>
        <item x="730"/>
        <item x="731"/>
        <item x="732"/>
        <item x="733"/>
        <item x="734"/>
        <item x="735"/>
        <item x="736"/>
        <item x="737"/>
        <item x="738"/>
        <item x="73"/>
        <item x="739"/>
        <item x="740"/>
        <item x="741"/>
        <item x="742"/>
        <item x="743"/>
        <item x="744"/>
        <item x="745"/>
        <item x="746"/>
        <item x="747"/>
        <item x="748"/>
        <item x="74"/>
        <item x="749"/>
        <item x="750"/>
        <item x="751"/>
        <item x="752"/>
        <item x="753"/>
        <item x="754"/>
        <item x="755"/>
        <item x="756"/>
        <item x="757"/>
        <item x="758"/>
        <item x="75"/>
        <item x="759"/>
        <item x="760"/>
        <item x="761"/>
        <item x="762"/>
        <item x="763"/>
        <item x="764"/>
        <item x="765"/>
        <item x="766"/>
        <item x="767"/>
        <item x="768"/>
        <item x="76"/>
        <item x="769"/>
        <item x="770"/>
        <item x="771"/>
        <item x="772"/>
        <item x="773"/>
        <item x="774"/>
        <item x="775"/>
        <item x="776"/>
        <item x="777"/>
        <item x="778"/>
        <item x="77"/>
        <item x="779"/>
        <item x="780"/>
        <item x="781"/>
        <item x="782"/>
        <item x="783"/>
        <item x="784"/>
        <item x="785"/>
        <item x="786"/>
        <item x="787"/>
        <item x="788"/>
        <item x="78"/>
        <item x="789"/>
        <item x="790"/>
        <item x="791"/>
        <item x="792"/>
        <item x="793"/>
        <item x="794"/>
        <item x="795"/>
        <item x="796"/>
        <item x="797"/>
        <item x="798"/>
        <item x="7"/>
        <item x="79"/>
        <item x="799"/>
        <item x="800"/>
        <item x="801"/>
        <item x="802"/>
        <item x="803"/>
        <item x="804"/>
        <item x="805"/>
        <item x="806"/>
        <item x="807"/>
        <item x="808"/>
        <item x="80"/>
        <item x="809"/>
        <item x="810"/>
        <item x="811"/>
        <item x="812"/>
        <item x="813"/>
        <item x="814"/>
        <item x="815"/>
        <item x="816"/>
        <item x="817"/>
        <item x="818"/>
        <item x="81"/>
        <item x="819"/>
        <item x="820"/>
        <item x="821"/>
        <item x="822"/>
        <item x="823"/>
        <item x="824"/>
        <item x="825"/>
        <item x="826"/>
        <item x="827"/>
        <item x="828"/>
        <item x="82"/>
        <item x="829"/>
        <item x="830"/>
        <item x="831"/>
        <item x="832"/>
        <item x="833"/>
        <item x="834"/>
        <item x="835"/>
        <item x="836"/>
        <item x="837"/>
        <item x="838"/>
        <item x="83"/>
        <item x="839"/>
        <item x="840"/>
        <item x="841"/>
        <item x="842"/>
        <item x="843"/>
        <item x="844"/>
        <item x="845"/>
        <item x="846"/>
        <item x="847"/>
        <item x="848"/>
        <item x="84"/>
        <item x="849"/>
        <item x="850"/>
        <item x="851"/>
        <item x="852"/>
        <item x="853"/>
        <item x="854"/>
        <item x="855"/>
        <item x="856"/>
        <item x="857"/>
        <item x="858"/>
        <item x="85"/>
        <item x="859"/>
        <item x="860"/>
        <item x="861"/>
        <item x="862"/>
        <item x="863"/>
        <item x="864"/>
        <item x="865"/>
        <item x="866"/>
        <item x="867"/>
        <item x="868"/>
        <item x="86"/>
        <item x="869"/>
        <item x="870"/>
        <item x="871"/>
        <item x="872"/>
        <item x="873"/>
        <item x="874"/>
        <item x="875"/>
        <item x="876"/>
        <item x="877"/>
        <item x="878"/>
        <item x="87"/>
        <item x="879"/>
        <item x="880"/>
        <item x="881"/>
        <item x="882"/>
        <item x="883"/>
        <item x="884"/>
        <item x="885"/>
        <item x="886"/>
        <item x="887"/>
        <item x="888"/>
        <item x="88"/>
        <item x="889"/>
        <item x="890"/>
        <item x="891"/>
        <item x="892"/>
        <item x="893"/>
        <item x="894"/>
        <item x="895"/>
        <item x="896"/>
        <item x="897"/>
        <item x="898"/>
        <item x="8"/>
        <item x="89"/>
        <item x="899"/>
        <item x="900"/>
        <item x="901"/>
        <item x="902"/>
        <item x="903"/>
        <item x="904"/>
        <item x="905"/>
        <item x="906"/>
        <item x="907"/>
        <item x="908"/>
        <item x="90"/>
        <item x="909"/>
        <item x="910"/>
        <item x="911"/>
        <item x="912"/>
        <item x="913"/>
        <item x="914"/>
        <item x="915"/>
        <item x="916"/>
        <item x="917"/>
        <item x="918"/>
        <item x="91"/>
        <item x="919"/>
        <item x="920"/>
        <item x="921"/>
        <item x="922"/>
        <item x="923"/>
        <item x="924"/>
        <item x="925"/>
        <item x="926"/>
        <item x="927"/>
        <item x="928"/>
        <item x="92"/>
        <item x="929"/>
        <item x="930"/>
        <item x="931"/>
        <item x="932"/>
        <item x="933"/>
        <item x="934"/>
        <item x="935"/>
        <item x="936"/>
        <item x="937"/>
        <item x="938"/>
        <item x="93"/>
        <item x="939"/>
        <item x="940"/>
        <item x="941"/>
        <item x="942"/>
        <item x="943"/>
        <item x="944"/>
        <item x="945"/>
        <item x="946"/>
        <item x="947"/>
        <item x="948"/>
        <item x="94"/>
        <item x="949"/>
        <item x="950"/>
        <item x="951"/>
        <item x="952"/>
        <item x="953"/>
        <item x="954"/>
        <item x="955"/>
        <item x="956"/>
        <item x="957"/>
        <item x="958"/>
        <item x="95"/>
        <item x="959"/>
        <item x="960"/>
        <item x="961"/>
        <item x="962"/>
        <item x="963"/>
        <item x="964"/>
        <item x="965"/>
        <item x="966"/>
        <item x="967"/>
        <item x="968"/>
        <item x="96"/>
        <item x="969"/>
        <item x="970"/>
        <item x="971"/>
        <item x="972"/>
        <item x="973"/>
        <item x="974"/>
        <item x="975"/>
        <item x="976"/>
        <item x="977"/>
        <item x="978"/>
        <item x="97"/>
        <item x="979"/>
        <item x="980"/>
        <item x="981"/>
        <item x="982"/>
        <item x="983"/>
        <item x="984"/>
        <item x="985"/>
        <item x="986"/>
        <item x="987"/>
        <item x="988"/>
        <item x="98"/>
        <item x="989"/>
        <item x="990"/>
        <item x="991"/>
        <item x="992"/>
        <item x="993"/>
        <item x="994"/>
        <item x="995"/>
        <item x="996"/>
        <item x="997"/>
        <item x="998"/>
        <item x="1170"/>
        <item t="default"/>
      </items>
    </pivotField>
    <pivotField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>
      <items count="18">
        <item x="1"/>
        <item x="5"/>
        <item x="8"/>
        <item x="9"/>
        <item x="4"/>
        <item x="11"/>
        <item x="0"/>
        <item x="12"/>
        <item x="7"/>
        <item x="3"/>
        <item x="2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8"/>
        <item x="1"/>
        <item x="11"/>
        <item x="0"/>
        <item x="12"/>
        <item x="7"/>
        <item x="4"/>
        <item x="3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9"/>
        <item x="1"/>
        <item x="10"/>
        <item x="12"/>
        <item x="7"/>
        <item x="11"/>
        <item x="0"/>
        <item x="2"/>
        <item x="5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3"/>
        <item x="10"/>
        <item x="1"/>
        <item x="8"/>
        <item x="0"/>
        <item x="11"/>
        <item x="9"/>
        <item x="2"/>
        <item x="5"/>
        <item x="4"/>
        <item x="7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11"/>
        <item x="0"/>
        <item x="10"/>
        <item x="7"/>
        <item x="12"/>
        <item x="1"/>
        <item x="3"/>
        <item x="6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0"/>
        <item x="12"/>
        <item x="9"/>
        <item x="1"/>
        <item x="8"/>
        <item x="11"/>
        <item x="0"/>
        <item x="5"/>
        <item x="2"/>
        <item x="4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7"/>
        <item x="12"/>
        <item x="11"/>
        <item x="1"/>
        <item x="10"/>
        <item x="9"/>
        <item x="0"/>
        <item x="5"/>
        <item x="8"/>
        <item x="6"/>
        <item x="4"/>
        <item x="2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12"/>
        <item x="11"/>
        <item x="1"/>
        <item x="9"/>
        <item x="10"/>
        <item x="6"/>
        <item x="0"/>
        <item x="8"/>
        <item x="4"/>
        <item x="3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5"/>
        <item x="13"/>
        <item x="11"/>
        <item x="9"/>
        <item x="7"/>
        <item x="10"/>
        <item x="3"/>
        <item x="0"/>
        <item x="6"/>
        <item x="4"/>
        <item x="2"/>
        <item x="8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9"/>
        <item x="5"/>
        <item x="12"/>
        <item x="8"/>
        <item x="10"/>
        <item x="0"/>
        <item x="7"/>
        <item x="3"/>
        <item x="2"/>
        <item x="6"/>
        <item x="11"/>
        <item x="15"/>
        <item x="16"/>
        <item x="13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6"/>
        <item x="9"/>
        <item x="8"/>
        <item x="10"/>
        <item x="0"/>
        <item x="5"/>
        <item x="3"/>
        <item x="7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5"/>
        <item x="8"/>
        <item x="7"/>
        <item x="9"/>
        <item x="10"/>
        <item x="0"/>
        <item x="3"/>
        <item x="6"/>
        <item x="2"/>
        <item x="11"/>
        <item x="14"/>
        <item x="15"/>
        <item x="16"/>
        <item t="default"/>
      </items>
    </pivotField>
    <pivotField axis="axisRow" compact="0" outline="0" subtotalTop="0" showAll="0" includeNewItemsInFilter="1">
      <items count="18">
        <item x="1"/>
        <item x="4"/>
        <item x="13"/>
        <item x="7"/>
        <item x="6"/>
        <item x="5"/>
        <item x="8"/>
        <item x="11"/>
        <item x="10"/>
        <item x="9"/>
        <item x="0"/>
        <item x="3"/>
        <item x="2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6"/>
        <item x="5"/>
        <item x="12"/>
        <item x="7"/>
        <item x="10"/>
        <item x="9"/>
        <item x="8"/>
        <item x="0"/>
        <item x="3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3"/>
        <item x="14"/>
        <item x="7"/>
        <item x="6"/>
        <item x="13"/>
        <item x="8"/>
        <item x="11"/>
        <item x="9"/>
        <item x="4"/>
        <item x="0"/>
        <item x="2"/>
        <item x="5"/>
        <item x="10"/>
        <item x="15"/>
        <item x="12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6"/>
        <item x="10"/>
        <item x="13"/>
        <item x="8"/>
        <item x="9"/>
        <item x="5"/>
        <item x="7"/>
        <item x="0"/>
        <item x="3"/>
        <item x="2"/>
        <item x="11"/>
        <item x="15"/>
        <item x="12"/>
        <item x="16"/>
        <item t="default"/>
      </items>
    </pivotField>
    <pivotField axis="axisCol" compact="0" outline="0" subtotalTop="0" showAll="0" includeNewItemsInFilter="1">
      <items count="18">
        <item x="1"/>
        <item x="4"/>
        <item x="14"/>
        <item x="6"/>
        <item x="12"/>
        <item x="13"/>
        <item x="8"/>
        <item x="5"/>
        <item x="9"/>
        <item x="0"/>
        <item x="7"/>
        <item x="3"/>
        <item x="2"/>
        <item x="10"/>
        <item x="15"/>
        <item x="11"/>
        <item x="16"/>
        <item t="default"/>
      </items>
    </pivotField>
    <pivotField compact="0" outline="0" subtotalTop="0" showAll="0" includeNewItemsInFilter="1"/>
  </pivotFields>
  <rowFields count="2">
    <field x="-2"/>
    <field x="17"/>
  </rowFields>
  <rowItems count="3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r="1" i="1">
      <x v="15"/>
    </i>
    <i r="1" i="1">
      <x v="16"/>
    </i>
    <i t="grand">
      <x/>
    </i>
    <i t="grand" i="1">
      <x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2">
    <dataField name="Cuenta de Nombre" fld="1" subtotal="count" showDataAs="percentOfRow" baseField="0" baseItem="0" numFmtId="10"/>
    <dataField name="Cuenta de Nombre2" fld="1" subtotal="count" baseField="0" baseItem="0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1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:S22" firstHeaderRow="1" firstDataRow="2" firstDataCol="1"/>
  <pivotFields count="24"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6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Count of ID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VaR@99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CVaR@99%25%20=" TargetMode="External"/><Relationship Id="rId2" Type="http://schemas.openxmlformats.org/officeDocument/2006/relationships/hyperlink" Target="mailto:CVaR@99%25%20=" TargetMode="External"/><Relationship Id="rId1" Type="http://schemas.openxmlformats.org/officeDocument/2006/relationships/hyperlink" Target="mailto:VaR@99%25%20=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G36"/>
  <sheetViews>
    <sheetView zoomScale="130" zoomScaleNormal="145" workbookViewId="0">
      <selection activeCell="B22" sqref="B22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60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9000</v>
      </c>
      <c r="D7" s="101">
        <v>0.6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2100</v>
      </c>
      <c r="D8" s="90">
        <f>4%+10%</f>
        <v>0.14000000000000001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6900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</v>
      </c>
      <c r="D11" s="101">
        <v>0.01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152.66666666666669</v>
      </c>
      <c r="D12" s="95">
        <f>4%</f>
        <v>0.04</v>
      </c>
      <c r="E12" t="s">
        <v>1257</v>
      </c>
      <c r="F12" s="50" t="s">
        <v>1256</v>
      </c>
      <c r="G12" s="93">
        <f>C4*VLOOKUP(C2,AB2:AE17,4,0)*D3</f>
        <v>3816.666666666667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5250</v>
      </c>
      <c r="D13" s="95">
        <v>0.35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1823.3333333333335</v>
      </c>
      <c r="D14" s="52">
        <f>VLOOKUP(C2,$AB$2:$AE$17,2,0)*D3</f>
        <v>0.12155555555555557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129.33333333333348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38.800000000000047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90.533333333333445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2.3720524017467277E-2</v>
      </c>
      <c r="AC20" s="50" t="s">
        <v>1282</v>
      </c>
    </row>
    <row r="21" spans="1:31" x14ac:dyDescent="0.25">
      <c r="B21" t="s">
        <v>1266</v>
      </c>
      <c r="C21" s="88">
        <f>+C16</f>
        <v>129.33333333333348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6.488294314381278E-2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000-000000000000}">
      <formula1>$AB$2:$AB$17</formula1>
    </dataValidation>
    <dataValidation type="list" allowBlank="1" showInputMessage="1" showErrorMessage="1" sqref="C3" xr:uid="{00000000-0002-0000-0000-000001000000}">
      <formula1>$AB$23:$AB$36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AG36"/>
  <sheetViews>
    <sheetView zoomScale="145" zoomScaleNormal="145" workbookViewId="0">
      <selection activeCell="D13" sqref="D1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87</v>
      </c>
      <c r="AB2" s="22">
        <v>22</v>
      </c>
    </row>
    <row r="3" spans="1:33" x14ac:dyDescent="0.25">
      <c r="B3" t="s">
        <v>1264</v>
      </c>
      <c r="C3" s="84" t="s">
        <v>1273</v>
      </c>
      <c r="D3" s="81">
        <f>VLOOKUP(C3,AB23:AD36,3,0)</f>
        <v>0.4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12000000</v>
      </c>
      <c r="D5" s="86">
        <v>0.8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1800000</v>
      </c>
      <c r="D7" s="101">
        <v>0.15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1200000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9866.6666666666697</v>
      </c>
      <c r="D12" s="95">
        <v>0.04</v>
      </c>
      <c r="E12" t="s">
        <v>1257</v>
      </c>
      <c r="F12" s="50" t="s">
        <v>1256</v>
      </c>
      <c r="G12" s="93">
        <f>C4*VLOOKUP(C2,AB2:AE17,4,0)*D3</f>
        <v>246666.66666666672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16000.000000000002</v>
      </c>
      <c r="D14" s="52">
        <f>VLOOKUP(C2,$AB$2:$AE$17,2,0)*D3</f>
        <v>1.3333333333333335E-3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8866.6666666667425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2660.0000000000227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6206.6666666667197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2.5162162162162372E-2</v>
      </c>
      <c r="AC20" s="50" t="s">
        <v>1282</v>
      </c>
    </row>
    <row r="21" spans="1:31" x14ac:dyDescent="0.25">
      <c r="B21" t="s">
        <v>1266</v>
      </c>
      <c r="C21" s="88">
        <f>+C16</f>
        <v>8866.6666666667425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3.8439306358381824E-2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100-000000000000}">
      <formula1>$AB$23:$AB$36</formula1>
    </dataValidation>
    <dataValidation type="list" allowBlank="1" showInputMessage="1" showErrorMessage="1" sqref="C2" xr:uid="{00000000-0002-0000-0100-000001000000}">
      <formula1>$AB$2:$AB$17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AG36"/>
  <sheetViews>
    <sheetView zoomScale="145" zoomScaleNormal="145" workbookViewId="0">
      <selection activeCell="C3" sqref="C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1287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1278</v>
      </c>
      <c r="D3" s="81">
        <f>VLOOKUP(C3,AB23:AD36,3,0)</f>
        <v>0.9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60000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54000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3000</v>
      </c>
      <c r="D11" s="101">
        <v>0.02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325.2000000000001</v>
      </c>
      <c r="D12" s="95">
        <v>0.04</v>
      </c>
      <c r="E12" t="s">
        <v>1257</v>
      </c>
      <c r="F12" s="50" t="s">
        <v>1256</v>
      </c>
      <c r="G12" s="93">
        <f>C4*VLOOKUP(C2,AB2:AE17,4,0)*D3</f>
        <v>8130.0000000000027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1590.0000000000002</v>
      </c>
      <c r="D14" s="52">
        <f>VLOOKUP(C2,$AB$2:$AE$17,2,0)*D3</f>
        <v>1.0600000000000002E-2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43735.199999999997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13120.56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30614.639999999999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3.7656383763837624</v>
      </c>
      <c r="AC20" s="50" t="s">
        <v>1282</v>
      </c>
    </row>
    <row r="21" spans="1:31" x14ac:dyDescent="0.25">
      <c r="B21" t="s">
        <v>1266</v>
      </c>
      <c r="C21" s="88">
        <f>+C16</f>
        <v>43735.199999999997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6.6873394495412812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200-000000000000}">
      <formula1>$AB$2:$AB$17</formula1>
    </dataValidation>
    <dataValidation type="list" allowBlank="1" showInputMessage="1" showErrorMessage="1" sqref="C3" xr:uid="{00000000-0002-0000-0200-000001000000}">
      <formula1>$AB$23:$AB$36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1286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75000</v>
      </c>
      <c r="D5" s="86">
        <v>0.5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30000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24000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510</v>
      </c>
      <c r="D11" s="101">
        <v>3.3999999999999998E-3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361.33333333333343</v>
      </c>
      <c r="D12" s="95">
        <v>0.04</v>
      </c>
      <c r="E12" t="s">
        <v>1257</v>
      </c>
      <c r="F12" s="50" t="s">
        <v>1256</v>
      </c>
      <c r="G12" s="93">
        <f>C4*VLOOKUP(C2,AB2:AE17,4,0)*D3</f>
        <v>9033.3333333333358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883.33333333333348</v>
      </c>
      <c r="D14" s="52">
        <f>VLOOKUP(C2,$AB$2:$AE$17,2,0)*D3</f>
        <v>1.1777777777777779E-2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11987.999999999998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3596.3999999999992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8391.5999999999985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0.92895940959409551</v>
      </c>
      <c r="AC20" s="50" t="s">
        <v>1282</v>
      </c>
    </row>
    <row r="21" spans="1:31" x14ac:dyDescent="0.25">
      <c r="B21" t="s">
        <v>1266</v>
      </c>
      <c r="C21" s="88">
        <f>+C16</f>
        <v>11987.999999999998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1.4709202453987724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300-000000000000}">
      <formula1>$AB$23:$AB$36</formula1>
    </dataValidation>
    <dataValidation type="list" allowBlank="1" showInputMessage="1" showErrorMessage="1" sqref="C2" xr:uid="{00000000-0002-0000-0300-000001000000}">
      <formula1>$AB$2:$AB$17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77</v>
      </c>
      <c r="AB2" s="22">
        <v>22</v>
      </c>
    </row>
    <row r="3" spans="1:33" x14ac:dyDescent="0.25">
      <c r="B3" t="s">
        <v>1264</v>
      </c>
      <c r="C3" s="84" t="s">
        <v>1276</v>
      </c>
      <c r="D3" s="81">
        <f>VLOOKUP(C3,AB23:AD36,3,0)</f>
        <v>0.8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2500000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2500000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500000</v>
      </c>
      <c r="D7" s="101">
        <v>0.2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400000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6.0000000000000001E-3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22577.777777777781</v>
      </c>
      <c r="D12" s="95">
        <v>0.04</v>
      </c>
      <c r="E12" t="s">
        <v>1257</v>
      </c>
      <c r="F12" s="50" t="s">
        <v>1256</v>
      </c>
      <c r="G12" s="93">
        <f>C4*VLOOKUP(C2,AB2:AE17,4,0)*D3</f>
        <v>564444.4444444445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40000</v>
      </c>
      <c r="D14" s="52">
        <f>VLOOKUP(C2,$AB$2:$AE$17,2,0)*D3</f>
        <v>1.6E-2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197577.77777777775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59273.333333333321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138304.44444444444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0.24502755905511808</v>
      </c>
      <c r="AC20" s="50" t="s">
        <v>1282</v>
      </c>
    </row>
    <row r="21" spans="1:31" x14ac:dyDescent="0.25">
      <c r="B21" t="s">
        <v>1266</v>
      </c>
      <c r="C21" s="88">
        <f>+C16</f>
        <v>197577.77777777775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0.37673728813559315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400-000000000000}">
      <formula1>$AB$2:$AB$17</formula1>
    </dataValidation>
    <dataValidation type="list" allowBlank="1" showInputMessage="1" showErrorMessage="1" sqref="C3" xr:uid="{00000000-0002-0000-0400-000001000000}">
      <formula1>$AB$23:$AB$36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2:AA205"/>
  <sheetViews>
    <sheetView topLeftCell="B1" zoomScale="115" zoomScaleNormal="115" workbookViewId="0">
      <selection activeCell="B13" sqref="B13"/>
    </sheetView>
  </sheetViews>
  <sheetFormatPr defaultColWidth="11.42578125" defaultRowHeight="15" x14ac:dyDescent="0.25"/>
  <cols>
    <col min="1" max="1" width="12.5703125" bestFit="1" customWidth="1"/>
    <col min="2" max="2" width="8.42578125" bestFit="1" customWidth="1"/>
    <col min="3" max="4" width="8.7109375" bestFit="1" customWidth="1"/>
    <col min="5" max="5" width="15.140625" bestFit="1" customWidth="1"/>
    <col min="6" max="6" width="13.42578125" bestFit="1" customWidth="1"/>
    <col min="7" max="7" width="12.28515625" bestFit="1" customWidth="1"/>
    <col min="8" max="8" width="8.85546875" bestFit="1" customWidth="1"/>
    <col min="9" max="9" width="10.140625" bestFit="1" customWidth="1"/>
    <col min="10" max="10" width="8.85546875" bestFit="1" customWidth="1"/>
    <col min="11" max="11" width="13.140625" bestFit="1" customWidth="1"/>
    <col min="12" max="12" width="12.42578125" bestFit="1" customWidth="1"/>
    <col min="13" max="15" width="13.140625" bestFit="1" customWidth="1"/>
    <col min="16" max="18" width="9" bestFit="1" customWidth="1"/>
    <col min="19" max="19" width="8.7109375" bestFit="1" customWidth="1"/>
    <col min="20" max="27" width="6" customWidth="1"/>
    <col min="28" max="35" width="18.85546875" bestFit="1" customWidth="1"/>
    <col min="36" max="36" width="22.85546875" bestFit="1" customWidth="1"/>
    <col min="37" max="37" width="23.85546875" bestFit="1" customWidth="1"/>
  </cols>
  <sheetData>
    <row r="2" spans="1:20" x14ac:dyDescent="0.25">
      <c r="E2" s="129">
        <f>6^10</f>
        <v>60466176</v>
      </c>
    </row>
    <row r="3" spans="1:20" x14ac:dyDescent="0.25">
      <c r="A3" s="105"/>
      <c r="B3" s="107"/>
      <c r="C3" s="106" t="s">
        <v>1196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8"/>
    </row>
    <row r="4" spans="1:20" x14ac:dyDescent="0.25">
      <c r="A4" s="106" t="s">
        <v>1289</v>
      </c>
      <c r="B4" s="106" t="s">
        <v>1192</v>
      </c>
      <c r="C4" s="105">
        <v>0</v>
      </c>
      <c r="D4" s="111">
        <v>22</v>
      </c>
      <c r="E4" s="111">
        <v>40</v>
      </c>
      <c r="F4" s="111">
        <v>60</v>
      </c>
      <c r="G4" s="111">
        <v>65</v>
      </c>
      <c r="H4" s="111">
        <v>70</v>
      </c>
      <c r="I4" s="111">
        <v>73</v>
      </c>
      <c r="J4" s="111">
        <v>75</v>
      </c>
      <c r="K4" s="111">
        <v>77</v>
      </c>
      <c r="L4" s="111">
        <v>80</v>
      </c>
      <c r="M4" s="111">
        <v>83</v>
      </c>
      <c r="N4" s="111">
        <v>85</v>
      </c>
      <c r="O4" s="111">
        <v>87</v>
      </c>
      <c r="P4" s="111">
        <v>90</v>
      </c>
      <c r="Q4" s="111">
        <v>93</v>
      </c>
      <c r="R4" s="111">
        <v>95</v>
      </c>
      <c r="S4" s="111">
        <v>99</v>
      </c>
      <c r="T4" s="110" t="s">
        <v>1177</v>
      </c>
    </row>
    <row r="5" spans="1:20" x14ac:dyDescent="0.25">
      <c r="A5" s="105" t="s">
        <v>1175</v>
      </c>
      <c r="B5" s="105">
        <v>0</v>
      </c>
      <c r="C5" s="112">
        <v>0.85135135135135132</v>
      </c>
      <c r="D5" s="122">
        <v>0</v>
      </c>
      <c r="E5" s="122">
        <v>0</v>
      </c>
      <c r="F5" s="122">
        <v>0</v>
      </c>
      <c r="G5" s="122">
        <v>1.5015015015015015E-3</v>
      </c>
      <c r="H5" s="122">
        <v>0</v>
      </c>
      <c r="I5" s="122">
        <v>9.0090090090090089E-3</v>
      </c>
      <c r="J5" s="122">
        <v>0</v>
      </c>
      <c r="K5" s="122">
        <v>1.2012012012012012E-2</v>
      </c>
      <c r="L5" s="122">
        <v>1.8018018018018018E-2</v>
      </c>
      <c r="M5" s="122">
        <v>2.8528528528528527E-2</v>
      </c>
      <c r="N5" s="122">
        <v>5.7057057057057055E-2</v>
      </c>
      <c r="O5" s="122">
        <v>2.1021021021021023E-2</v>
      </c>
      <c r="P5" s="122">
        <v>1.5015015015015015E-3</v>
      </c>
      <c r="Q5" s="122">
        <v>0</v>
      </c>
      <c r="R5" s="122">
        <v>0</v>
      </c>
      <c r="S5" s="122">
        <v>0</v>
      </c>
      <c r="T5" s="123">
        <v>1</v>
      </c>
    </row>
    <row r="6" spans="1:20" x14ac:dyDescent="0.25">
      <c r="A6" s="109"/>
      <c r="B6" s="115">
        <v>22</v>
      </c>
      <c r="C6" s="116">
        <v>0</v>
      </c>
      <c r="D6" s="28">
        <v>1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124">
        <v>1</v>
      </c>
    </row>
    <row r="7" spans="1:20" x14ac:dyDescent="0.25">
      <c r="A7" s="109"/>
      <c r="B7" s="115">
        <v>40</v>
      </c>
      <c r="C7" s="116">
        <v>0</v>
      </c>
      <c r="D7" s="28">
        <v>0</v>
      </c>
      <c r="E7" s="28">
        <v>1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124">
        <v>1</v>
      </c>
    </row>
    <row r="8" spans="1:20" x14ac:dyDescent="0.25">
      <c r="A8" s="109"/>
      <c r="B8" s="115">
        <v>60</v>
      </c>
      <c r="C8" s="116">
        <v>0.66666666666666663</v>
      </c>
      <c r="D8" s="28">
        <v>0</v>
      </c>
      <c r="E8" s="28">
        <v>0</v>
      </c>
      <c r="F8" s="28">
        <v>0.33333333333333331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124">
        <v>1</v>
      </c>
    </row>
    <row r="9" spans="1:20" x14ac:dyDescent="0.25">
      <c r="A9" s="109"/>
      <c r="B9" s="115">
        <v>65</v>
      </c>
      <c r="C9" s="116">
        <v>0.44444444444444442</v>
      </c>
      <c r="D9" s="28">
        <v>0.1111111111111111</v>
      </c>
      <c r="E9" s="28">
        <v>0</v>
      </c>
      <c r="F9" s="28">
        <v>0.1111111111111111</v>
      </c>
      <c r="G9" s="28">
        <v>0.22222222222222221</v>
      </c>
      <c r="H9" s="28">
        <v>0.1111111111111111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124">
        <v>1</v>
      </c>
    </row>
    <row r="10" spans="1:20" x14ac:dyDescent="0.25">
      <c r="A10" s="109"/>
      <c r="B10" s="115">
        <v>70</v>
      </c>
      <c r="C10" s="116">
        <v>0.4</v>
      </c>
      <c r="D10" s="28">
        <v>0</v>
      </c>
      <c r="E10" s="28">
        <v>0</v>
      </c>
      <c r="F10" s="28">
        <v>0</v>
      </c>
      <c r="G10" s="28">
        <v>0.2</v>
      </c>
      <c r="H10" s="28">
        <v>0.2</v>
      </c>
      <c r="I10" s="28">
        <v>0</v>
      </c>
      <c r="J10" s="28">
        <v>0.2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124">
        <v>1</v>
      </c>
    </row>
    <row r="11" spans="1:20" x14ac:dyDescent="0.25">
      <c r="A11" s="109"/>
      <c r="B11" s="115">
        <v>73</v>
      </c>
      <c r="C11" s="116">
        <v>0.13333333333333333</v>
      </c>
      <c r="D11" s="28">
        <v>0</v>
      </c>
      <c r="E11" s="28">
        <v>6.6666666666666666E-2</v>
      </c>
      <c r="F11" s="28">
        <v>0</v>
      </c>
      <c r="G11" s="28">
        <v>0</v>
      </c>
      <c r="H11" s="28">
        <v>6.6666666666666666E-2</v>
      </c>
      <c r="I11" s="28">
        <v>0.2</v>
      </c>
      <c r="J11" s="28">
        <v>0.2</v>
      </c>
      <c r="K11" s="28">
        <v>0.33333333333333331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124">
        <v>1</v>
      </c>
    </row>
    <row r="12" spans="1:20" x14ac:dyDescent="0.25">
      <c r="A12" s="109"/>
      <c r="B12" s="115">
        <v>75</v>
      </c>
      <c r="C12" s="116">
        <v>0.31578947368421051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0.36842105263157893</v>
      </c>
      <c r="J12" s="28">
        <v>0.10526315789473684</v>
      </c>
      <c r="K12" s="28">
        <v>0.21052631578947367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124">
        <v>1</v>
      </c>
    </row>
    <row r="13" spans="1:20" x14ac:dyDescent="0.25">
      <c r="A13" s="109"/>
      <c r="B13" s="115">
        <v>77</v>
      </c>
      <c r="C13" s="116">
        <v>0.15151515151515152</v>
      </c>
      <c r="D13" s="28">
        <v>3.0303030303030304E-2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9.0909090909090912E-2</v>
      </c>
      <c r="K13" s="28">
        <v>0.36363636363636365</v>
      </c>
      <c r="L13" s="28">
        <v>0.21212121212121213</v>
      </c>
      <c r="M13" s="28">
        <v>9.0909090909090912E-2</v>
      </c>
      <c r="N13" s="28">
        <v>6.0606060606060608E-2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124">
        <v>1</v>
      </c>
    </row>
    <row r="14" spans="1:20" x14ac:dyDescent="0.25">
      <c r="A14" s="109"/>
      <c r="B14" s="115">
        <v>80</v>
      </c>
      <c r="C14" s="116">
        <v>0.19642857142857142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0.10714285714285714</v>
      </c>
      <c r="J14" s="28">
        <v>3.5714285714285712E-2</v>
      </c>
      <c r="K14" s="28">
        <v>0.16071428571428573</v>
      </c>
      <c r="L14" s="28">
        <v>0.3392857142857143</v>
      </c>
      <c r="M14" s="28">
        <v>8.9285714285714288E-2</v>
      </c>
      <c r="N14" s="28">
        <v>5.3571428571428568E-2</v>
      </c>
      <c r="O14" s="28">
        <v>1.7857142857142856E-2</v>
      </c>
      <c r="P14" s="28">
        <v>0</v>
      </c>
      <c r="Q14" s="28">
        <v>0</v>
      </c>
      <c r="R14" s="28">
        <v>0</v>
      </c>
      <c r="S14" s="28">
        <v>0</v>
      </c>
      <c r="T14" s="124">
        <v>1</v>
      </c>
    </row>
    <row r="15" spans="1:20" x14ac:dyDescent="0.25">
      <c r="A15" s="109"/>
      <c r="B15" s="115">
        <v>83</v>
      </c>
      <c r="C15" s="116">
        <v>0.15662650602409639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1.2048192771084338E-2</v>
      </c>
      <c r="J15" s="28">
        <v>3.614457831325301E-2</v>
      </c>
      <c r="K15" s="28">
        <v>3.614457831325301E-2</v>
      </c>
      <c r="L15" s="28">
        <v>0.14457831325301204</v>
      </c>
      <c r="M15" s="28">
        <v>0.43373493975903615</v>
      </c>
      <c r="N15" s="28">
        <v>0.14457831325301204</v>
      </c>
      <c r="O15" s="28">
        <v>2.4096385542168676E-2</v>
      </c>
      <c r="P15" s="28">
        <v>0</v>
      </c>
      <c r="Q15" s="28">
        <v>0</v>
      </c>
      <c r="R15" s="28">
        <v>1.2048192771084338E-2</v>
      </c>
      <c r="S15" s="28">
        <v>0</v>
      </c>
      <c r="T15" s="124">
        <v>1</v>
      </c>
    </row>
    <row r="16" spans="1:20" x14ac:dyDescent="0.25">
      <c r="A16" s="109"/>
      <c r="B16" s="115">
        <v>85</v>
      </c>
      <c r="C16" s="116">
        <v>0.15625</v>
      </c>
      <c r="D16" s="28">
        <v>1.5625E-2</v>
      </c>
      <c r="E16" s="28">
        <v>0</v>
      </c>
      <c r="F16" s="28">
        <v>0</v>
      </c>
      <c r="G16" s="28">
        <v>0</v>
      </c>
      <c r="H16" s="28">
        <v>0</v>
      </c>
      <c r="I16" s="28">
        <v>7.8125E-3</v>
      </c>
      <c r="J16" s="28">
        <v>7.8125E-3</v>
      </c>
      <c r="K16" s="28">
        <v>3.125E-2</v>
      </c>
      <c r="L16" s="28">
        <v>5.46875E-2</v>
      </c>
      <c r="M16" s="28">
        <v>0.1796875</v>
      </c>
      <c r="N16" s="28">
        <v>0.4609375</v>
      </c>
      <c r="O16" s="28">
        <v>8.59375E-2</v>
      </c>
      <c r="P16" s="28">
        <v>0</v>
      </c>
      <c r="Q16" s="28">
        <v>0</v>
      </c>
      <c r="R16" s="28">
        <v>0</v>
      </c>
      <c r="S16" s="28">
        <v>0</v>
      </c>
      <c r="T16" s="124">
        <v>1</v>
      </c>
    </row>
    <row r="17" spans="1:20" x14ac:dyDescent="0.25">
      <c r="A17" s="109"/>
      <c r="B17" s="115">
        <v>87</v>
      </c>
      <c r="C17" s="116">
        <v>0.17910447761194029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1.4925373134328358E-2</v>
      </c>
      <c r="L17" s="28">
        <v>4.4776119402985072E-2</v>
      </c>
      <c r="M17" s="28">
        <v>8.9552238805970144E-2</v>
      </c>
      <c r="N17" s="28">
        <v>0.20895522388059701</v>
      </c>
      <c r="O17" s="28">
        <v>0.43283582089552236</v>
      </c>
      <c r="P17" s="28">
        <v>2.9850746268656716E-2</v>
      </c>
      <c r="Q17" s="28">
        <v>0</v>
      </c>
      <c r="R17" s="28">
        <v>0</v>
      </c>
      <c r="S17" s="28">
        <v>0</v>
      </c>
      <c r="T17" s="124">
        <v>1</v>
      </c>
    </row>
    <row r="18" spans="1:20" x14ac:dyDescent="0.25">
      <c r="A18" s="109"/>
      <c r="B18" s="115">
        <v>90</v>
      </c>
      <c r="C18" s="116">
        <v>0.1111111111111111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0.1111111111111111</v>
      </c>
      <c r="O18" s="28">
        <v>0.55555555555555558</v>
      </c>
      <c r="P18" s="28">
        <v>0.22222222222222221</v>
      </c>
      <c r="Q18" s="28">
        <v>0</v>
      </c>
      <c r="R18" s="28">
        <v>0</v>
      </c>
      <c r="S18" s="28">
        <v>0</v>
      </c>
      <c r="T18" s="124">
        <v>1</v>
      </c>
    </row>
    <row r="19" spans="1:20" x14ac:dyDescent="0.25">
      <c r="A19" s="109"/>
      <c r="B19" s="115">
        <v>93</v>
      </c>
      <c r="C19" s="116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</v>
      </c>
      <c r="R19" s="28">
        <v>0</v>
      </c>
      <c r="S19" s="28">
        <v>0</v>
      </c>
      <c r="T19" s="124">
        <v>1</v>
      </c>
    </row>
    <row r="20" spans="1:20" x14ac:dyDescent="0.25">
      <c r="A20" s="109"/>
      <c r="B20" s="115">
        <v>95</v>
      </c>
      <c r="C20" s="116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  <c r="S20" s="28">
        <v>0</v>
      </c>
      <c r="T20" s="124">
        <v>1</v>
      </c>
    </row>
    <row r="21" spans="1:20" x14ac:dyDescent="0.25">
      <c r="A21" s="109"/>
      <c r="B21" s="115">
        <v>99</v>
      </c>
      <c r="C21" s="116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  <c r="T21" s="124">
        <v>1</v>
      </c>
    </row>
    <row r="22" spans="1:20" x14ac:dyDescent="0.25">
      <c r="A22" s="105" t="s">
        <v>1292</v>
      </c>
      <c r="B22" s="105">
        <v>0</v>
      </c>
      <c r="C22" s="125">
        <v>567</v>
      </c>
      <c r="D22" s="113"/>
      <c r="E22" s="113"/>
      <c r="F22" s="113"/>
      <c r="G22" s="113">
        <v>1</v>
      </c>
      <c r="H22" s="113"/>
      <c r="I22" s="113">
        <v>6</v>
      </c>
      <c r="J22" s="113"/>
      <c r="K22" s="113">
        <v>8</v>
      </c>
      <c r="L22" s="113">
        <v>12</v>
      </c>
      <c r="M22" s="113">
        <v>19</v>
      </c>
      <c r="N22" s="113">
        <v>38</v>
      </c>
      <c r="O22" s="113">
        <v>14</v>
      </c>
      <c r="P22" s="113">
        <v>1</v>
      </c>
      <c r="Q22" s="113"/>
      <c r="R22" s="113"/>
      <c r="S22" s="113"/>
      <c r="T22" s="114">
        <v>666</v>
      </c>
    </row>
    <row r="23" spans="1:20" x14ac:dyDescent="0.25">
      <c r="A23" s="109"/>
      <c r="B23" s="115">
        <v>22</v>
      </c>
      <c r="C23" s="126"/>
      <c r="D23" s="117">
        <v>90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8">
        <v>90</v>
      </c>
    </row>
    <row r="24" spans="1:20" x14ac:dyDescent="0.25">
      <c r="A24" s="109"/>
      <c r="B24" s="115">
        <v>40</v>
      </c>
      <c r="C24" s="126"/>
      <c r="D24" s="117"/>
      <c r="E24" s="117">
        <v>1</v>
      </c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8">
        <v>1</v>
      </c>
    </row>
    <row r="25" spans="1:20" x14ac:dyDescent="0.25">
      <c r="A25" s="109"/>
      <c r="B25" s="115">
        <v>60</v>
      </c>
      <c r="C25" s="126">
        <v>2</v>
      </c>
      <c r="D25" s="117"/>
      <c r="E25" s="117"/>
      <c r="F25" s="117">
        <v>1</v>
      </c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8">
        <v>3</v>
      </c>
    </row>
    <row r="26" spans="1:20" x14ac:dyDescent="0.25">
      <c r="A26" s="109"/>
      <c r="B26" s="115">
        <v>65</v>
      </c>
      <c r="C26" s="126">
        <v>4</v>
      </c>
      <c r="D26" s="117">
        <v>1</v>
      </c>
      <c r="E26" s="117"/>
      <c r="F26" s="117">
        <v>1</v>
      </c>
      <c r="G26" s="117">
        <v>2</v>
      </c>
      <c r="H26" s="117">
        <v>1</v>
      </c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8">
        <v>9</v>
      </c>
    </row>
    <row r="27" spans="1:20" x14ac:dyDescent="0.25">
      <c r="A27" s="109"/>
      <c r="B27" s="115">
        <v>70</v>
      </c>
      <c r="C27" s="126">
        <v>2</v>
      </c>
      <c r="D27" s="117"/>
      <c r="E27" s="117"/>
      <c r="F27" s="117"/>
      <c r="G27" s="117">
        <v>1</v>
      </c>
      <c r="H27" s="117">
        <v>1</v>
      </c>
      <c r="I27" s="117"/>
      <c r="J27" s="117">
        <v>1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8">
        <v>5</v>
      </c>
    </row>
    <row r="28" spans="1:20" x14ac:dyDescent="0.25">
      <c r="A28" s="109"/>
      <c r="B28" s="115">
        <v>73</v>
      </c>
      <c r="C28" s="126">
        <v>2</v>
      </c>
      <c r="D28" s="117"/>
      <c r="E28" s="117">
        <v>1</v>
      </c>
      <c r="F28" s="117"/>
      <c r="G28" s="117"/>
      <c r="H28" s="117">
        <v>1</v>
      </c>
      <c r="I28" s="117">
        <v>3</v>
      </c>
      <c r="J28" s="117">
        <v>3</v>
      </c>
      <c r="K28" s="117">
        <v>5</v>
      </c>
      <c r="L28" s="117"/>
      <c r="M28" s="117"/>
      <c r="N28" s="117"/>
      <c r="O28" s="117"/>
      <c r="P28" s="117"/>
      <c r="Q28" s="117"/>
      <c r="R28" s="117"/>
      <c r="S28" s="117"/>
      <c r="T28" s="118">
        <v>15</v>
      </c>
    </row>
    <row r="29" spans="1:20" x14ac:dyDescent="0.25">
      <c r="A29" s="109"/>
      <c r="B29" s="115">
        <v>75</v>
      </c>
      <c r="C29" s="126">
        <v>6</v>
      </c>
      <c r="D29" s="117"/>
      <c r="E29" s="117"/>
      <c r="F29" s="117"/>
      <c r="G29" s="117"/>
      <c r="H29" s="117"/>
      <c r="I29" s="117">
        <v>7</v>
      </c>
      <c r="J29" s="117">
        <v>2</v>
      </c>
      <c r="K29" s="117">
        <v>4</v>
      </c>
      <c r="L29" s="117"/>
      <c r="M29" s="117"/>
      <c r="N29" s="117"/>
      <c r="O29" s="117"/>
      <c r="P29" s="117"/>
      <c r="Q29" s="117"/>
      <c r="R29" s="117"/>
      <c r="S29" s="117"/>
      <c r="T29" s="118">
        <v>19</v>
      </c>
    </row>
    <row r="30" spans="1:20" x14ac:dyDescent="0.25">
      <c r="A30" s="109"/>
      <c r="B30" s="115">
        <v>77</v>
      </c>
      <c r="C30" s="126">
        <v>5</v>
      </c>
      <c r="D30" s="117">
        <v>1</v>
      </c>
      <c r="E30" s="117"/>
      <c r="F30" s="117"/>
      <c r="G30" s="117"/>
      <c r="H30" s="117"/>
      <c r="I30" s="117"/>
      <c r="J30" s="117">
        <v>3</v>
      </c>
      <c r="K30" s="117">
        <v>12</v>
      </c>
      <c r="L30" s="117">
        <v>7</v>
      </c>
      <c r="M30" s="117">
        <v>3</v>
      </c>
      <c r="N30" s="117">
        <v>2</v>
      </c>
      <c r="O30" s="117"/>
      <c r="P30" s="117"/>
      <c r="Q30" s="117"/>
      <c r="R30" s="117"/>
      <c r="S30" s="117"/>
      <c r="T30" s="118">
        <v>33</v>
      </c>
    </row>
    <row r="31" spans="1:20" x14ac:dyDescent="0.25">
      <c r="A31" s="109"/>
      <c r="B31" s="115">
        <v>80</v>
      </c>
      <c r="C31" s="126">
        <v>11</v>
      </c>
      <c r="D31" s="117"/>
      <c r="E31" s="117"/>
      <c r="F31" s="117"/>
      <c r="G31" s="117"/>
      <c r="H31" s="117"/>
      <c r="I31" s="117">
        <v>6</v>
      </c>
      <c r="J31" s="117">
        <v>2</v>
      </c>
      <c r="K31" s="117">
        <v>9</v>
      </c>
      <c r="L31" s="117">
        <v>19</v>
      </c>
      <c r="M31" s="117">
        <v>5</v>
      </c>
      <c r="N31" s="117">
        <v>3</v>
      </c>
      <c r="O31" s="117">
        <v>1</v>
      </c>
      <c r="P31" s="117"/>
      <c r="Q31" s="117"/>
      <c r="R31" s="117"/>
      <c r="S31" s="117"/>
      <c r="T31" s="118">
        <v>56</v>
      </c>
    </row>
    <row r="32" spans="1:20" x14ac:dyDescent="0.25">
      <c r="A32" s="109"/>
      <c r="B32" s="115">
        <v>83</v>
      </c>
      <c r="C32" s="126">
        <v>13</v>
      </c>
      <c r="D32" s="117"/>
      <c r="E32" s="117"/>
      <c r="F32" s="117"/>
      <c r="G32" s="117"/>
      <c r="H32" s="117"/>
      <c r="I32" s="117">
        <v>1</v>
      </c>
      <c r="J32" s="117">
        <v>3</v>
      </c>
      <c r="K32" s="117">
        <v>3</v>
      </c>
      <c r="L32" s="117">
        <v>12</v>
      </c>
      <c r="M32" s="117">
        <v>36</v>
      </c>
      <c r="N32" s="117">
        <v>12</v>
      </c>
      <c r="O32" s="117">
        <v>2</v>
      </c>
      <c r="P32" s="117"/>
      <c r="Q32" s="117"/>
      <c r="R32" s="117">
        <v>1</v>
      </c>
      <c r="S32" s="117"/>
      <c r="T32" s="118">
        <v>83</v>
      </c>
    </row>
    <row r="33" spans="1:20" x14ac:dyDescent="0.25">
      <c r="A33" s="109"/>
      <c r="B33" s="115">
        <v>85</v>
      </c>
      <c r="C33" s="126">
        <v>20</v>
      </c>
      <c r="D33" s="117">
        <v>2</v>
      </c>
      <c r="E33" s="117"/>
      <c r="F33" s="117"/>
      <c r="G33" s="117"/>
      <c r="H33" s="117"/>
      <c r="I33" s="117">
        <v>1</v>
      </c>
      <c r="J33" s="117">
        <v>1</v>
      </c>
      <c r="K33" s="117">
        <v>4</v>
      </c>
      <c r="L33" s="117">
        <v>7</v>
      </c>
      <c r="M33" s="117">
        <v>23</v>
      </c>
      <c r="N33" s="117">
        <v>59</v>
      </c>
      <c r="O33" s="117">
        <v>11</v>
      </c>
      <c r="P33" s="117"/>
      <c r="Q33" s="117"/>
      <c r="R33" s="117"/>
      <c r="S33" s="117"/>
      <c r="T33" s="118">
        <v>128</v>
      </c>
    </row>
    <row r="34" spans="1:20" x14ac:dyDescent="0.25">
      <c r="A34" s="109"/>
      <c r="B34" s="115">
        <v>87</v>
      </c>
      <c r="C34" s="126">
        <v>12</v>
      </c>
      <c r="D34" s="117"/>
      <c r="E34" s="117"/>
      <c r="F34" s="117"/>
      <c r="G34" s="117"/>
      <c r="H34" s="117"/>
      <c r="I34" s="117"/>
      <c r="J34" s="117"/>
      <c r="K34" s="117">
        <v>1</v>
      </c>
      <c r="L34" s="117">
        <v>3</v>
      </c>
      <c r="M34" s="117">
        <v>6</v>
      </c>
      <c r="N34" s="117">
        <v>14</v>
      </c>
      <c r="O34" s="117">
        <v>29</v>
      </c>
      <c r="P34" s="117">
        <v>2</v>
      </c>
      <c r="Q34" s="117"/>
      <c r="R34" s="117"/>
      <c r="S34" s="117"/>
      <c r="T34" s="118">
        <v>67</v>
      </c>
    </row>
    <row r="35" spans="1:20" x14ac:dyDescent="0.25">
      <c r="A35" s="109"/>
      <c r="B35" s="115">
        <v>90</v>
      </c>
      <c r="C35" s="126">
        <v>1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>
        <v>1</v>
      </c>
      <c r="O35" s="117">
        <v>5</v>
      </c>
      <c r="P35" s="117">
        <v>2</v>
      </c>
      <c r="Q35" s="117"/>
      <c r="R35" s="117"/>
      <c r="S35" s="117"/>
      <c r="T35" s="118">
        <v>9</v>
      </c>
    </row>
    <row r="36" spans="1:20" x14ac:dyDescent="0.25">
      <c r="A36" s="109"/>
      <c r="B36" s="115">
        <v>93</v>
      </c>
      <c r="C36" s="12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>
        <v>1</v>
      </c>
      <c r="R36" s="117"/>
      <c r="S36" s="117"/>
      <c r="T36" s="118">
        <v>1</v>
      </c>
    </row>
    <row r="37" spans="1:20" x14ac:dyDescent="0.25">
      <c r="A37" s="109"/>
      <c r="B37" s="115">
        <v>95</v>
      </c>
      <c r="C37" s="12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>
        <v>1</v>
      </c>
      <c r="S37" s="117"/>
      <c r="T37" s="118">
        <v>1</v>
      </c>
    </row>
    <row r="38" spans="1:20" x14ac:dyDescent="0.25">
      <c r="A38" s="109"/>
      <c r="B38" s="115">
        <v>99</v>
      </c>
      <c r="C38" s="12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>
        <v>1</v>
      </c>
      <c r="T38" s="118">
        <v>1</v>
      </c>
    </row>
    <row r="39" spans="1:20" x14ac:dyDescent="0.25">
      <c r="A39" s="105" t="s">
        <v>1290</v>
      </c>
      <c r="B39" s="107"/>
      <c r="C39" s="112">
        <v>0.54338668913226618</v>
      </c>
      <c r="D39" s="122">
        <v>7.919123841617523E-2</v>
      </c>
      <c r="E39" s="122">
        <v>1.6849199663016006E-3</v>
      </c>
      <c r="F39" s="122">
        <v>1.6849199663016006E-3</v>
      </c>
      <c r="G39" s="122">
        <v>3.3698399326032012E-3</v>
      </c>
      <c r="H39" s="122">
        <v>2.527379949452401E-3</v>
      </c>
      <c r="I39" s="122">
        <v>2.0219039595619208E-2</v>
      </c>
      <c r="J39" s="122">
        <v>1.2636899747262006E-2</v>
      </c>
      <c r="K39" s="122">
        <v>3.8753159224936815E-2</v>
      </c>
      <c r="L39" s="122">
        <v>5.0547598989048023E-2</v>
      </c>
      <c r="M39" s="122">
        <v>7.7506318449873629E-2</v>
      </c>
      <c r="N39" s="122">
        <v>0.10867733782645324</v>
      </c>
      <c r="O39" s="122">
        <v>5.2232518955349617E-2</v>
      </c>
      <c r="P39" s="122">
        <v>4.2122999157540014E-3</v>
      </c>
      <c r="Q39" s="122">
        <v>8.4245998315080029E-4</v>
      </c>
      <c r="R39" s="122">
        <v>1.6849199663016006E-3</v>
      </c>
      <c r="S39" s="122">
        <v>8.4245998315080029E-4</v>
      </c>
      <c r="T39" s="123">
        <v>1</v>
      </c>
    </row>
    <row r="40" spans="1:20" x14ac:dyDescent="0.25">
      <c r="A40" s="119" t="s">
        <v>1291</v>
      </c>
      <c r="B40" s="127"/>
      <c r="C40" s="128">
        <v>645</v>
      </c>
      <c r="D40" s="120">
        <v>94</v>
      </c>
      <c r="E40" s="120">
        <v>2</v>
      </c>
      <c r="F40" s="120">
        <v>2</v>
      </c>
      <c r="G40" s="120">
        <v>4</v>
      </c>
      <c r="H40" s="120">
        <v>3</v>
      </c>
      <c r="I40" s="120">
        <v>24</v>
      </c>
      <c r="J40" s="120">
        <v>15</v>
      </c>
      <c r="K40" s="120">
        <v>46</v>
      </c>
      <c r="L40" s="120">
        <v>60</v>
      </c>
      <c r="M40" s="120">
        <v>92</v>
      </c>
      <c r="N40" s="120">
        <v>129</v>
      </c>
      <c r="O40" s="120">
        <v>62</v>
      </c>
      <c r="P40" s="120">
        <v>5</v>
      </c>
      <c r="Q40" s="120">
        <v>1</v>
      </c>
      <c r="R40" s="120">
        <v>2</v>
      </c>
      <c r="S40" s="120">
        <v>1</v>
      </c>
      <c r="T40" s="121">
        <v>1187</v>
      </c>
    </row>
    <row r="59" spans="4:11" x14ac:dyDescent="0.25">
      <c r="E59" t="s">
        <v>1293</v>
      </c>
      <c r="F59" t="s">
        <v>1294</v>
      </c>
      <c r="G59" t="s">
        <v>1295</v>
      </c>
      <c r="H59" t="s">
        <v>1296</v>
      </c>
      <c r="I59" t="s">
        <v>1297</v>
      </c>
      <c r="J59" t="s">
        <v>1298</v>
      </c>
    </row>
    <row r="60" spans="4:11" x14ac:dyDescent="0.25">
      <c r="D60" t="s">
        <v>1293</v>
      </c>
      <c r="E60" s="103">
        <v>0.81799999999999995</v>
      </c>
      <c r="F60" s="103">
        <v>0.13300000000000001</v>
      </c>
      <c r="G60" s="103">
        <v>0</v>
      </c>
      <c r="H60" s="103">
        <v>4.9000000000000002E-2</v>
      </c>
      <c r="I60" s="103">
        <v>0</v>
      </c>
      <c r="J60" s="103">
        <v>0</v>
      </c>
      <c r="K60" s="89">
        <f t="shared" ref="K60:K65" si="0">SUM(E60:J60)</f>
        <v>1</v>
      </c>
    </row>
    <row r="61" spans="4:11" x14ac:dyDescent="0.25">
      <c r="D61" t="s">
        <v>1294</v>
      </c>
      <c r="E61" s="103">
        <v>4.9000000000000002E-2</v>
      </c>
      <c r="F61" s="103">
        <v>0.83499999999999996</v>
      </c>
      <c r="G61" s="103">
        <v>0.104</v>
      </c>
      <c r="H61" s="103">
        <v>1.2E-2</v>
      </c>
      <c r="I61" s="103">
        <v>0</v>
      </c>
      <c r="J61" s="103">
        <v>0</v>
      </c>
      <c r="K61" s="89">
        <f t="shared" si="0"/>
        <v>1</v>
      </c>
    </row>
    <row r="62" spans="4:11" x14ac:dyDescent="0.25">
      <c r="D62" t="s">
        <v>1295</v>
      </c>
      <c r="E62" s="103">
        <v>5.0000000000000001E-3</v>
      </c>
      <c r="F62" s="103">
        <v>4.4999999999999998E-2</v>
      </c>
      <c r="G62" s="103">
        <v>0.77800000000000002</v>
      </c>
      <c r="H62" s="103">
        <v>0.128</v>
      </c>
      <c r="I62" s="103">
        <v>4.3999999999999997E-2</v>
      </c>
      <c r="J62" s="103">
        <v>0</v>
      </c>
      <c r="K62" s="89">
        <f t="shared" si="0"/>
        <v>1</v>
      </c>
    </row>
    <row r="63" spans="4:11" x14ac:dyDescent="0.25">
      <c r="D63" t="s">
        <v>1296</v>
      </c>
      <c r="E63" s="103">
        <v>2E-3</v>
      </c>
      <c r="F63" s="103">
        <v>8.0000000000000002E-3</v>
      </c>
      <c r="G63" s="103">
        <v>5.7000000000000002E-2</v>
      </c>
      <c r="H63" s="103">
        <v>0.84499999999999997</v>
      </c>
      <c r="I63" s="103">
        <v>0.06</v>
      </c>
      <c r="J63" s="103">
        <v>2.7E-2</v>
      </c>
      <c r="K63" s="89">
        <f t="shared" si="0"/>
        <v>0.999</v>
      </c>
    </row>
    <row r="64" spans="4:11" x14ac:dyDescent="0.25">
      <c r="D64" t="s">
        <v>1297</v>
      </c>
      <c r="E64" s="103">
        <v>0</v>
      </c>
      <c r="F64" s="103">
        <v>0</v>
      </c>
      <c r="G64" s="103">
        <v>0.27800000000000002</v>
      </c>
      <c r="H64" s="103">
        <v>0</v>
      </c>
      <c r="I64" s="103">
        <v>0.69099999999999995</v>
      </c>
      <c r="J64" s="103">
        <v>3.1E-2</v>
      </c>
      <c r="K64" s="89">
        <f t="shared" si="0"/>
        <v>1</v>
      </c>
    </row>
    <row r="65" spans="1:11" x14ac:dyDescent="0.25">
      <c r="D65" t="s">
        <v>1298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1</v>
      </c>
      <c r="K65" s="89">
        <f t="shared" si="0"/>
        <v>1</v>
      </c>
    </row>
    <row r="68" spans="1:11" x14ac:dyDescent="0.25">
      <c r="E68" s="130">
        <f t="array" ref="E68:J73">MMULT(TRANSPOSE(E61:J61),E63:J63)</f>
        <v>9.800000000000001E-5</v>
      </c>
      <c r="F68" s="130">
        <v>3.9200000000000004E-4</v>
      </c>
      <c r="G68" s="130">
        <v>2.7930000000000003E-3</v>
      </c>
      <c r="H68" s="130">
        <v>4.1404999999999997E-2</v>
      </c>
      <c r="I68" s="130">
        <v>2.9399999999999999E-3</v>
      </c>
      <c r="J68" s="130">
        <v>1.323E-3</v>
      </c>
    </row>
    <row r="69" spans="1:11" x14ac:dyDescent="0.25">
      <c r="E69" s="130">
        <v>1.67E-3</v>
      </c>
      <c r="F69" s="130">
        <v>6.6800000000000002E-3</v>
      </c>
      <c r="G69" s="130">
        <v>4.7594999999999998E-2</v>
      </c>
      <c r="H69" s="130">
        <v>0.70557499999999995</v>
      </c>
      <c r="I69" s="130">
        <v>5.0099999999999999E-2</v>
      </c>
      <c r="J69" s="130">
        <v>2.2544999999999999E-2</v>
      </c>
    </row>
    <row r="70" spans="1:11" x14ac:dyDescent="0.25">
      <c r="E70" s="130">
        <v>2.0799999999999999E-4</v>
      </c>
      <c r="F70" s="130">
        <v>8.3199999999999995E-4</v>
      </c>
      <c r="G70" s="130">
        <v>5.9280000000000001E-3</v>
      </c>
      <c r="H70" s="130">
        <v>8.788E-2</v>
      </c>
      <c r="I70" s="130">
        <v>6.2399999999999999E-3</v>
      </c>
      <c r="J70" s="130">
        <v>2.8079999999999997E-3</v>
      </c>
    </row>
    <row r="71" spans="1:11" x14ac:dyDescent="0.25">
      <c r="A71">
        <f>100*0.2/4</f>
        <v>5</v>
      </c>
      <c r="B71">
        <f>A71/(1+0.06)^(C71)</f>
        <v>4.7169811320754711</v>
      </c>
      <c r="C71">
        <v>1</v>
      </c>
      <c r="E71" s="130">
        <v>2.4000000000000001E-5</v>
      </c>
      <c r="F71" s="130">
        <v>9.6000000000000002E-5</v>
      </c>
      <c r="G71" s="130">
        <v>6.8400000000000004E-4</v>
      </c>
      <c r="H71" s="130">
        <v>1.014E-2</v>
      </c>
      <c r="I71" s="130">
        <v>7.1999999999999994E-4</v>
      </c>
      <c r="J71" s="130">
        <v>3.2400000000000001E-4</v>
      </c>
    </row>
    <row r="72" spans="1:11" x14ac:dyDescent="0.25">
      <c r="A72">
        <f>100*0.2/4</f>
        <v>5</v>
      </c>
      <c r="B72">
        <f>A72/(1+0.06)^(C72)</f>
        <v>4.449982200071199</v>
      </c>
      <c r="C72">
        <v>2</v>
      </c>
      <c r="E72" s="130">
        <v>0</v>
      </c>
      <c r="F72" s="130">
        <v>0</v>
      </c>
      <c r="G72" s="130">
        <v>0</v>
      </c>
      <c r="H72" s="130">
        <v>0</v>
      </c>
      <c r="I72" s="130">
        <v>0</v>
      </c>
      <c r="J72" s="130">
        <v>0</v>
      </c>
    </row>
    <row r="73" spans="1:11" x14ac:dyDescent="0.25">
      <c r="A73">
        <f>100*0.2/4</f>
        <v>5</v>
      </c>
      <c r="B73">
        <f>A73/(1+0.06)^(C73)</f>
        <v>4.1980964151615083</v>
      </c>
      <c r="C73">
        <v>3</v>
      </c>
      <c r="E73" s="130">
        <v>0</v>
      </c>
      <c r="F73" s="130">
        <v>0</v>
      </c>
      <c r="G73" s="130">
        <v>0</v>
      </c>
      <c r="H73" s="130">
        <v>0</v>
      </c>
      <c r="I73" s="130">
        <v>0</v>
      </c>
      <c r="J73" s="130">
        <v>0</v>
      </c>
    </row>
    <row r="74" spans="1:11" x14ac:dyDescent="0.25">
      <c r="A74">
        <f>100*0.2/4</f>
        <v>5</v>
      </c>
      <c r="B74">
        <f>A74/(1+0.06)^(C74)</f>
        <v>3.9604683161901022</v>
      </c>
      <c r="C74">
        <v>4</v>
      </c>
    </row>
    <row r="76" spans="1:11" x14ac:dyDescent="0.25">
      <c r="E76" s="130">
        <f t="array" ref="E76:J81">MMULT(F60:F65,E63:J63)</f>
        <v>2.6600000000000001E-4</v>
      </c>
      <c r="F76" s="130">
        <v>1.0640000000000001E-3</v>
      </c>
      <c r="G76" s="130">
        <v>7.5810000000000009E-3</v>
      </c>
      <c r="H76" s="130">
        <v>0.112385</v>
      </c>
      <c r="I76" s="130">
        <v>7.980000000000001E-3</v>
      </c>
      <c r="J76" s="130">
        <v>3.591E-3</v>
      </c>
    </row>
    <row r="77" spans="1:11" x14ac:dyDescent="0.25">
      <c r="E77" s="130">
        <v>1.67E-3</v>
      </c>
      <c r="F77" s="130">
        <v>6.6800000000000002E-3</v>
      </c>
      <c r="G77" s="130">
        <v>4.7594999999999998E-2</v>
      </c>
      <c r="H77" s="130">
        <v>0.70557499999999995</v>
      </c>
      <c r="I77" s="130">
        <v>5.0099999999999999E-2</v>
      </c>
      <c r="J77" s="130">
        <v>2.2544999999999999E-2</v>
      </c>
    </row>
    <row r="78" spans="1:11" x14ac:dyDescent="0.25">
      <c r="E78" s="130">
        <v>8.9999999999999992E-5</v>
      </c>
      <c r="F78" s="130">
        <v>3.5999999999999997E-4</v>
      </c>
      <c r="G78" s="130">
        <v>2.565E-3</v>
      </c>
      <c r="H78" s="130">
        <v>3.8024999999999996E-2</v>
      </c>
      <c r="I78" s="130">
        <v>2.6999999999999997E-3</v>
      </c>
      <c r="J78" s="130">
        <v>1.2149999999999999E-3</v>
      </c>
    </row>
    <row r="79" spans="1:11" x14ac:dyDescent="0.25">
      <c r="E79" s="130">
        <v>1.5999999999999999E-5</v>
      </c>
      <c r="F79" s="130">
        <v>6.3999999999999997E-5</v>
      </c>
      <c r="G79" s="130">
        <v>4.5600000000000003E-4</v>
      </c>
      <c r="H79" s="130">
        <v>6.7599999999999995E-3</v>
      </c>
      <c r="I79" s="130">
        <v>4.8000000000000001E-4</v>
      </c>
      <c r="J79" s="130">
        <v>2.1599999999999999E-4</v>
      </c>
    </row>
    <row r="80" spans="1:11" x14ac:dyDescent="0.25">
      <c r="E80" s="130">
        <v>0</v>
      </c>
      <c r="F80" s="130">
        <v>0</v>
      </c>
      <c r="G80" s="130">
        <v>0</v>
      </c>
      <c r="H80" s="130">
        <v>0</v>
      </c>
      <c r="I80" s="130">
        <v>0</v>
      </c>
      <c r="J80" s="130">
        <v>0</v>
      </c>
    </row>
    <row r="81" spans="5:16" x14ac:dyDescent="0.25">
      <c r="E81" s="130">
        <v>0</v>
      </c>
      <c r="F81" s="130">
        <v>0</v>
      </c>
      <c r="G81" s="130">
        <v>0</v>
      </c>
      <c r="H81" s="130">
        <v>0</v>
      </c>
      <c r="I81" s="130">
        <v>0</v>
      </c>
      <c r="J81" s="130">
        <v>0</v>
      </c>
    </row>
    <row r="87" spans="5:16" x14ac:dyDescent="0.25">
      <c r="E87" t="s">
        <v>1299</v>
      </c>
      <c r="F87" t="s">
        <v>1300</v>
      </c>
      <c r="G87" t="s">
        <v>1301</v>
      </c>
      <c r="H87" t="s">
        <v>1302</v>
      </c>
      <c r="I87" t="s">
        <v>1303</v>
      </c>
      <c r="J87" t="s">
        <v>1302</v>
      </c>
      <c r="K87" t="s">
        <v>1304</v>
      </c>
      <c r="L87" t="s">
        <v>1305</v>
      </c>
      <c r="M87" t="s">
        <v>1306</v>
      </c>
      <c r="N87" t="s">
        <v>1307</v>
      </c>
      <c r="O87" t="s">
        <v>1308</v>
      </c>
      <c r="P87" t="s">
        <v>1309</v>
      </c>
    </row>
    <row r="88" spans="5:16" x14ac:dyDescent="0.25">
      <c r="E88" t="s">
        <v>1310</v>
      </c>
      <c r="F88" t="s">
        <v>1311</v>
      </c>
      <c r="G88" t="s">
        <v>1312</v>
      </c>
      <c r="H88" t="s">
        <v>1313</v>
      </c>
      <c r="I88" t="s">
        <v>1307</v>
      </c>
    </row>
    <row r="89" spans="5:16" x14ac:dyDescent="0.25">
      <c r="E89" t="s">
        <v>1310</v>
      </c>
      <c r="F89" t="s">
        <v>1293</v>
      </c>
      <c r="G89" t="s">
        <v>1294</v>
      </c>
      <c r="H89" t="s">
        <v>1295</v>
      </c>
      <c r="I89" t="s">
        <v>1296</v>
      </c>
      <c r="J89" t="s">
        <v>1314</v>
      </c>
      <c r="K89" t="s">
        <v>1315</v>
      </c>
      <c r="L89" t="s">
        <v>1297</v>
      </c>
      <c r="M89" t="s">
        <v>1316</v>
      </c>
      <c r="N89" t="s">
        <v>1316</v>
      </c>
    </row>
    <row r="90" spans="5:16" x14ac:dyDescent="0.25">
      <c r="E90" t="s">
        <v>1293</v>
      </c>
      <c r="F90">
        <v>90.81</v>
      </c>
      <c r="G90">
        <v>8.33</v>
      </c>
      <c r="H90">
        <v>0.68</v>
      </c>
      <c r="I90">
        <v>0.06</v>
      </c>
      <c r="J90">
        <v>0.12</v>
      </c>
      <c r="K90">
        <v>0</v>
      </c>
      <c r="L90">
        <v>0</v>
      </c>
      <c r="M90">
        <v>0</v>
      </c>
    </row>
    <row r="91" spans="5:16" x14ac:dyDescent="0.25">
      <c r="E91" t="s">
        <v>1294</v>
      </c>
      <c r="F91">
        <v>0.7</v>
      </c>
      <c r="G91">
        <v>90.65</v>
      </c>
      <c r="H91">
        <v>7.79</v>
      </c>
      <c r="I91">
        <v>0.64</v>
      </c>
      <c r="J91">
        <v>0.06</v>
      </c>
      <c r="K91">
        <v>0.14000000000000001</v>
      </c>
      <c r="L91">
        <v>0.02</v>
      </c>
      <c r="M91">
        <v>0</v>
      </c>
    </row>
    <row r="92" spans="5:16" x14ac:dyDescent="0.25">
      <c r="E92" t="s">
        <v>1295</v>
      </c>
      <c r="F92">
        <v>0.09</v>
      </c>
      <c r="G92">
        <v>2.27</v>
      </c>
      <c r="H92">
        <v>91.05</v>
      </c>
      <c r="I92">
        <v>5.52</v>
      </c>
      <c r="J92">
        <v>0.74</v>
      </c>
      <c r="K92">
        <v>0.26</v>
      </c>
      <c r="L92">
        <v>0.01</v>
      </c>
      <c r="M92">
        <v>0.06</v>
      </c>
    </row>
    <row r="93" spans="5:16" x14ac:dyDescent="0.25">
      <c r="E93" t="s">
        <v>1296</v>
      </c>
      <c r="F93">
        <v>0.02</v>
      </c>
      <c r="G93">
        <v>0.33</v>
      </c>
      <c r="H93">
        <v>5.95</v>
      </c>
      <c r="I93">
        <v>86.93</v>
      </c>
      <c r="J93">
        <v>5.3</v>
      </c>
      <c r="K93">
        <v>1.17</v>
      </c>
      <c r="L93">
        <v>0.12</v>
      </c>
      <c r="M93">
        <v>0.18</v>
      </c>
    </row>
    <row r="94" spans="5:16" x14ac:dyDescent="0.25">
      <c r="E94" t="s">
        <v>1314</v>
      </c>
      <c r="F94">
        <v>0.03</v>
      </c>
      <c r="G94">
        <v>0.14000000000000001</v>
      </c>
      <c r="H94">
        <v>0.67</v>
      </c>
      <c r="I94">
        <v>7.73</v>
      </c>
      <c r="J94">
        <v>80.53</v>
      </c>
      <c r="K94">
        <v>8.84</v>
      </c>
      <c r="L94">
        <v>1</v>
      </c>
      <c r="M94">
        <v>1.06</v>
      </c>
    </row>
    <row r="95" spans="5:16" x14ac:dyDescent="0.25">
      <c r="E95" t="s">
        <v>1315</v>
      </c>
      <c r="F95">
        <v>0</v>
      </c>
      <c r="G95">
        <v>0.11</v>
      </c>
      <c r="H95">
        <v>0.24</v>
      </c>
      <c r="I95">
        <v>0.43</v>
      </c>
      <c r="J95">
        <v>6.48</v>
      </c>
      <c r="K95">
        <v>83.47</v>
      </c>
      <c r="L95">
        <v>4.07</v>
      </c>
      <c r="M95">
        <v>5.2</v>
      </c>
    </row>
    <row r="96" spans="5:16" x14ac:dyDescent="0.25">
      <c r="E96" t="s">
        <v>1297</v>
      </c>
      <c r="F96">
        <v>0.22</v>
      </c>
      <c r="G96">
        <v>0</v>
      </c>
      <c r="H96">
        <v>0.22</v>
      </c>
      <c r="I96">
        <v>1.3</v>
      </c>
      <c r="J96">
        <v>2.38</v>
      </c>
      <c r="K96">
        <v>11.24</v>
      </c>
      <c r="L96">
        <v>64.849999999999994</v>
      </c>
      <c r="M96">
        <v>19.79</v>
      </c>
    </row>
    <row r="97" spans="5:13" x14ac:dyDescent="0.25">
      <c r="E97" t="s">
        <v>1316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100</v>
      </c>
    </row>
    <row r="100" spans="5:13" x14ac:dyDescent="0.25">
      <c r="F100" t="str">
        <f t="shared" ref="F100:F108" si="1">E89&amp;" &amp; "&amp;F89&amp;"  &amp; "&amp;G89&amp;" &amp;"&amp;H89&amp;" &amp; "&amp;I89&amp;" &amp; "&amp;J89&amp;" &amp; "&amp;K89&amp;" &amp; "&amp;L89&amp;" &amp; "&amp;M89</f>
        <v>Cali_x000C_caci_x0013_on &amp; AAA  &amp; AA &amp;A &amp; BBB &amp; BB &amp; B &amp; CCC &amp; Incumplimiento</v>
      </c>
    </row>
    <row r="101" spans="5:13" x14ac:dyDescent="0.25">
      <c r="F101" t="str">
        <f t="shared" si="1"/>
        <v>AAA &amp; 90.81  &amp; 8.33 &amp;0.68 &amp; 0.06 &amp; 0.12 &amp; 0 &amp; 0 &amp; 0</v>
      </c>
    </row>
    <row r="102" spans="5:13" x14ac:dyDescent="0.25">
      <c r="F102" t="str">
        <f t="shared" si="1"/>
        <v>AA &amp; 0.7  &amp; 90.65 &amp;7.79 &amp; 0.64 &amp; 0.06 &amp; 0.14 &amp; 0.02 &amp; 0</v>
      </c>
    </row>
    <row r="103" spans="5:13" x14ac:dyDescent="0.25">
      <c r="F103" t="str">
        <f t="shared" si="1"/>
        <v>A &amp; 0.09  &amp; 2.27 &amp;91.05 &amp; 5.52 &amp; 0.74 &amp; 0.26 &amp; 0.01 &amp; 0.06</v>
      </c>
    </row>
    <row r="104" spans="5:13" x14ac:dyDescent="0.25">
      <c r="F104" t="str">
        <f t="shared" si="1"/>
        <v>BBB &amp; 0.02  &amp; 0.33 &amp;5.95 &amp; 86.93 &amp; 5.3 &amp; 1.17 &amp; 0.12 &amp; 0.18</v>
      </c>
    </row>
    <row r="105" spans="5:13" x14ac:dyDescent="0.25">
      <c r="F105" t="str">
        <f t="shared" si="1"/>
        <v>BB &amp; 0.03  &amp; 0.14 &amp;0.67 &amp; 7.73 &amp; 80.53 &amp; 8.84 &amp; 1 &amp; 1.06</v>
      </c>
    </row>
    <row r="106" spans="5:13" x14ac:dyDescent="0.25">
      <c r="F106" t="str">
        <f t="shared" si="1"/>
        <v>B &amp; 0  &amp; 0.11 &amp;0.24 &amp; 0.43 &amp; 6.48 &amp; 83.47 &amp; 4.07 &amp; 5.2</v>
      </c>
    </row>
    <row r="107" spans="5:13" x14ac:dyDescent="0.25">
      <c r="F107" t="str">
        <f t="shared" si="1"/>
        <v>CCC &amp; 0.22  &amp; 0 &amp;0.22 &amp; 1.3 &amp; 2.38 &amp; 11.24 &amp; 64.85 &amp; 19.79</v>
      </c>
    </row>
    <row r="108" spans="5:13" x14ac:dyDescent="0.25">
      <c r="F108" t="str">
        <f t="shared" si="1"/>
        <v>Incumplimiento &amp; 0  &amp; 0 &amp;0 &amp; 0 &amp; 0 &amp; 0 &amp; 0 &amp; 100</v>
      </c>
    </row>
    <row r="111" spans="5:13" x14ac:dyDescent="0.25">
      <c r="F111">
        <v>0</v>
      </c>
      <c r="G111">
        <v>1</v>
      </c>
      <c r="H111">
        <v>2</v>
      </c>
      <c r="I111">
        <v>3</v>
      </c>
      <c r="J111" s="131" t="s">
        <v>1319</v>
      </c>
      <c r="K111" t="s">
        <v>1318</v>
      </c>
    </row>
    <row r="112" spans="5:13" x14ac:dyDescent="0.25">
      <c r="E112">
        <v>0</v>
      </c>
      <c r="F112">
        <v>95</v>
      </c>
      <c r="G112">
        <v>3</v>
      </c>
      <c r="H112">
        <v>2.15</v>
      </c>
    </row>
    <row r="113" spans="5:13" x14ac:dyDescent="0.25">
      <c r="E113">
        <v>1</v>
      </c>
      <c r="G113">
        <v>75</v>
      </c>
    </row>
    <row r="114" spans="5:13" x14ac:dyDescent="0.25">
      <c r="E114">
        <v>2</v>
      </c>
    </row>
    <row r="115" spans="5:13" x14ac:dyDescent="0.25">
      <c r="E115">
        <v>3</v>
      </c>
    </row>
    <row r="116" spans="5:13" x14ac:dyDescent="0.25">
      <c r="E116" t="s">
        <v>1317</v>
      </c>
    </row>
    <row r="117" spans="5:13" x14ac:dyDescent="0.25">
      <c r="E117" t="s">
        <v>1320</v>
      </c>
      <c r="F117" t="s">
        <v>1293</v>
      </c>
      <c r="G117" t="s">
        <v>1294</v>
      </c>
      <c r="H117" t="s">
        <v>1295</v>
      </c>
      <c r="I117" t="s">
        <v>1296</v>
      </c>
      <c r="J117" t="s">
        <v>1314</v>
      </c>
      <c r="K117" t="s">
        <v>1315</v>
      </c>
      <c r="L117" t="s">
        <v>1297</v>
      </c>
      <c r="M117" t="s">
        <v>1316</v>
      </c>
    </row>
    <row r="118" spans="5:13" x14ac:dyDescent="0.25">
      <c r="E118" t="s">
        <v>1321</v>
      </c>
      <c r="F118">
        <f>G118/2</f>
        <v>0.04</v>
      </c>
      <c r="G118">
        <v>0.08</v>
      </c>
      <c r="H118">
        <v>0.1</v>
      </c>
      <c r="I118">
        <v>0.21333333333333337</v>
      </c>
      <c r="J118">
        <v>0.9666666666666669</v>
      </c>
      <c r="K118">
        <v>4.9333333333333327</v>
      </c>
      <c r="L118">
        <v>22.903333333333332</v>
      </c>
      <c r="M118">
        <v>100</v>
      </c>
    </row>
    <row r="119" spans="5:13" x14ac:dyDescent="0.25">
      <c r="E119" t="s">
        <v>1322</v>
      </c>
      <c r="F119">
        <v>30</v>
      </c>
      <c r="G119">
        <f>F119*1.15</f>
        <v>34.5</v>
      </c>
      <c r="H119">
        <f>G119*1.15</f>
        <v>39.674999999999997</v>
      </c>
      <c r="I119">
        <v>45</v>
      </c>
      <c r="J119">
        <v>45</v>
      </c>
      <c r="K119">
        <v>45</v>
      </c>
      <c r="L119">
        <v>45</v>
      </c>
      <c r="M119">
        <v>45</v>
      </c>
    </row>
    <row r="124" spans="5:13" x14ac:dyDescent="0.25">
      <c r="F124" t="str">
        <f>E117&amp;" &amp; "&amp;F117&amp;"  &amp; "&amp;G117&amp;" &amp;"&amp;H117&amp;" &amp; "&amp;I117&amp;" &amp; "&amp;J117&amp;" &amp; "&amp;K117&amp;" &amp; "&amp;L117&amp;" &amp; "&amp;M117</f>
        <v>Calif &amp; AAA  &amp; AA &amp;A &amp; BBB &amp; BB &amp; B &amp; CCC &amp; Incumplimiento</v>
      </c>
    </row>
    <row r="125" spans="5:13" x14ac:dyDescent="0.25">
      <c r="F125" t="str">
        <f>E118&amp;" &amp; "&amp;F118&amp;"  &amp; "&amp;G118&amp;" &amp;"&amp;H118&amp;" &amp; "&amp;I118&amp;" &amp; "&amp;J118&amp;" &amp; "&amp;K118&amp;" &amp; "&amp;L118&amp;" &amp; "&amp;M118</f>
        <v>PI &amp; 0.04  &amp; 0.08 &amp;0.1 &amp; 0.213333333333333 &amp; 0.966666666666667 &amp; 4.93333333333333 &amp; 22.9033333333333 &amp; 100</v>
      </c>
    </row>
    <row r="126" spans="5:13" x14ac:dyDescent="0.25">
      <c r="F126" t="str">
        <f>E119&amp;" &amp; "&amp;F119&amp;"  &amp; "&amp;G119&amp;" &amp;"&amp;H119&amp;" &amp; "&amp;I119&amp;" &amp; "&amp;J119&amp;" &amp; "&amp;K119&amp;" &amp; "&amp;L119&amp;" &amp; "&amp;M119</f>
        <v>SEV &amp; 30  &amp; 34.5 &amp;39.675 &amp; 45 &amp; 45 &amp; 45 &amp; 45 &amp; 45</v>
      </c>
    </row>
    <row r="129" spans="5:13" x14ac:dyDescent="0.25">
      <c r="F129">
        <f>100*F118/100*F119/100</f>
        <v>1.2E-2</v>
      </c>
    </row>
    <row r="130" spans="5:13" x14ac:dyDescent="0.25">
      <c r="E130" t="s">
        <v>1320</v>
      </c>
      <c r="F130" t="s">
        <v>1293</v>
      </c>
      <c r="G130" t="s">
        <v>1294</v>
      </c>
      <c r="H130" t="s">
        <v>1295</v>
      </c>
      <c r="I130" t="s">
        <v>1296</v>
      </c>
      <c r="J130" t="s">
        <v>1314</v>
      </c>
      <c r="K130" t="s">
        <v>1315</v>
      </c>
      <c r="L130" t="s">
        <v>1297</v>
      </c>
      <c r="M130" t="s">
        <v>1316</v>
      </c>
    </row>
    <row r="131" spans="5:13" x14ac:dyDescent="0.25">
      <c r="E131" t="s">
        <v>1323</v>
      </c>
      <c r="F131">
        <f>F118*F119/10000</f>
        <v>1.1999999999999999E-4</v>
      </c>
      <c r="G131">
        <f t="shared" ref="G131:M131" si="2">G118*G119/10000</f>
        <v>2.7600000000000004E-4</v>
      </c>
      <c r="H131">
        <f t="shared" si="2"/>
        <v>3.9674999999999997E-4</v>
      </c>
      <c r="I131">
        <f t="shared" si="2"/>
        <v>9.6000000000000013E-4</v>
      </c>
      <c r="J131">
        <f t="shared" si="2"/>
        <v>4.3500000000000006E-3</v>
      </c>
      <c r="K131">
        <f t="shared" si="2"/>
        <v>2.2199999999999998E-2</v>
      </c>
      <c r="L131">
        <f t="shared" si="2"/>
        <v>0.10306499999999999</v>
      </c>
      <c r="M131">
        <f t="shared" si="2"/>
        <v>0.45</v>
      </c>
    </row>
    <row r="132" spans="5:13" x14ac:dyDescent="0.25">
      <c r="E132" t="s">
        <v>1329</v>
      </c>
      <c r="F132">
        <v>0.02</v>
      </c>
      <c r="G132">
        <v>0.33</v>
      </c>
      <c r="H132">
        <v>5.95</v>
      </c>
      <c r="I132">
        <v>86.93</v>
      </c>
      <c r="J132">
        <v>5.3</v>
      </c>
      <c r="K132">
        <v>1.17</v>
      </c>
      <c r="L132">
        <v>0.12</v>
      </c>
      <c r="M132">
        <v>0.18</v>
      </c>
    </row>
    <row r="133" spans="5:13" x14ac:dyDescent="0.25">
      <c r="F133">
        <f>F131*F132/100</f>
        <v>2.4E-8</v>
      </c>
      <c r="G133">
        <f t="shared" ref="G133:M133" si="3">G131*G132/100</f>
        <v>9.1080000000000014E-7</v>
      </c>
      <c r="H133">
        <f t="shared" si="3"/>
        <v>2.3606625E-5</v>
      </c>
      <c r="I133">
        <f t="shared" si="3"/>
        <v>8.3452800000000018E-4</v>
      </c>
      <c r="J133">
        <f t="shared" si="3"/>
        <v>2.3055000000000002E-4</v>
      </c>
      <c r="K133">
        <f t="shared" si="3"/>
        <v>2.5973999999999995E-4</v>
      </c>
      <c r="L133">
        <f t="shared" si="3"/>
        <v>1.2367799999999998E-4</v>
      </c>
      <c r="M133">
        <f t="shared" si="3"/>
        <v>8.1000000000000006E-4</v>
      </c>
    </row>
    <row r="134" spans="5:13" x14ac:dyDescent="0.25">
      <c r="F134">
        <f>(F131-$F$144)^2</f>
        <v>4.678730901950631E-6</v>
      </c>
      <c r="G134">
        <f t="shared" ref="G134:M134" si="4">(G131-$F$144)^2</f>
        <v>4.02819922535063E-6</v>
      </c>
      <c r="H134">
        <f t="shared" si="4"/>
        <v>3.5580802497131307E-6</v>
      </c>
      <c r="I134">
        <f t="shared" si="4"/>
        <v>1.7504280279506301E-6</v>
      </c>
      <c r="J134">
        <f t="shared" si="4"/>
        <v>4.2723342864506332E-6</v>
      </c>
      <c r="K134">
        <f t="shared" si="4"/>
        <v>3.9668539821395061E-4</v>
      </c>
      <c r="L134">
        <f t="shared" si="4"/>
        <v>1.0157003980468699E-2</v>
      </c>
      <c r="M134">
        <f t="shared" si="4"/>
        <v>0.20045047857738393</v>
      </c>
    </row>
    <row r="135" spans="5:13" x14ac:dyDescent="0.25">
      <c r="F135">
        <f>F134*F132/100</f>
        <v>9.3574618039012623E-10</v>
      </c>
      <c r="G135">
        <f t="shared" ref="G135:M135" si="5">G134*G132/100</f>
        <v>1.3293057443657079E-8</v>
      </c>
      <c r="H135">
        <f t="shared" si="5"/>
        <v>2.1170577485793127E-7</v>
      </c>
      <c r="I135">
        <f t="shared" si="5"/>
        <v>1.521647084697483E-6</v>
      </c>
      <c r="J135">
        <f t="shared" si="5"/>
        <v>2.2643371718188355E-7</v>
      </c>
      <c r="K135">
        <f t="shared" si="5"/>
        <v>4.6412191591032223E-6</v>
      </c>
      <c r="L135">
        <f t="shared" si="5"/>
        <v>1.218840477656244E-5</v>
      </c>
      <c r="M135">
        <f t="shared" si="5"/>
        <v>3.6081086143929108E-4</v>
      </c>
    </row>
    <row r="137" spans="5:13" x14ac:dyDescent="0.25">
      <c r="F137" t="str">
        <f>E130&amp;" &amp; "&amp;F130&amp;"  &amp; "&amp;G130&amp;" &amp;"&amp;H130&amp;" &amp; "&amp;I130&amp;" &amp; "&amp;J130&amp;" &amp; "&amp;K130&amp;" &amp; "&amp;L130&amp;" &amp; "&amp;M130&amp;"\\*"</f>
        <v>Calif &amp; AAA  &amp; AA &amp;A &amp; BBB &amp; BB &amp; B &amp; CCC &amp; Incumplimiento\\*</v>
      </c>
    </row>
    <row r="138" spans="5:13" x14ac:dyDescent="0.25">
      <c r="F138" t="str">
        <f>E131&amp;" &amp; "&amp;F131&amp;"  &amp; "&amp;G131&amp;" &amp;"&amp;H131&amp;" &amp; "&amp;I131&amp;" &amp; "&amp;J131&amp;" &amp; "&amp;K131&amp;" &amp; "&amp;L131&amp;" &amp; "&amp;M131&amp;"\\*"</f>
        <v>PE &amp; 0.00012  &amp; 0.000276 &amp;0.00039675 &amp; 0.00096 &amp; 0.00435 &amp; 0.0222 &amp; 0.103065 &amp; 0.45\\*</v>
      </c>
    </row>
    <row r="139" spans="5:13" x14ac:dyDescent="0.25">
      <c r="F139" t="str">
        <f>E132&amp;" &amp; "&amp;F132&amp;"  &amp; "&amp;G132&amp;" &amp;"&amp;H132&amp;" &amp; "&amp;I132&amp;" &amp; "&amp;J132&amp;" &amp; "&amp;K132&amp;" &amp; "&amp;L132&amp;" &amp; "&amp;M132&amp;"\\*"</f>
        <v>P Trans $\%$ &amp; 0.02  &amp; 0.33 &amp;5.95 &amp; 86.93 &amp; 5.3 &amp; 1.17 &amp; 0.12 &amp; 0.18\\*</v>
      </c>
    </row>
    <row r="144" spans="5:13" x14ac:dyDescent="0.25">
      <c r="E144" t="s">
        <v>1324</v>
      </c>
      <c r="F144">
        <f>SUM(F133:M133)</f>
        <v>2.283037425E-3</v>
      </c>
      <c r="G144" s="129">
        <f>F144*10000000</f>
        <v>22830.374250000001</v>
      </c>
      <c r="I144">
        <f>SUM(K132:M132)/100</f>
        <v>1.47E-2</v>
      </c>
      <c r="J144">
        <f>SUM(L132:M132)/100</f>
        <v>3.0000000000000001E-3</v>
      </c>
    </row>
    <row r="145" spans="5:18" x14ac:dyDescent="0.25">
      <c r="E145" t="s">
        <v>1325</v>
      </c>
      <c r="F145">
        <f>SUM(F135:M135)</f>
        <v>3.7961450075531809E-4</v>
      </c>
    </row>
    <row r="146" spans="5:18" x14ac:dyDescent="0.25">
      <c r="E146" t="s">
        <v>1328</v>
      </c>
      <c r="F146">
        <f>SQRT(F145)</f>
        <v>1.9483698333615157E-2</v>
      </c>
      <c r="G146" s="129">
        <f>F146*1000000</f>
        <v>19483.698333615157</v>
      </c>
      <c r="I146" s="89">
        <v>0.01</v>
      </c>
      <c r="J146">
        <f>K131+(0.01-J144)*(L131-K131)/(I144-J144)</f>
        <v>7.0580769230769225E-2</v>
      </c>
    </row>
    <row r="147" spans="5:18" x14ac:dyDescent="0.25">
      <c r="E147" t="s">
        <v>1326</v>
      </c>
      <c r="F147" s="132">
        <f>J146</f>
        <v>7.0580769230769225E-2</v>
      </c>
      <c r="G147" s="129">
        <f>F147*1000000</f>
        <v>70580.76923076922</v>
      </c>
    </row>
    <row r="148" spans="5:18" x14ac:dyDescent="0.25">
      <c r="E148" t="s">
        <v>1327</v>
      </c>
      <c r="F148" s="133">
        <f>F147-F144</f>
        <v>6.829773180576923E-2</v>
      </c>
      <c r="G148" s="129">
        <f>F148*1000000</f>
        <v>68297.731805769232</v>
      </c>
    </row>
    <row r="152" spans="5:18" x14ac:dyDescent="0.25">
      <c r="E152" t="s">
        <v>1320</v>
      </c>
      <c r="F152" t="s">
        <v>1321</v>
      </c>
      <c r="G152" t="s">
        <v>1322</v>
      </c>
      <c r="K152" t="s">
        <v>1293</v>
      </c>
      <c r="L152" t="s">
        <v>1294</v>
      </c>
      <c r="M152" t="s">
        <v>1295</v>
      </c>
      <c r="N152" t="s">
        <v>1296</v>
      </c>
      <c r="O152" t="s">
        <v>1314</v>
      </c>
      <c r="P152" t="s">
        <v>1315</v>
      </c>
      <c r="Q152" t="s">
        <v>1297</v>
      </c>
      <c r="R152" t="s">
        <v>1316</v>
      </c>
    </row>
    <row r="153" spans="5:18" x14ac:dyDescent="0.25">
      <c r="E153" t="s">
        <v>1293</v>
      </c>
      <c r="F153">
        <v>0.04</v>
      </c>
      <c r="G153">
        <v>30</v>
      </c>
      <c r="J153" t="s">
        <v>1293</v>
      </c>
      <c r="K153">
        <f t="shared" ref="K153:K160" si="6">IF(K$152=$J153,$F153,0)</f>
        <v>0.04</v>
      </c>
      <c r="L153">
        <f t="shared" ref="L153:R160" si="7">IF(L$152=$J153,$F153,0)</f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>
        <f t="shared" si="7"/>
        <v>0</v>
      </c>
      <c r="R153">
        <f t="shared" si="7"/>
        <v>0</v>
      </c>
    </row>
    <row r="154" spans="5:18" x14ac:dyDescent="0.25">
      <c r="E154" t="s">
        <v>1294</v>
      </c>
      <c r="F154">
        <v>0.08</v>
      </c>
      <c r="G154">
        <v>34.5</v>
      </c>
      <c r="J154" t="s">
        <v>1294</v>
      </c>
      <c r="K154">
        <f t="shared" si="6"/>
        <v>0</v>
      </c>
      <c r="L154">
        <f t="shared" si="7"/>
        <v>0.08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>
        <f t="shared" si="7"/>
        <v>0</v>
      </c>
      <c r="R154">
        <f t="shared" si="7"/>
        <v>0</v>
      </c>
    </row>
    <row r="155" spans="5:18" x14ac:dyDescent="0.25">
      <c r="E155" t="s">
        <v>1295</v>
      </c>
      <c r="F155">
        <v>0.1</v>
      </c>
      <c r="G155">
        <v>39.674999999999997</v>
      </c>
      <c r="J155" t="s">
        <v>1295</v>
      </c>
      <c r="K155">
        <f t="shared" si="6"/>
        <v>0</v>
      </c>
      <c r="L155">
        <f t="shared" si="7"/>
        <v>0</v>
      </c>
      <c r="M155">
        <f t="shared" si="7"/>
        <v>0.1</v>
      </c>
      <c r="N155">
        <f t="shared" si="7"/>
        <v>0</v>
      </c>
      <c r="O155">
        <f t="shared" si="7"/>
        <v>0</v>
      </c>
      <c r="P155">
        <f t="shared" si="7"/>
        <v>0</v>
      </c>
      <c r="Q155">
        <f t="shared" si="7"/>
        <v>0</v>
      </c>
      <c r="R155">
        <f t="shared" si="7"/>
        <v>0</v>
      </c>
    </row>
    <row r="156" spans="5:18" x14ac:dyDescent="0.25">
      <c r="E156" t="s">
        <v>1296</v>
      </c>
      <c r="F156">
        <v>0.21333333333333337</v>
      </c>
      <c r="G156">
        <v>45</v>
      </c>
      <c r="J156" t="s">
        <v>1296</v>
      </c>
      <c r="K156">
        <f t="shared" si="6"/>
        <v>0</v>
      </c>
      <c r="L156">
        <f t="shared" si="7"/>
        <v>0</v>
      </c>
      <c r="M156">
        <f t="shared" si="7"/>
        <v>0</v>
      </c>
      <c r="N156">
        <f t="shared" si="7"/>
        <v>0.21333333333333337</v>
      </c>
      <c r="O156">
        <f t="shared" si="7"/>
        <v>0</v>
      </c>
      <c r="P156">
        <f t="shared" si="7"/>
        <v>0</v>
      </c>
      <c r="Q156">
        <f t="shared" si="7"/>
        <v>0</v>
      </c>
      <c r="R156">
        <f t="shared" si="7"/>
        <v>0</v>
      </c>
    </row>
    <row r="157" spans="5:18" x14ac:dyDescent="0.25">
      <c r="E157" t="s">
        <v>1314</v>
      </c>
      <c r="F157">
        <v>0.9666666666666669</v>
      </c>
      <c r="G157">
        <v>45</v>
      </c>
      <c r="J157" t="s">
        <v>1314</v>
      </c>
      <c r="K157">
        <f t="shared" si="6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0.9666666666666669</v>
      </c>
      <c r="P157">
        <f t="shared" si="7"/>
        <v>0</v>
      </c>
      <c r="Q157">
        <f t="shared" si="7"/>
        <v>0</v>
      </c>
      <c r="R157">
        <f t="shared" si="7"/>
        <v>0</v>
      </c>
    </row>
    <row r="158" spans="5:18" x14ac:dyDescent="0.25">
      <c r="E158" t="s">
        <v>1315</v>
      </c>
      <c r="F158">
        <v>4.9333333333333327</v>
      </c>
      <c r="G158">
        <v>45</v>
      </c>
      <c r="J158" t="s">
        <v>1315</v>
      </c>
      <c r="K158">
        <f t="shared" si="6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4.9333333333333327</v>
      </c>
      <c r="Q158">
        <f t="shared" si="7"/>
        <v>0</v>
      </c>
      <c r="R158">
        <f t="shared" si="7"/>
        <v>0</v>
      </c>
    </row>
    <row r="159" spans="5:18" x14ac:dyDescent="0.25">
      <c r="E159" t="s">
        <v>1297</v>
      </c>
      <c r="F159">
        <v>22.903333333333332</v>
      </c>
      <c r="G159">
        <v>45</v>
      </c>
      <c r="J159" t="s">
        <v>1297</v>
      </c>
      <c r="K159">
        <f t="shared" si="6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>
        <f t="shared" si="7"/>
        <v>22.903333333333332</v>
      </c>
      <c r="R159">
        <f t="shared" si="7"/>
        <v>0</v>
      </c>
    </row>
    <row r="160" spans="5:18" x14ac:dyDescent="0.25">
      <c r="E160" t="s">
        <v>1316</v>
      </c>
      <c r="F160">
        <v>100</v>
      </c>
      <c r="G160">
        <v>45</v>
      </c>
      <c r="J160" t="s">
        <v>1316</v>
      </c>
      <c r="K160">
        <f t="shared" si="6"/>
        <v>0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>
        <f t="shared" si="7"/>
        <v>0</v>
      </c>
      <c r="R160">
        <f t="shared" si="7"/>
        <v>100</v>
      </c>
    </row>
    <row r="163" spans="1:27" x14ac:dyDescent="0.25">
      <c r="K163" t="s">
        <v>1293</v>
      </c>
      <c r="L163" t="s">
        <v>1294</v>
      </c>
      <c r="M163" t="s">
        <v>1295</v>
      </c>
      <c r="N163" t="s">
        <v>1296</v>
      </c>
      <c r="O163" t="s">
        <v>1314</v>
      </c>
      <c r="P163" t="s">
        <v>1315</v>
      </c>
      <c r="Q163" t="s">
        <v>1297</v>
      </c>
      <c r="R163" t="s">
        <v>1316</v>
      </c>
    </row>
    <row r="164" spans="1:27" x14ac:dyDescent="0.25">
      <c r="J164" t="s">
        <v>1293</v>
      </c>
      <c r="K164">
        <f t="shared" ref="K164:R169" si="8">IF(K$152=$J164,$G153,0)</f>
        <v>30</v>
      </c>
      <c r="L164">
        <f t="shared" si="8"/>
        <v>0</v>
      </c>
      <c r="M164">
        <f t="shared" si="8"/>
        <v>0</v>
      </c>
      <c r="N164">
        <f t="shared" si="8"/>
        <v>0</v>
      </c>
      <c r="O164">
        <f t="shared" si="8"/>
        <v>0</v>
      </c>
      <c r="P164">
        <f t="shared" si="8"/>
        <v>0</v>
      </c>
      <c r="Q164">
        <f t="shared" si="8"/>
        <v>0</v>
      </c>
      <c r="R164">
        <f t="shared" si="8"/>
        <v>0</v>
      </c>
    </row>
    <row r="165" spans="1:27" x14ac:dyDescent="0.25">
      <c r="J165" t="s">
        <v>1294</v>
      </c>
      <c r="K165">
        <f t="shared" si="8"/>
        <v>0</v>
      </c>
      <c r="L165">
        <f t="shared" si="8"/>
        <v>34.5</v>
      </c>
      <c r="M165">
        <f t="shared" si="8"/>
        <v>0</v>
      </c>
      <c r="N165">
        <f t="shared" si="8"/>
        <v>0</v>
      </c>
      <c r="O165">
        <f t="shared" si="8"/>
        <v>0</v>
      </c>
      <c r="P165">
        <f t="shared" si="8"/>
        <v>0</v>
      </c>
      <c r="Q165">
        <f t="shared" si="8"/>
        <v>0</v>
      </c>
      <c r="R165">
        <f t="shared" si="8"/>
        <v>0</v>
      </c>
    </row>
    <row r="166" spans="1:27" x14ac:dyDescent="0.25">
      <c r="J166" t="s">
        <v>1295</v>
      </c>
      <c r="K166">
        <f t="shared" si="8"/>
        <v>0</v>
      </c>
      <c r="L166">
        <f t="shared" si="8"/>
        <v>0</v>
      </c>
      <c r="M166">
        <f t="shared" si="8"/>
        <v>39.674999999999997</v>
      </c>
      <c r="N166">
        <f t="shared" si="8"/>
        <v>0</v>
      </c>
      <c r="O166">
        <f t="shared" si="8"/>
        <v>0</v>
      </c>
      <c r="P166">
        <f t="shared" si="8"/>
        <v>0</v>
      </c>
      <c r="Q166">
        <f t="shared" si="8"/>
        <v>0</v>
      </c>
      <c r="R166">
        <f t="shared" si="8"/>
        <v>0</v>
      </c>
    </row>
    <row r="167" spans="1:27" x14ac:dyDescent="0.25">
      <c r="J167" t="s">
        <v>1296</v>
      </c>
      <c r="K167">
        <f t="shared" si="8"/>
        <v>0</v>
      </c>
      <c r="L167">
        <f t="shared" si="8"/>
        <v>0</v>
      </c>
      <c r="M167">
        <f t="shared" si="8"/>
        <v>0</v>
      </c>
      <c r="N167">
        <f t="shared" si="8"/>
        <v>45</v>
      </c>
      <c r="O167">
        <f t="shared" si="8"/>
        <v>0</v>
      </c>
      <c r="P167">
        <f t="shared" si="8"/>
        <v>0</v>
      </c>
      <c r="Q167">
        <f t="shared" si="8"/>
        <v>0</v>
      </c>
      <c r="R167">
        <f t="shared" si="8"/>
        <v>0</v>
      </c>
    </row>
    <row r="168" spans="1:27" x14ac:dyDescent="0.25">
      <c r="J168" t="s">
        <v>1314</v>
      </c>
      <c r="K168">
        <f t="shared" si="8"/>
        <v>0</v>
      </c>
      <c r="L168">
        <f t="shared" si="8"/>
        <v>0</v>
      </c>
      <c r="M168">
        <f t="shared" si="8"/>
        <v>0</v>
      </c>
      <c r="N168">
        <f t="shared" si="8"/>
        <v>0</v>
      </c>
      <c r="O168">
        <f t="shared" si="8"/>
        <v>45</v>
      </c>
      <c r="P168">
        <f t="shared" si="8"/>
        <v>0</v>
      </c>
      <c r="Q168">
        <f t="shared" si="8"/>
        <v>0</v>
      </c>
      <c r="R168">
        <f t="shared" si="8"/>
        <v>0</v>
      </c>
    </row>
    <row r="169" spans="1:27" x14ac:dyDescent="0.25">
      <c r="J169" t="s">
        <v>1315</v>
      </c>
      <c r="K169">
        <f t="shared" si="8"/>
        <v>0</v>
      </c>
      <c r="L169">
        <f t="shared" si="8"/>
        <v>0</v>
      </c>
      <c r="M169">
        <f t="shared" si="8"/>
        <v>0</v>
      </c>
      <c r="N169">
        <f t="shared" si="8"/>
        <v>0</v>
      </c>
      <c r="O169">
        <f t="shared" si="8"/>
        <v>0</v>
      </c>
      <c r="P169">
        <f t="shared" si="8"/>
        <v>45</v>
      </c>
      <c r="Q169">
        <f t="shared" si="8"/>
        <v>0</v>
      </c>
      <c r="R169">
        <f t="shared" si="8"/>
        <v>0</v>
      </c>
    </row>
    <row r="170" spans="1:27" x14ac:dyDescent="0.25">
      <c r="J170" t="s">
        <v>1297</v>
      </c>
      <c r="K170">
        <f t="shared" ref="K170:R170" si="9">IF(K$152=$J170,$G159,0)</f>
        <v>0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>
        <f t="shared" si="9"/>
        <v>45</v>
      </c>
      <c r="R170">
        <f t="shared" si="9"/>
        <v>0</v>
      </c>
    </row>
    <row r="171" spans="1:27" x14ac:dyDescent="0.25">
      <c r="J171" t="s">
        <v>1316</v>
      </c>
      <c r="K171">
        <f t="shared" ref="K171:R171" si="10">IF(K$152=$J171,$G160,0)</f>
        <v>0</v>
      </c>
      <c r="L171">
        <f t="shared" si="10"/>
        <v>0</v>
      </c>
      <c r="M171">
        <f t="shared" si="10"/>
        <v>0</v>
      </c>
      <c r="N171">
        <f t="shared" si="10"/>
        <v>0</v>
      </c>
      <c r="O171">
        <f t="shared" si="10"/>
        <v>0</v>
      </c>
      <c r="P171">
        <f t="shared" si="10"/>
        <v>0</v>
      </c>
      <c r="Q171">
        <f t="shared" si="10"/>
        <v>0</v>
      </c>
      <c r="R171">
        <f t="shared" si="10"/>
        <v>45</v>
      </c>
    </row>
    <row r="174" spans="1:27" x14ac:dyDescent="0.25">
      <c r="A174">
        <f t="array" ref="A174:H174">MMULT(F132:M132,K174:R181)</f>
        <v>2.3999999999999999E-6</v>
      </c>
      <c r="B174">
        <v>9.1080000000000016E-5</v>
      </c>
      <c r="C174">
        <v>2.3606625000000001E-3</v>
      </c>
      <c r="D174">
        <v>8.3452800000000021E-2</v>
      </c>
      <c r="E174">
        <v>2.3055000000000003E-2</v>
      </c>
      <c r="F174">
        <v>2.5973999999999997E-2</v>
      </c>
      <c r="G174">
        <v>1.2367799999999998E-2</v>
      </c>
      <c r="H174">
        <v>8.1000000000000003E-2</v>
      </c>
      <c r="K174">
        <f t="array" ref="K174:R181">MMULT(K164:R171,K153:R160)/10000</f>
        <v>1.1999999999999999E-4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1</v>
      </c>
      <c r="U174">
        <f t="shared" ref="U174:AA174" si="11">IF(U$152=$J174,$G163,0)</f>
        <v>0</v>
      </c>
      <c r="V174">
        <f t="shared" si="11"/>
        <v>0</v>
      </c>
      <c r="W174">
        <f t="shared" si="11"/>
        <v>0</v>
      </c>
      <c r="X174">
        <f t="shared" si="11"/>
        <v>0</v>
      </c>
      <c r="Y174">
        <f t="shared" si="11"/>
        <v>0</v>
      </c>
      <c r="Z174">
        <f t="shared" si="11"/>
        <v>0</v>
      </c>
      <c r="AA174">
        <f t="shared" si="11"/>
        <v>0</v>
      </c>
    </row>
    <row r="175" spans="1:27" x14ac:dyDescent="0.25">
      <c r="K175">
        <v>0</v>
      </c>
      <c r="L175">
        <v>2.7600000000000004E-4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f t="shared" ref="T175:AA175" si="12">IF(T$152=$J175,$G164,0)</f>
        <v>0</v>
      </c>
      <c r="U175">
        <v>1</v>
      </c>
      <c r="V175">
        <f t="shared" si="12"/>
        <v>0</v>
      </c>
      <c r="W175">
        <f t="shared" si="12"/>
        <v>0</v>
      </c>
      <c r="X175">
        <f t="shared" si="12"/>
        <v>0</v>
      </c>
      <c r="Y175">
        <f t="shared" si="12"/>
        <v>0</v>
      </c>
      <c r="Z175">
        <f t="shared" si="12"/>
        <v>0</v>
      </c>
      <c r="AA175">
        <f t="shared" si="12"/>
        <v>0</v>
      </c>
    </row>
    <row r="176" spans="1:27" x14ac:dyDescent="0.25">
      <c r="K176">
        <v>0</v>
      </c>
      <c r="L176">
        <v>0</v>
      </c>
      <c r="M176">
        <v>3.9674999999999997E-4</v>
      </c>
      <c r="N176">
        <v>0</v>
      </c>
      <c r="O176">
        <v>0</v>
      </c>
      <c r="P176">
        <v>0</v>
      </c>
      <c r="Q176">
        <v>0</v>
      </c>
      <c r="R176">
        <v>0</v>
      </c>
      <c r="T176">
        <f t="shared" ref="T176:AA176" si="13">IF(T$152=$J176,$G165,0)</f>
        <v>0</v>
      </c>
      <c r="U176">
        <f t="shared" si="13"/>
        <v>0</v>
      </c>
      <c r="V176">
        <v>1</v>
      </c>
      <c r="W176">
        <f t="shared" si="13"/>
        <v>0</v>
      </c>
      <c r="X176">
        <f t="shared" si="13"/>
        <v>0</v>
      </c>
      <c r="Y176">
        <f t="shared" si="13"/>
        <v>0</v>
      </c>
      <c r="Z176">
        <f t="shared" si="13"/>
        <v>0</v>
      </c>
      <c r="AA176">
        <f t="shared" si="13"/>
        <v>0</v>
      </c>
    </row>
    <row r="177" spans="1:27" x14ac:dyDescent="0.25">
      <c r="K177">
        <v>0</v>
      </c>
      <c r="L177">
        <v>0</v>
      </c>
      <c r="M177">
        <v>0</v>
      </c>
      <c r="N177">
        <v>9.6000000000000013E-4</v>
      </c>
      <c r="O177">
        <v>0</v>
      </c>
      <c r="P177">
        <v>0</v>
      </c>
      <c r="Q177">
        <v>0</v>
      </c>
      <c r="R177">
        <v>0</v>
      </c>
      <c r="T177">
        <f t="shared" ref="T177:AA177" si="14">IF(T$152=$J177,$G166,0)</f>
        <v>0</v>
      </c>
      <c r="U177">
        <f t="shared" si="14"/>
        <v>0</v>
      </c>
      <c r="V177">
        <f t="shared" si="14"/>
        <v>0</v>
      </c>
      <c r="W177">
        <v>1</v>
      </c>
      <c r="X177">
        <f t="shared" si="14"/>
        <v>0</v>
      </c>
      <c r="Y177">
        <f t="shared" si="14"/>
        <v>0</v>
      </c>
      <c r="Z177">
        <f t="shared" si="14"/>
        <v>0</v>
      </c>
      <c r="AA177">
        <f t="shared" si="14"/>
        <v>0</v>
      </c>
    </row>
    <row r="178" spans="1:27" x14ac:dyDescent="0.25">
      <c r="K178">
        <v>0</v>
      </c>
      <c r="L178">
        <v>0</v>
      </c>
      <c r="M178">
        <v>0</v>
      </c>
      <c r="N178">
        <v>0</v>
      </c>
      <c r="O178">
        <v>4.3500000000000006E-3</v>
      </c>
      <c r="P178">
        <v>0</v>
      </c>
      <c r="Q178">
        <v>0</v>
      </c>
      <c r="R178">
        <v>0</v>
      </c>
      <c r="T178">
        <f t="shared" ref="T178:AA178" si="15">IF(T$152=$J178,$G167,0)</f>
        <v>0</v>
      </c>
      <c r="U178">
        <f t="shared" si="15"/>
        <v>0</v>
      </c>
      <c r="V178">
        <f t="shared" si="15"/>
        <v>0</v>
      </c>
      <c r="W178">
        <f t="shared" si="15"/>
        <v>0</v>
      </c>
      <c r="X178">
        <v>1</v>
      </c>
      <c r="Y178">
        <f t="shared" si="15"/>
        <v>0</v>
      </c>
      <c r="Z178">
        <f t="shared" si="15"/>
        <v>0</v>
      </c>
      <c r="AA178">
        <f t="shared" si="15"/>
        <v>0</v>
      </c>
    </row>
    <row r="179" spans="1:27" x14ac:dyDescent="0.25">
      <c r="A179">
        <f t="array" ref="A179:H179">MMULT(TRANSPOSE(G153:G160),K153:R160)/10000</f>
        <v>1.1999999999999999E-4</v>
      </c>
      <c r="B179">
        <v>2.7600000000000004E-4</v>
      </c>
      <c r="C179">
        <v>3.9674999999999997E-4</v>
      </c>
      <c r="D179">
        <v>9.6000000000000013E-4</v>
      </c>
      <c r="E179">
        <v>4.3500000000000006E-3</v>
      </c>
      <c r="F179">
        <v>2.2199999999999998E-2</v>
      </c>
      <c r="G179">
        <v>0.10306499999999999</v>
      </c>
      <c r="H179">
        <v>0.45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2.2199999999999998E-2</v>
      </c>
      <c r="Q179">
        <v>0</v>
      </c>
      <c r="R179">
        <v>0</v>
      </c>
      <c r="T179">
        <f t="shared" ref="T179:AA179" si="16">IF(T$152=$J179,$G168,0)</f>
        <v>0</v>
      </c>
      <c r="U179">
        <f t="shared" si="16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v>1</v>
      </c>
      <c r="Z179">
        <f t="shared" si="16"/>
        <v>0</v>
      </c>
      <c r="AA179">
        <f t="shared" si="16"/>
        <v>0</v>
      </c>
    </row>
    <row r="180" spans="1:27" x14ac:dyDescent="0.25"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0.10306499999999999</v>
      </c>
      <c r="R180">
        <v>0</v>
      </c>
      <c r="T180">
        <f t="shared" ref="T180:AA180" si="17">IF(T$152=$J180,$G169,0)</f>
        <v>0</v>
      </c>
      <c r="U180">
        <f t="shared" si="17"/>
        <v>0</v>
      </c>
      <c r="V180">
        <f t="shared" si="17"/>
        <v>0</v>
      </c>
      <c r="W180">
        <f t="shared" si="17"/>
        <v>0</v>
      </c>
      <c r="X180">
        <f t="shared" si="17"/>
        <v>0</v>
      </c>
      <c r="Y180">
        <f t="shared" si="17"/>
        <v>0</v>
      </c>
      <c r="Z180">
        <v>1</v>
      </c>
      <c r="AA180">
        <f t="shared" si="17"/>
        <v>0</v>
      </c>
    </row>
    <row r="181" spans="1:27" x14ac:dyDescent="0.25"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0.45</v>
      </c>
      <c r="T181">
        <f t="shared" ref="T181:Z181" si="18">IF(T$152=$J181,$G170,0)</f>
        <v>0</v>
      </c>
      <c r="U181">
        <f t="shared" si="18"/>
        <v>0</v>
      </c>
      <c r="V181">
        <f t="shared" si="18"/>
        <v>0</v>
      </c>
      <c r="W181">
        <f t="shared" si="18"/>
        <v>0</v>
      </c>
      <c r="X181">
        <f t="shared" si="18"/>
        <v>0</v>
      </c>
      <c r="Y181">
        <f t="shared" si="18"/>
        <v>0</v>
      </c>
      <c r="Z181">
        <f t="shared" si="18"/>
        <v>0</v>
      </c>
      <c r="AA181">
        <v>1</v>
      </c>
    </row>
    <row r="182" spans="1:27" x14ac:dyDescent="0.25">
      <c r="A182">
        <f t="array" ref="A182">MMULT(A179:H179,TRANSPOSE(F132:M132)*1/100)</f>
        <v>2.283037425E-3</v>
      </c>
    </row>
    <row r="183" spans="1:27" x14ac:dyDescent="0.25">
      <c r="K183">
        <f t="array" ref="K183:R190">K174:R181-T183:AA190</f>
        <v>-2.1630374250000001E-3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 s="134">
        <f t="array" ref="T183:AA190">A182*T174:AA181</f>
        <v>2.283037425E-3</v>
      </c>
      <c r="U183" s="134">
        <v>0</v>
      </c>
      <c r="V183" s="134">
        <v>0</v>
      </c>
      <c r="W183" s="134">
        <v>0</v>
      </c>
      <c r="X183" s="134">
        <v>0</v>
      </c>
      <c r="Y183" s="134">
        <v>0</v>
      </c>
      <c r="Z183" s="134">
        <v>0</v>
      </c>
      <c r="AA183" s="134">
        <v>0</v>
      </c>
    </row>
    <row r="184" spans="1:27" x14ac:dyDescent="0.25">
      <c r="K184">
        <v>0</v>
      </c>
      <c r="L184">
        <v>-2.0070374249999997E-3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 s="134">
        <v>0</v>
      </c>
      <c r="U184" s="134">
        <v>2.283037425E-3</v>
      </c>
      <c r="V184" s="134">
        <v>0</v>
      </c>
      <c r="W184" s="134">
        <v>0</v>
      </c>
      <c r="X184" s="134">
        <v>0</v>
      </c>
      <c r="Y184" s="134">
        <v>0</v>
      </c>
      <c r="Z184" s="134">
        <v>0</v>
      </c>
      <c r="AA184" s="134">
        <v>0</v>
      </c>
    </row>
    <row r="185" spans="1:27" x14ac:dyDescent="0.25">
      <c r="A185">
        <f t="array" ref="A185">MMULT(F132:M132/100,TRANSPOSE(K205:R205))</f>
        <v>3.7961450075531809E-4</v>
      </c>
      <c r="K185">
        <v>0</v>
      </c>
      <c r="L185">
        <v>0</v>
      </c>
      <c r="M185">
        <v>-1.886287425E-3</v>
      </c>
      <c r="N185">
        <v>0</v>
      </c>
      <c r="O185">
        <v>0</v>
      </c>
      <c r="P185">
        <v>0</v>
      </c>
      <c r="Q185">
        <v>0</v>
      </c>
      <c r="R185">
        <v>0</v>
      </c>
      <c r="T185" s="134">
        <v>0</v>
      </c>
      <c r="U185" s="134">
        <v>0</v>
      </c>
      <c r="V185" s="134">
        <v>2.283037425E-3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</row>
    <row r="186" spans="1:27" x14ac:dyDescent="0.25">
      <c r="K186">
        <v>0</v>
      </c>
      <c r="L186">
        <v>0</v>
      </c>
      <c r="M186">
        <v>0</v>
      </c>
      <c r="N186">
        <v>-1.3230374249999998E-3</v>
      </c>
      <c r="O186">
        <v>0</v>
      </c>
      <c r="P186">
        <v>0</v>
      </c>
      <c r="Q186">
        <v>0</v>
      </c>
      <c r="R186">
        <v>0</v>
      </c>
      <c r="T186" s="134">
        <v>0</v>
      </c>
      <c r="U186" s="134">
        <v>0</v>
      </c>
      <c r="V186" s="134">
        <v>0</v>
      </c>
      <c r="W186" s="134">
        <v>2.283037425E-3</v>
      </c>
      <c r="X186" s="134">
        <v>0</v>
      </c>
      <c r="Y186" s="134">
        <v>0</v>
      </c>
      <c r="Z186" s="134">
        <v>0</v>
      </c>
      <c r="AA186" s="134">
        <v>0</v>
      </c>
    </row>
    <row r="187" spans="1:27" x14ac:dyDescent="0.25">
      <c r="K187">
        <v>0</v>
      </c>
      <c r="L187">
        <v>0</v>
      </c>
      <c r="M187">
        <v>0</v>
      </c>
      <c r="N187">
        <v>0</v>
      </c>
      <c r="O187">
        <v>2.0669625750000006E-3</v>
      </c>
      <c r="P187">
        <v>0</v>
      </c>
      <c r="Q187">
        <v>0</v>
      </c>
      <c r="R187">
        <v>0</v>
      </c>
      <c r="T187" s="134">
        <v>0</v>
      </c>
      <c r="U187" s="134">
        <v>0</v>
      </c>
      <c r="V187" s="134">
        <v>0</v>
      </c>
      <c r="W187" s="134">
        <v>0</v>
      </c>
      <c r="X187" s="134">
        <v>2.283037425E-3</v>
      </c>
      <c r="Y187" s="134">
        <v>0</v>
      </c>
      <c r="Z187" s="134">
        <v>0</v>
      </c>
      <c r="AA187" s="134">
        <v>0</v>
      </c>
    </row>
    <row r="188" spans="1:27" x14ac:dyDescent="0.25">
      <c r="K188">
        <v>0</v>
      </c>
      <c r="L188">
        <v>0</v>
      </c>
      <c r="M188">
        <v>0</v>
      </c>
      <c r="N188">
        <v>0</v>
      </c>
      <c r="O188">
        <v>0</v>
      </c>
      <c r="P188">
        <v>1.9916962574999999E-2</v>
      </c>
      <c r="Q188">
        <v>0</v>
      </c>
      <c r="R188">
        <v>0</v>
      </c>
      <c r="T188" s="134">
        <v>0</v>
      </c>
      <c r="U188" s="134">
        <v>0</v>
      </c>
      <c r="V188" s="134">
        <v>0</v>
      </c>
      <c r="W188" s="134">
        <v>0</v>
      </c>
      <c r="X188" s="134">
        <v>0</v>
      </c>
      <c r="Y188" s="134">
        <v>2.283037425E-3</v>
      </c>
      <c r="Z188" s="134">
        <v>0</v>
      </c>
      <c r="AA188" s="134">
        <v>0</v>
      </c>
    </row>
    <row r="189" spans="1:27" x14ac:dyDescent="0.25"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0.10078196257499999</v>
      </c>
      <c r="R189">
        <v>0</v>
      </c>
      <c r="T189" s="134">
        <v>0</v>
      </c>
      <c r="U189" s="134">
        <v>0</v>
      </c>
      <c r="V189" s="134">
        <v>0</v>
      </c>
      <c r="W189" s="134">
        <v>0</v>
      </c>
      <c r="X189" s="134">
        <v>0</v>
      </c>
      <c r="Y189" s="134">
        <v>0</v>
      </c>
      <c r="Z189" s="134">
        <v>2.283037425E-3</v>
      </c>
      <c r="AA189" s="134">
        <v>0</v>
      </c>
    </row>
    <row r="190" spans="1:27" x14ac:dyDescent="0.25"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0.44771696257499999</v>
      </c>
      <c r="T190" s="134">
        <v>0</v>
      </c>
      <c r="U190" s="134">
        <v>0</v>
      </c>
      <c r="V190" s="134">
        <v>0</v>
      </c>
      <c r="W190" s="134">
        <v>0</v>
      </c>
      <c r="X190" s="134">
        <v>0</v>
      </c>
      <c r="Y190" s="134">
        <v>0</v>
      </c>
      <c r="Z190" s="134">
        <v>0</v>
      </c>
      <c r="AA190" s="134">
        <v>2.283037425E-3</v>
      </c>
    </row>
    <row r="193" spans="11:18" x14ac:dyDescent="0.25">
      <c r="K193">
        <f t="array" ref="K193:R200">MMULT(K183:R190,K183:R190)</f>
        <v>4.678730901950631E-6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</row>
    <row r="194" spans="11:18" x14ac:dyDescent="0.25">
      <c r="K194">
        <v>0</v>
      </c>
      <c r="L194">
        <v>4.02819922535063E-6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</row>
    <row r="195" spans="11:18" x14ac:dyDescent="0.25">
      <c r="K195">
        <v>0</v>
      </c>
      <c r="L195">
        <v>0</v>
      </c>
      <c r="M195">
        <v>3.5580802497131307E-6</v>
      </c>
      <c r="N195">
        <v>0</v>
      </c>
      <c r="O195">
        <v>0</v>
      </c>
      <c r="P195">
        <v>0</v>
      </c>
      <c r="Q195">
        <v>0</v>
      </c>
      <c r="R195">
        <v>0</v>
      </c>
    </row>
    <row r="196" spans="11:18" x14ac:dyDescent="0.25">
      <c r="K196">
        <v>0</v>
      </c>
      <c r="L196">
        <v>0</v>
      </c>
      <c r="M196">
        <v>0</v>
      </c>
      <c r="N196">
        <v>1.7504280279506301E-6</v>
      </c>
      <c r="O196">
        <v>0</v>
      </c>
      <c r="P196">
        <v>0</v>
      </c>
      <c r="Q196">
        <v>0</v>
      </c>
      <c r="R196">
        <v>0</v>
      </c>
    </row>
    <row r="197" spans="11:18" x14ac:dyDescent="0.25">
      <c r="K197">
        <v>0</v>
      </c>
      <c r="L197">
        <v>0</v>
      </c>
      <c r="M197">
        <v>0</v>
      </c>
      <c r="N197">
        <v>0</v>
      </c>
      <c r="O197">
        <v>4.2723342864506332E-6</v>
      </c>
      <c r="P197">
        <v>0</v>
      </c>
      <c r="Q197">
        <v>0</v>
      </c>
      <c r="R197">
        <v>0</v>
      </c>
    </row>
    <row r="198" spans="11:18" x14ac:dyDescent="0.25">
      <c r="K198">
        <v>0</v>
      </c>
      <c r="L198">
        <v>0</v>
      </c>
      <c r="M198">
        <v>0</v>
      </c>
      <c r="N198">
        <v>0</v>
      </c>
      <c r="O198">
        <v>0</v>
      </c>
      <c r="P198">
        <v>3.9668539821395061E-4</v>
      </c>
      <c r="Q198">
        <v>0</v>
      </c>
      <c r="R198">
        <v>0</v>
      </c>
    </row>
    <row r="199" spans="11:18" x14ac:dyDescent="0.25"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1.0157003980468699E-2</v>
      </c>
      <c r="R199">
        <v>0</v>
      </c>
    </row>
    <row r="200" spans="11:18" x14ac:dyDescent="0.25"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0.20045047857738393</v>
      </c>
    </row>
    <row r="203" spans="11:18" x14ac:dyDescent="0.25"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</row>
    <row r="205" spans="11:18" x14ac:dyDescent="0.25">
      <c r="K205">
        <f t="array" ref="K205:R205">MMULT(K203:R203,K193:R200)</f>
        <v>4.678730901950631E-6</v>
      </c>
      <c r="L205">
        <v>4.02819922535063E-6</v>
      </c>
      <c r="M205">
        <v>3.5580802497131307E-6</v>
      </c>
      <c r="N205">
        <v>1.7504280279506301E-6</v>
      </c>
      <c r="O205">
        <v>4.2723342864506332E-6</v>
      </c>
      <c r="P205">
        <v>3.9668539821395061E-4</v>
      </c>
      <c r="Q205">
        <v>1.0157003980468699E-2</v>
      </c>
      <c r="R205">
        <v>0.20045047857738393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3:S41"/>
  <sheetViews>
    <sheetView topLeftCell="A3" workbookViewId="0">
      <selection activeCell="B24" sqref="B24:R40"/>
    </sheetView>
  </sheetViews>
  <sheetFormatPr defaultRowHeight="15" x14ac:dyDescent="0.25"/>
  <cols>
    <col min="1" max="1" width="10.5703125" customWidth="1"/>
    <col min="2" max="2" width="9.140625" customWidth="1"/>
    <col min="3" max="18" width="9.140625" bestFit="1" customWidth="1"/>
    <col min="19" max="19" width="10.5703125" customWidth="1"/>
  </cols>
  <sheetData>
    <row r="3" spans="1:19" x14ac:dyDescent="0.25">
      <c r="A3" s="170" t="s">
        <v>1375</v>
      </c>
      <c r="B3" s="170" t="s">
        <v>1178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9"/>
    </row>
    <row r="4" spans="1:19" x14ac:dyDescent="0.25">
      <c r="A4" s="170" t="s">
        <v>1176</v>
      </c>
      <c r="B4" s="167">
        <v>0</v>
      </c>
      <c r="C4" s="173">
        <v>22</v>
      </c>
      <c r="D4" s="173">
        <v>40</v>
      </c>
      <c r="E4" s="173">
        <v>60</v>
      </c>
      <c r="F4" s="173">
        <v>65</v>
      </c>
      <c r="G4" s="173">
        <v>70</v>
      </c>
      <c r="H4" s="173">
        <v>73</v>
      </c>
      <c r="I4" s="173">
        <v>75</v>
      </c>
      <c r="J4" s="173">
        <v>77</v>
      </c>
      <c r="K4" s="173">
        <v>80</v>
      </c>
      <c r="L4" s="173">
        <v>83</v>
      </c>
      <c r="M4" s="173">
        <v>85</v>
      </c>
      <c r="N4" s="173">
        <v>87</v>
      </c>
      <c r="O4" s="173">
        <v>90</v>
      </c>
      <c r="P4" s="173">
        <v>93</v>
      </c>
      <c r="Q4" s="173">
        <v>95</v>
      </c>
      <c r="R4" s="173">
        <v>99</v>
      </c>
      <c r="S4" s="174" t="s">
        <v>1374</v>
      </c>
    </row>
    <row r="5" spans="1:19" x14ac:dyDescent="0.25">
      <c r="A5" s="167">
        <v>0</v>
      </c>
      <c r="B5" s="175">
        <v>815</v>
      </c>
      <c r="C5" s="176">
        <v>2</v>
      </c>
      <c r="D5" s="176">
        <v>2</v>
      </c>
      <c r="E5" s="176"/>
      <c r="F5" s="176">
        <v>2</v>
      </c>
      <c r="G5" s="176">
        <v>3</v>
      </c>
      <c r="H5" s="176">
        <v>7</v>
      </c>
      <c r="I5" s="176">
        <v>11</v>
      </c>
      <c r="J5" s="176">
        <v>13</v>
      </c>
      <c r="K5" s="176">
        <v>17</v>
      </c>
      <c r="L5" s="176">
        <v>34</v>
      </c>
      <c r="M5" s="176">
        <v>29</v>
      </c>
      <c r="N5" s="176">
        <v>12</v>
      </c>
      <c r="O5" s="176">
        <v>1</v>
      </c>
      <c r="P5" s="176"/>
      <c r="Q5" s="176"/>
      <c r="R5" s="176"/>
      <c r="S5" s="177">
        <v>948</v>
      </c>
    </row>
    <row r="6" spans="1:19" x14ac:dyDescent="0.25">
      <c r="A6" s="171">
        <v>22</v>
      </c>
      <c r="B6" s="178"/>
      <c r="C6" s="117">
        <v>10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79">
        <v>10</v>
      </c>
    </row>
    <row r="7" spans="1:19" x14ac:dyDescent="0.25">
      <c r="A7" s="171">
        <v>40</v>
      </c>
      <c r="B7" s="178">
        <v>1</v>
      </c>
      <c r="C7" s="117">
        <v>1</v>
      </c>
      <c r="D7" s="117">
        <v>2</v>
      </c>
      <c r="E7" s="117"/>
      <c r="F7" s="117"/>
      <c r="G7" s="117"/>
      <c r="H7" s="117"/>
      <c r="I7" s="117">
        <v>1</v>
      </c>
      <c r="J7" s="117"/>
      <c r="K7" s="117"/>
      <c r="L7" s="117"/>
      <c r="M7" s="117"/>
      <c r="N7" s="117"/>
      <c r="O7" s="117"/>
      <c r="P7" s="117"/>
      <c r="Q7" s="117"/>
      <c r="R7" s="117"/>
      <c r="S7" s="179">
        <v>5</v>
      </c>
    </row>
    <row r="8" spans="1:19" x14ac:dyDescent="0.25">
      <c r="A8" s="171">
        <v>60</v>
      </c>
      <c r="B8" s="178">
        <v>1</v>
      </c>
      <c r="C8" s="117">
        <v>3</v>
      </c>
      <c r="D8" s="117">
        <v>2</v>
      </c>
      <c r="E8" s="117">
        <v>3</v>
      </c>
      <c r="F8" s="117">
        <v>1</v>
      </c>
      <c r="G8" s="117"/>
      <c r="H8" s="117">
        <v>1</v>
      </c>
      <c r="I8" s="117">
        <v>1</v>
      </c>
      <c r="J8" s="117"/>
      <c r="K8" s="117"/>
      <c r="L8" s="117"/>
      <c r="M8" s="117"/>
      <c r="N8" s="117"/>
      <c r="O8" s="117"/>
      <c r="P8" s="117"/>
      <c r="Q8" s="117"/>
      <c r="R8" s="117"/>
      <c r="S8" s="179">
        <v>12</v>
      </c>
    </row>
    <row r="9" spans="1:19" x14ac:dyDescent="0.25">
      <c r="A9" s="171">
        <v>65</v>
      </c>
      <c r="B9" s="178">
        <v>3</v>
      </c>
      <c r="C9" s="117">
        <v>1</v>
      </c>
      <c r="D9" s="117"/>
      <c r="E9" s="117">
        <v>1</v>
      </c>
      <c r="F9" s="117">
        <v>1</v>
      </c>
      <c r="G9" s="117"/>
      <c r="H9" s="117"/>
      <c r="I9" s="117">
        <v>1</v>
      </c>
      <c r="J9" s="117">
        <v>1</v>
      </c>
      <c r="K9" s="117"/>
      <c r="L9" s="117"/>
      <c r="M9" s="117"/>
      <c r="N9" s="117"/>
      <c r="O9" s="117"/>
      <c r="P9" s="117"/>
      <c r="Q9" s="117"/>
      <c r="R9" s="117"/>
      <c r="S9" s="179">
        <v>8</v>
      </c>
    </row>
    <row r="10" spans="1:19" x14ac:dyDescent="0.25">
      <c r="A10" s="171">
        <v>70</v>
      </c>
      <c r="B10" s="178">
        <v>2</v>
      </c>
      <c r="C10" s="117"/>
      <c r="D10" s="117"/>
      <c r="E10" s="117"/>
      <c r="F10" s="117">
        <v>1</v>
      </c>
      <c r="G10" s="117">
        <v>1</v>
      </c>
      <c r="H10" s="117">
        <v>1</v>
      </c>
      <c r="I10" s="117"/>
      <c r="J10" s="117">
        <v>1</v>
      </c>
      <c r="K10" s="117"/>
      <c r="L10" s="117"/>
      <c r="M10" s="117"/>
      <c r="N10" s="117"/>
      <c r="O10" s="117"/>
      <c r="P10" s="117"/>
      <c r="Q10" s="117"/>
      <c r="R10" s="117"/>
      <c r="S10" s="179">
        <v>6</v>
      </c>
    </row>
    <row r="11" spans="1:19" x14ac:dyDescent="0.25">
      <c r="A11" s="171">
        <v>73</v>
      </c>
      <c r="B11" s="178">
        <v>4</v>
      </c>
      <c r="C11" s="117">
        <v>1</v>
      </c>
      <c r="D11" s="117"/>
      <c r="E11" s="117"/>
      <c r="F11" s="117">
        <v>2</v>
      </c>
      <c r="G11" s="117">
        <v>1</v>
      </c>
      <c r="H11" s="117">
        <v>2</v>
      </c>
      <c r="I11" s="117">
        <v>1</v>
      </c>
      <c r="J11" s="117">
        <v>1</v>
      </c>
      <c r="K11" s="117"/>
      <c r="L11" s="117"/>
      <c r="M11" s="117"/>
      <c r="N11" s="117"/>
      <c r="O11" s="117"/>
      <c r="P11" s="117"/>
      <c r="Q11" s="117"/>
      <c r="R11" s="117"/>
      <c r="S11" s="179">
        <v>12</v>
      </c>
    </row>
    <row r="12" spans="1:19" x14ac:dyDescent="0.25">
      <c r="A12" s="171">
        <v>75</v>
      </c>
      <c r="B12" s="178">
        <v>2</v>
      </c>
      <c r="C12" s="117"/>
      <c r="D12" s="117">
        <v>1</v>
      </c>
      <c r="E12" s="117"/>
      <c r="F12" s="117"/>
      <c r="G12" s="117">
        <v>1</v>
      </c>
      <c r="H12" s="117"/>
      <c r="I12" s="117">
        <v>1</v>
      </c>
      <c r="J12" s="117">
        <v>1</v>
      </c>
      <c r="K12" s="117">
        <v>3</v>
      </c>
      <c r="L12" s="117"/>
      <c r="M12" s="117"/>
      <c r="N12" s="117">
        <v>1</v>
      </c>
      <c r="O12" s="117"/>
      <c r="P12" s="117"/>
      <c r="Q12" s="117"/>
      <c r="R12" s="117"/>
      <c r="S12" s="179">
        <v>10</v>
      </c>
    </row>
    <row r="13" spans="1:19" x14ac:dyDescent="0.25">
      <c r="A13" s="171">
        <v>77</v>
      </c>
      <c r="B13" s="178">
        <v>8</v>
      </c>
      <c r="C13" s="117"/>
      <c r="D13" s="117"/>
      <c r="E13" s="117"/>
      <c r="F13" s="117">
        <v>1</v>
      </c>
      <c r="G13" s="117"/>
      <c r="H13" s="117">
        <v>2</v>
      </c>
      <c r="I13" s="117">
        <v>2</v>
      </c>
      <c r="J13" s="117">
        <v>3</v>
      </c>
      <c r="K13" s="117">
        <v>4</v>
      </c>
      <c r="L13" s="117">
        <v>1</v>
      </c>
      <c r="M13" s="117"/>
      <c r="N13" s="117"/>
      <c r="O13" s="117"/>
      <c r="P13" s="117"/>
      <c r="Q13" s="117"/>
      <c r="R13" s="117"/>
      <c r="S13" s="179">
        <v>21</v>
      </c>
    </row>
    <row r="14" spans="1:19" x14ac:dyDescent="0.25">
      <c r="A14" s="171">
        <v>80</v>
      </c>
      <c r="B14" s="178">
        <v>5</v>
      </c>
      <c r="C14" s="117"/>
      <c r="D14" s="117">
        <v>1</v>
      </c>
      <c r="E14" s="117"/>
      <c r="F14" s="117"/>
      <c r="G14" s="117">
        <v>2</v>
      </c>
      <c r="H14" s="117"/>
      <c r="I14" s="117"/>
      <c r="J14" s="117">
        <v>5</v>
      </c>
      <c r="K14" s="117">
        <v>5</v>
      </c>
      <c r="L14" s="117">
        <v>4</v>
      </c>
      <c r="M14" s="117"/>
      <c r="N14" s="117"/>
      <c r="O14" s="117"/>
      <c r="P14" s="117"/>
      <c r="Q14" s="117"/>
      <c r="R14" s="117"/>
      <c r="S14" s="179">
        <v>22</v>
      </c>
    </row>
    <row r="15" spans="1:19" x14ac:dyDescent="0.25">
      <c r="A15" s="171">
        <v>83</v>
      </c>
      <c r="B15" s="178">
        <v>6</v>
      </c>
      <c r="C15" s="117">
        <v>1</v>
      </c>
      <c r="D15" s="117"/>
      <c r="E15" s="117"/>
      <c r="F15" s="117"/>
      <c r="G15" s="117">
        <v>1</v>
      </c>
      <c r="H15" s="117">
        <v>2</v>
      </c>
      <c r="I15" s="117">
        <v>2</v>
      </c>
      <c r="J15" s="117">
        <v>5</v>
      </c>
      <c r="K15" s="117">
        <v>6</v>
      </c>
      <c r="L15" s="117">
        <v>10</v>
      </c>
      <c r="M15" s="117">
        <v>2</v>
      </c>
      <c r="N15" s="117">
        <v>1</v>
      </c>
      <c r="O15" s="117"/>
      <c r="P15" s="117"/>
      <c r="Q15" s="117"/>
      <c r="R15" s="117"/>
      <c r="S15" s="179">
        <v>36</v>
      </c>
    </row>
    <row r="16" spans="1:19" x14ac:dyDescent="0.25">
      <c r="A16" s="171">
        <v>85</v>
      </c>
      <c r="B16" s="178">
        <v>10</v>
      </c>
      <c r="C16" s="117"/>
      <c r="D16" s="117"/>
      <c r="E16" s="117">
        <v>1</v>
      </c>
      <c r="F16" s="117">
        <v>1</v>
      </c>
      <c r="G16" s="117">
        <v>1</v>
      </c>
      <c r="H16" s="117"/>
      <c r="I16" s="117">
        <v>1</v>
      </c>
      <c r="J16" s="117">
        <v>3</v>
      </c>
      <c r="K16" s="117">
        <v>8</v>
      </c>
      <c r="L16" s="117">
        <v>9</v>
      </c>
      <c r="M16" s="117">
        <v>5</v>
      </c>
      <c r="N16" s="117">
        <v>2</v>
      </c>
      <c r="O16" s="117"/>
      <c r="P16" s="117"/>
      <c r="Q16" s="117"/>
      <c r="R16" s="117"/>
      <c r="S16" s="179">
        <v>41</v>
      </c>
    </row>
    <row r="17" spans="1:19" x14ac:dyDescent="0.25">
      <c r="A17" s="171">
        <v>87</v>
      </c>
      <c r="B17" s="178">
        <v>9</v>
      </c>
      <c r="C17" s="117"/>
      <c r="D17" s="117"/>
      <c r="E17" s="117"/>
      <c r="F17" s="117"/>
      <c r="G17" s="117"/>
      <c r="H17" s="117">
        <v>1</v>
      </c>
      <c r="I17" s="117">
        <v>1</v>
      </c>
      <c r="J17" s="117">
        <v>5</v>
      </c>
      <c r="K17" s="117">
        <v>7</v>
      </c>
      <c r="L17" s="117">
        <v>3</v>
      </c>
      <c r="M17" s="117">
        <v>9</v>
      </c>
      <c r="N17" s="117">
        <v>4</v>
      </c>
      <c r="O17" s="117"/>
      <c r="P17" s="117"/>
      <c r="Q17" s="117"/>
      <c r="R17" s="117"/>
      <c r="S17" s="179">
        <v>39</v>
      </c>
    </row>
    <row r="18" spans="1:19" x14ac:dyDescent="0.25">
      <c r="A18" s="171">
        <v>90</v>
      </c>
      <c r="B18" s="178">
        <v>2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>
        <v>1</v>
      </c>
      <c r="M18" s="117">
        <v>6</v>
      </c>
      <c r="N18" s="117">
        <v>2</v>
      </c>
      <c r="O18" s="117">
        <v>1</v>
      </c>
      <c r="P18" s="117"/>
      <c r="Q18" s="117"/>
      <c r="R18" s="117"/>
      <c r="S18" s="179">
        <v>12</v>
      </c>
    </row>
    <row r="19" spans="1:19" x14ac:dyDescent="0.25">
      <c r="A19" s="171">
        <v>93</v>
      </c>
      <c r="B19" s="178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>
        <v>1</v>
      </c>
      <c r="Q19" s="117"/>
      <c r="R19" s="117"/>
      <c r="S19" s="179">
        <v>1</v>
      </c>
    </row>
    <row r="20" spans="1:19" x14ac:dyDescent="0.25">
      <c r="A20" s="171">
        <v>95</v>
      </c>
      <c r="B20" s="178">
        <v>1</v>
      </c>
      <c r="C20" s="117"/>
      <c r="D20" s="117"/>
      <c r="E20" s="117"/>
      <c r="F20" s="117">
        <v>1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>
        <v>1</v>
      </c>
      <c r="R20" s="117"/>
      <c r="S20" s="179">
        <v>3</v>
      </c>
    </row>
    <row r="21" spans="1:19" x14ac:dyDescent="0.25">
      <c r="A21" s="171">
        <v>99</v>
      </c>
      <c r="B21" s="178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>
        <v>1</v>
      </c>
      <c r="S21" s="179">
        <v>1</v>
      </c>
    </row>
    <row r="22" spans="1:19" x14ac:dyDescent="0.25">
      <c r="A22" s="172" t="s">
        <v>1374</v>
      </c>
      <c r="B22" s="180">
        <v>869</v>
      </c>
      <c r="C22" s="181">
        <v>19</v>
      </c>
      <c r="D22" s="181">
        <v>8</v>
      </c>
      <c r="E22" s="181">
        <v>5</v>
      </c>
      <c r="F22" s="181">
        <v>10</v>
      </c>
      <c r="G22" s="181">
        <v>10</v>
      </c>
      <c r="H22" s="181">
        <v>16</v>
      </c>
      <c r="I22" s="181">
        <v>22</v>
      </c>
      <c r="J22" s="181">
        <v>38</v>
      </c>
      <c r="K22" s="181">
        <v>50</v>
      </c>
      <c r="L22" s="181">
        <v>62</v>
      </c>
      <c r="M22" s="181">
        <v>51</v>
      </c>
      <c r="N22" s="181">
        <v>22</v>
      </c>
      <c r="O22" s="181">
        <v>2</v>
      </c>
      <c r="P22" s="181">
        <v>1</v>
      </c>
      <c r="Q22" s="181">
        <v>1</v>
      </c>
      <c r="R22" s="181">
        <v>1</v>
      </c>
      <c r="S22" s="182">
        <v>1187</v>
      </c>
    </row>
    <row r="23" spans="1:19" x14ac:dyDescent="0.25">
      <c r="A23" s="167" t="s">
        <v>1176</v>
      </c>
      <c r="B23" s="167">
        <v>0</v>
      </c>
      <c r="C23" s="173">
        <v>22</v>
      </c>
      <c r="D23" s="173">
        <v>40</v>
      </c>
      <c r="E23" s="173">
        <v>60</v>
      </c>
      <c r="F23" s="173">
        <v>65</v>
      </c>
      <c r="G23" s="173">
        <v>70</v>
      </c>
      <c r="H23" s="173">
        <v>73</v>
      </c>
      <c r="I23" s="173">
        <v>75</v>
      </c>
      <c r="J23" s="173">
        <v>77</v>
      </c>
      <c r="K23" s="173">
        <v>80</v>
      </c>
      <c r="L23" s="173">
        <v>83</v>
      </c>
      <c r="M23" s="173">
        <v>85</v>
      </c>
      <c r="N23" s="173">
        <v>87</v>
      </c>
      <c r="O23" s="173">
        <v>90</v>
      </c>
      <c r="P23" s="173">
        <v>93</v>
      </c>
      <c r="Q23" s="173">
        <v>95</v>
      </c>
      <c r="R23" s="173">
        <v>99</v>
      </c>
    </row>
    <row r="24" spans="1:19" x14ac:dyDescent="0.25">
      <c r="A24" s="167">
        <v>0</v>
      </c>
      <c r="B24" s="195"/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89">
        <f>SUM(B24:R24)</f>
        <v>0</v>
      </c>
    </row>
    <row r="25" spans="1:19" x14ac:dyDescent="0.25">
      <c r="A25" s="171">
        <v>22</v>
      </c>
      <c r="B25" s="195"/>
      <c r="C25" s="195"/>
      <c r="D25" s="195"/>
      <c r="E25" s="195"/>
      <c r="F25" s="195"/>
      <c r="G25" s="195"/>
      <c r="H25" s="195"/>
      <c r="I25" s="195"/>
      <c r="J25" s="195"/>
      <c r="K25" s="195"/>
      <c r="L25" s="195"/>
      <c r="M25" s="195"/>
      <c r="N25" s="195"/>
      <c r="O25" s="195"/>
      <c r="P25" s="195"/>
      <c r="Q25" s="195"/>
      <c r="R25" s="195"/>
      <c r="S25" s="89">
        <f t="shared" ref="S25:S40" si="0">SUM(B25:R25)</f>
        <v>0</v>
      </c>
    </row>
    <row r="26" spans="1:19" x14ac:dyDescent="0.25">
      <c r="A26" s="171">
        <v>40</v>
      </c>
      <c r="B26" s="195"/>
      <c r="C26" s="195"/>
      <c r="D26" s="195"/>
      <c r="E26" s="195"/>
      <c r="F26" s="195"/>
      <c r="G26" s="195"/>
      <c r="H26" s="195"/>
      <c r="I26" s="195"/>
      <c r="J26" s="195"/>
      <c r="K26" s="195"/>
      <c r="L26" s="195"/>
      <c r="M26" s="195"/>
      <c r="N26" s="195"/>
      <c r="O26" s="195"/>
      <c r="P26" s="195"/>
      <c r="Q26" s="195"/>
      <c r="R26" s="195"/>
      <c r="S26" s="89">
        <f t="shared" si="0"/>
        <v>0</v>
      </c>
    </row>
    <row r="27" spans="1:19" x14ac:dyDescent="0.25">
      <c r="A27" s="171">
        <v>60</v>
      </c>
      <c r="B27" s="195"/>
      <c r="C27" s="195"/>
      <c r="D27" s="195"/>
      <c r="E27" s="195"/>
      <c r="F27" s="195"/>
      <c r="G27" s="195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89">
        <f t="shared" si="0"/>
        <v>0</v>
      </c>
    </row>
    <row r="28" spans="1:19" x14ac:dyDescent="0.25">
      <c r="A28" s="171">
        <v>65</v>
      </c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89">
        <f t="shared" si="0"/>
        <v>0</v>
      </c>
    </row>
    <row r="29" spans="1:19" x14ac:dyDescent="0.25">
      <c r="A29" s="171">
        <v>70</v>
      </c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89">
        <f t="shared" si="0"/>
        <v>0</v>
      </c>
    </row>
    <row r="30" spans="1:19" x14ac:dyDescent="0.25">
      <c r="A30" s="171">
        <v>73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89">
        <f t="shared" si="0"/>
        <v>0</v>
      </c>
    </row>
    <row r="31" spans="1:19" x14ac:dyDescent="0.25">
      <c r="A31" s="171">
        <v>75</v>
      </c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89">
        <f t="shared" si="0"/>
        <v>0</v>
      </c>
    </row>
    <row r="32" spans="1:19" x14ac:dyDescent="0.25">
      <c r="A32" s="171">
        <v>77</v>
      </c>
      <c r="B32" s="195"/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89">
        <f t="shared" si="0"/>
        <v>0</v>
      </c>
    </row>
    <row r="33" spans="1:19" x14ac:dyDescent="0.25">
      <c r="A33" s="171">
        <v>80</v>
      </c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89">
        <f t="shared" si="0"/>
        <v>0</v>
      </c>
    </row>
    <row r="34" spans="1:19" x14ac:dyDescent="0.25">
      <c r="A34" s="171">
        <v>83</v>
      </c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89">
        <f t="shared" si="0"/>
        <v>0</v>
      </c>
    </row>
    <row r="35" spans="1:19" x14ac:dyDescent="0.25">
      <c r="A35" s="171">
        <v>85</v>
      </c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89">
        <f t="shared" si="0"/>
        <v>0</v>
      </c>
    </row>
    <row r="36" spans="1:19" x14ac:dyDescent="0.25">
      <c r="A36" s="171">
        <v>87</v>
      </c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89">
        <f t="shared" si="0"/>
        <v>0</v>
      </c>
    </row>
    <row r="37" spans="1:19" x14ac:dyDescent="0.25">
      <c r="A37" s="171">
        <v>90</v>
      </c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89">
        <f t="shared" si="0"/>
        <v>0</v>
      </c>
    </row>
    <row r="38" spans="1:19" x14ac:dyDescent="0.25">
      <c r="A38" s="171">
        <v>93</v>
      </c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89">
        <f t="shared" si="0"/>
        <v>0</v>
      </c>
    </row>
    <row r="39" spans="1:19" x14ac:dyDescent="0.25">
      <c r="A39" s="171">
        <v>95</v>
      </c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89">
        <f t="shared" si="0"/>
        <v>0</v>
      </c>
    </row>
    <row r="40" spans="1:19" x14ac:dyDescent="0.25">
      <c r="A40" s="171">
        <v>99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89">
        <f t="shared" si="0"/>
        <v>0</v>
      </c>
    </row>
    <row r="41" spans="1:19" x14ac:dyDescent="0.25">
      <c r="A41" s="171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BB1190"/>
  <sheetViews>
    <sheetView zoomScale="75" zoomScaleNormal="75" workbookViewId="0">
      <selection activeCell="A42" sqref="A42"/>
    </sheetView>
  </sheetViews>
  <sheetFormatPr defaultColWidth="11.42578125" defaultRowHeight="15" x14ac:dyDescent="0.25"/>
  <cols>
    <col min="1" max="1" width="6.85546875" bestFit="1" customWidth="1"/>
    <col min="2" max="2" width="12.5703125" bestFit="1" customWidth="1"/>
    <col min="3" max="3" width="10" bestFit="1" customWidth="1"/>
    <col min="4" max="4" width="9.28515625" bestFit="1" customWidth="1"/>
    <col min="5" max="5" width="9.42578125" bestFit="1" customWidth="1"/>
    <col min="6" max="6" width="9.28515625" bestFit="1" customWidth="1"/>
    <col min="7" max="7" width="10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10" bestFit="1" customWidth="1"/>
    <col min="12" max="12" width="9.28515625" bestFit="1" customWidth="1"/>
    <col min="13" max="13" width="9.42578125" bestFit="1" customWidth="1"/>
    <col min="14" max="14" width="9.28515625" bestFit="1" customWidth="1"/>
    <col min="15" max="15" width="10" bestFit="1" customWidth="1"/>
    <col min="16" max="16" width="9.28515625" bestFit="1" customWidth="1"/>
    <col min="17" max="17" width="9.42578125" bestFit="1" customWidth="1"/>
    <col min="18" max="18" width="9.28515625" bestFit="1" customWidth="1"/>
    <col min="19" max="19" width="9.7109375" bestFit="1" customWidth="1"/>
    <col min="20" max="20" width="9" bestFit="1" customWidth="1"/>
    <col min="21" max="21" width="9.28515625" bestFit="1" customWidth="1"/>
    <col min="22" max="22" width="9.42578125" customWidth="1"/>
    <col min="23" max="23" width="17" bestFit="1" customWidth="1"/>
    <col min="24" max="24" width="16.5703125" bestFit="1" customWidth="1"/>
    <col min="25" max="25" width="11.42578125" customWidth="1"/>
    <col min="26" max="28" width="14.42578125" bestFit="1" customWidth="1"/>
  </cols>
  <sheetData>
    <row r="1" spans="1:32" x14ac:dyDescent="0.25">
      <c r="A1" s="1" t="s">
        <v>0</v>
      </c>
      <c r="B1" s="2" t="s">
        <v>1</v>
      </c>
      <c r="C1" s="3">
        <v>38779</v>
      </c>
      <c r="D1" s="3">
        <v>38871</v>
      </c>
      <c r="E1" s="3">
        <v>38963</v>
      </c>
      <c r="F1" s="3">
        <v>39054</v>
      </c>
      <c r="G1" s="3">
        <v>39144</v>
      </c>
      <c r="H1" s="3">
        <v>39236</v>
      </c>
      <c r="I1" s="3">
        <v>39328</v>
      </c>
      <c r="J1" s="3">
        <v>39419</v>
      </c>
      <c r="K1" s="3">
        <v>39510</v>
      </c>
      <c r="L1" s="3">
        <v>39602</v>
      </c>
      <c r="M1" s="3">
        <v>39694</v>
      </c>
      <c r="N1" s="3">
        <v>39785</v>
      </c>
      <c r="O1" s="3">
        <v>39875</v>
      </c>
      <c r="P1" s="3">
        <v>39967</v>
      </c>
      <c r="Q1" s="3">
        <v>40059</v>
      </c>
      <c r="R1" s="3">
        <v>40150</v>
      </c>
      <c r="S1" s="3">
        <v>40240</v>
      </c>
      <c r="T1" s="3">
        <v>40332</v>
      </c>
      <c r="U1" s="3">
        <v>40424</v>
      </c>
      <c r="V1" s="3">
        <v>40515</v>
      </c>
      <c r="W1" s="138" t="s">
        <v>2</v>
      </c>
      <c r="X1" t="s">
        <v>1229</v>
      </c>
      <c r="Y1" s="135"/>
    </row>
    <row r="2" spans="1:32" x14ac:dyDescent="0.25">
      <c r="A2" s="4">
        <v>1</v>
      </c>
      <c r="B2" s="5" t="s">
        <v>3</v>
      </c>
      <c r="C2" s="6">
        <v>83</v>
      </c>
      <c r="D2" s="6">
        <v>80</v>
      </c>
      <c r="E2" s="6">
        <v>73</v>
      </c>
      <c r="F2" s="6">
        <v>73</v>
      </c>
      <c r="G2" s="6">
        <v>73</v>
      </c>
      <c r="H2" s="6">
        <v>77</v>
      </c>
      <c r="I2" s="6">
        <v>73</v>
      </c>
      <c r="J2" s="6">
        <v>65</v>
      </c>
      <c r="K2" s="6">
        <v>77</v>
      </c>
      <c r="L2" s="6">
        <v>75</v>
      </c>
      <c r="M2" s="6">
        <v>77</v>
      </c>
      <c r="N2" s="6">
        <v>77</v>
      </c>
      <c r="O2" s="6">
        <v>77</v>
      </c>
      <c r="P2" s="6">
        <v>77</v>
      </c>
      <c r="Q2" s="6">
        <v>80</v>
      </c>
      <c r="R2" s="6">
        <v>83</v>
      </c>
      <c r="S2" s="6">
        <v>83</v>
      </c>
      <c r="T2" s="6">
        <v>83</v>
      </c>
      <c r="U2" s="6">
        <v>83</v>
      </c>
      <c r="V2" s="6">
        <v>80</v>
      </c>
      <c r="W2" s="138">
        <v>121154.30969756437</v>
      </c>
      <c r="X2">
        <f ca="1">IF(V2=0,0,OFFSET(CreditMetrics!$B$474,MATCH(RAND(),OFFSET(CreditMetrics!$C$474,1,MATCH(BDClientes!V2,CreditMetrics!$B$475:$B$491,0),COUNT(CreditMetrics!$B$475:$B$491),1),1),0,1,1))</f>
        <v>77</v>
      </c>
      <c r="Z2" s="79"/>
    </row>
    <row r="3" spans="1:32" x14ac:dyDescent="0.25">
      <c r="A3" s="4">
        <v>2</v>
      </c>
      <c r="B3" s="5" t="s">
        <v>4</v>
      </c>
      <c r="C3" s="6">
        <v>75</v>
      </c>
      <c r="D3" s="6">
        <v>60</v>
      </c>
      <c r="E3" s="6">
        <v>73</v>
      </c>
      <c r="F3" s="6">
        <v>73</v>
      </c>
      <c r="G3" s="6">
        <v>40</v>
      </c>
      <c r="H3" s="6">
        <v>60</v>
      </c>
      <c r="I3" s="6">
        <v>65</v>
      </c>
      <c r="J3" s="6">
        <v>65</v>
      </c>
      <c r="K3" s="6">
        <v>70</v>
      </c>
      <c r="L3" s="6">
        <v>65</v>
      </c>
      <c r="M3" s="6">
        <v>65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X3">
        <f ca="1">IF(V3=0,0,OFFSET(CreditMetrics!$B$474,MATCH(RAND(),OFFSET(CreditMetrics!$C$474,1,MATCH(BDClientes!V3,CreditMetrics!$B$475:$B$491,0),COUNT(CreditMetrics!$B$475:$B$491),1),1),0,1,1))</f>
        <v>0</v>
      </c>
      <c r="Z3" s="79"/>
    </row>
    <row r="4" spans="1:32" x14ac:dyDescent="0.25">
      <c r="A4" s="4">
        <v>3</v>
      </c>
      <c r="B4" s="5" t="s">
        <v>5</v>
      </c>
      <c r="C4" s="6">
        <v>0</v>
      </c>
      <c r="D4" s="6">
        <v>0</v>
      </c>
      <c r="E4" s="6">
        <v>0</v>
      </c>
      <c r="F4" s="6">
        <v>65</v>
      </c>
      <c r="G4" s="6">
        <v>65</v>
      </c>
      <c r="H4" s="6">
        <v>80</v>
      </c>
      <c r="I4" s="6">
        <v>80</v>
      </c>
      <c r="J4" s="6">
        <v>77</v>
      </c>
      <c r="K4" s="6">
        <v>83</v>
      </c>
      <c r="L4" s="6">
        <v>87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X4">
        <f ca="1">IF(V4=0,0,OFFSET(CreditMetrics!$B$474,MATCH(RAND(),OFFSET(CreditMetrics!$C$474,1,MATCH(BDClientes!V4,CreditMetrics!$B$475:$B$491,0),COUNT(CreditMetrics!$B$475:$B$491),1),1),0,1,1))</f>
        <v>0</v>
      </c>
      <c r="Z4" s="79"/>
      <c r="AD4" t="s">
        <v>1377</v>
      </c>
      <c r="AE4" t="s">
        <v>1379</v>
      </c>
      <c r="AF4" t="s">
        <v>1380</v>
      </c>
    </row>
    <row r="5" spans="1:32" x14ac:dyDescent="0.25">
      <c r="A5" s="4">
        <v>4</v>
      </c>
      <c r="B5" s="5" t="s">
        <v>6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75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X5">
        <f ca="1">IF(V5=0,0,OFFSET(CreditMetrics!$B$474,MATCH(RAND(),OFFSET(CreditMetrics!$C$474,1,MATCH(BDClientes!V5,CreditMetrics!$B$475:$B$491,0),COUNT(CreditMetrics!$B$475:$B$491),1),1),0,1,1))</f>
        <v>0</v>
      </c>
      <c r="Z5" s="79"/>
      <c r="AD5" t="s">
        <v>1295</v>
      </c>
      <c r="AE5">
        <v>10</v>
      </c>
      <c r="AF5">
        <v>522</v>
      </c>
    </row>
    <row r="6" spans="1:32" x14ac:dyDescent="0.25">
      <c r="A6" s="4">
        <v>5</v>
      </c>
      <c r="B6" s="5" t="s">
        <v>7</v>
      </c>
      <c r="C6" s="6">
        <v>83</v>
      </c>
      <c r="D6" s="6">
        <v>87</v>
      </c>
      <c r="E6" s="6">
        <v>83</v>
      </c>
      <c r="F6" s="6">
        <v>83</v>
      </c>
      <c r="G6" s="6">
        <v>83</v>
      </c>
      <c r="H6" s="6">
        <v>80</v>
      </c>
      <c r="I6" s="6">
        <v>0</v>
      </c>
      <c r="J6" s="6">
        <v>80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X6">
        <f ca="1">IF(V6=0,0,OFFSET(CreditMetrics!$B$474,MATCH(RAND(),OFFSET(CreditMetrics!$C$474,1,MATCH(BDClientes!V6,CreditMetrics!$B$475:$B$491,0),COUNT(CreditMetrics!$B$475:$B$491),1),1),0,1,1))</f>
        <v>0</v>
      </c>
      <c r="Z6" s="79"/>
      <c r="AD6" t="s">
        <v>1315</v>
      </c>
      <c r="AE6">
        <v>2</v>
      </c>
      <c r="AF6">
        <v>2112</v>
      </c>
    </row>
    <row r="7" spans="1:32" x14ac:dyDescent="0.25">
      <c r="A7" s="4">
        <v>6</v>
      </c>
      <c r="B7" s="5" t="s">
        <v>8</v>
      </c>
      <c r="C7" s="6">
        <v>83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X7">
        <f ca="1">IF(V7=0,0,OFFSET(CreditMetrics!$B$474,MATCH(RAND(),OFFSET(CreditMetrics!$C$474,1,MATCH(BDClientes!V7,CreditMetrics!$B$475:$B$491,0),COUNT(CreditMetrics!$B$475:$B$491),1),1),0,1,1))</f>
        <v>0</v>
      </c>
      <c r="Z7" s="79"/>
      <c r="AD7" t="s">
        <v>1378</v>
      </c>
      <c r="AE7">
        <v>0</v>
      </c>
      <c r="AF7">
        <v>1</v>
      </c>
    </row>
    <row r="8" spans="1:32" x14ac:dyDescent="0.25">
      <c r="A8" s="4">
        <v>7</v>
      </c>
      <c r="B8" s="5" t="s">
        <v>9</v>
      </c>
      <c r="C8" s="6">
        <v>83</v>
      </c>
      <c r="D8" s="6">
        <v>85</v>
      </c>
      <c r="E8" s="6">
        <v>83</v>
      </c>
      <c r="F8" s="6">
        <v>83</v>
      </c>
      <c r="G8" s="6">
        <v>83</v>
      </c>
      <c r="H8" s="6">
        <v>85</v>
      </c>
      <c r="I8" s="6">
        <v>85</v>
      </c>
      <c r="J8" s="6">
        <v>85</v>
      </c>
      <c r="K8" s="6">
        <v>85</v>
      </c>
      <c r="L8" s="6">
        <v>85</v>
      </c>
      <c r="M8" s="6">
        <v>85</v>
      </c>
      <c r="N8" s="6">
        <v>85</v>
      </c>
      <c r="O8" s="6">
        <v>85</v>
      </c>
      <c r="P8" s="6">
        <v>87</v>
      </c>
      <c r="Q8" s="6">
        <v>87</v>
      </c>
      <c r="R8" s="6">
        <v>87</v>
      </c>
      <c r="S8" s="6">
        <v>87</v>
      </c>
      <c r="T8" s="6">
        <v>85</v>
      </c>
      <c r="U8" s="6">
        <v>87</v>
      </c>
      <c r="V8" s="6">
        <v>87</v>
      </c>
      <c r="W8" s="138">
        <v>2909745.8290977613</v>
      </c>
      <c r="X8">
        <f ca="1">IF(V8=0,0,OFFSET(CreditMetrics!$B$474,MATCH(RAND(),OFFSET(CreditMetrics!$C$474,1,MATCH(BDClientes!V8,CreditMetrics!$B$475:$B$491,0),COUNT(CreditMetrics!$B$475:$B$491),1),1),0,1,1))</f>
        <v>87</v>
      </c>
      <c r="Z8" s="79"/>
    </row>
    <row r="9" spans="1:32" x14ac:dyDescent="0.25">
      <c r="A9" s="4">
        <v>8</v>
      </c>
      <c r="B9" s="5" t="s">
        <v>10</v>
      </c>
      <c r="C9" s="6">
        <v>80</v>
      </c>
      <c r="D9" s="6">
        <v>85</v>
      </c>
      <c r="E9" s="6">
        <v>80</v>
      </c>
      <c r="F9" s="6">
        <v>80</v>
      </c>
      <c r="G9" s="6">
        <v>77</v>
      </c>
      <c r="H9" s="6">
        <v>80</v>
      </c>
      <c r="I9" s="6">
        <v>80</v>
      </c>
      <c r="J9" s="6">
        <v>80</v>
      </c>
      <c r="K9" s="6">
        <v>80</v>
      </c>
      <c r="L9" s="6">
        <v>77</v>
      </c>
      <c r="M9" s="6">
        <v>77</v>
      </c>
      <c r="N9" s="6">
        <v>75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X9">
        <f ca="1">IF(V9=0,0,OFFSET(CreditMetrics!$B$474,MATCH(RAND(),OFFSET(CreditMetrics!$C$474,1,MATCH(BDClientes!V9,CreditMetrics!$B$475:$B$491,0),COUNT(CreditMetrics!$B$475:$B$491),1),1),0,1,1))</f>
        <v>0</v>
      </c>
      <c r="Z9" s="79"/>
    </row>
    <row r="10" spans="1:32" x14ac:dyDescent="0.25">
      <c r="A10" s="4">
        <v>9</v>
      </c>
      <c r="B10" s="5" t="s">
        <v>11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85</v>
      </c>
      <c r="L10" s="6">
        <v>85</v>
      </c>
      <c r="M10" s="6">
        <v>85</v>
      </c>
      <c r="N10" s="6">
        <v>83</v>
      </c>
      <c r="O10" s="6">
        <v>83</v>
      </c>
      <c r="P10" s="6">
        <v>83</v>
      </c>
      <c r="Q10" s="6">
        <v>83</v>
      </c>
      <c r="R10" s="6">
        <v>85</v>
      </c>
      <c r="S10" s="6">
        <v>85</v>
      </c>
      <c r="T10" s="6">
        <v>85</v>
      </c>
      <c r="U10" s="6">
        <v>85</v>
      </c>
      <c r="V10" s="6">
        <v>85</v>
      </c>
      <c r="W10" s="138">
        <v>153952.70638204354</v>
      </c>
      <c r="X10">
        <f ca="1">IF(V10=0,0,OFFSET(CreditMetrics!$B$474,MATCH(RAND(),OFFSET(CreditMetrics!$C$474,1,MATCH(BDClientes!V10,CreditMetrics!$B$475:$B$491,0),COUNT(CreditMetrics!$B$475:$B$491),1),1),0,1,1))</f>
        <v>83</v>
      </c>
      <c r="Z10" s="79"/>
    </row>
    <row r="11" spans="1:32" x14ac:dyDescent="0.25">
      <c r="A11" s="4">
        <v>10</v>
      </c>
      <c r="B11" s="5" t="s">
        <v>12</v>
      </c>
      <c r="C11" s="6">
        <v>77</v>
      </c>
      <c r="D11" s="6">
        <v>75</v>
      </c>
      <c r="E11" s="6">
        <v>80</v>
      </c>
      <c r="F11" s="6">
        <v>80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X11">
        <f ca="1">IF(V11=0,0,OFFSET(CreditMetrics!$B$474,MATCH(RAND(),OFFSET(CreditMetrics!$C$474,1,MATCH(BDClientes!V11,CreditMetrics!$B$475:$B$491,0),COUNT(CreditMetrics!$B$475:$B$491),1),1),0,1,1))</f>
        <v>0</v>
      </c>
      <c r="Z11" s="79"/>
      <c r="AC11" t="str">
        <f t="array" aca="1" ref="AC11:AC12" ca="1">OFFSET($AE$4,1,-1,2,1)</f>
        <v>A</v>
      </c>
    </row>
    <row r="12" spans="1:32" x14ac:dyDescent="0.25">
      <c r="A12" s="4">
        <v>11</v>
      </c>
      <c r="B12" s="5" t="s">
        <v>13</v>
      </c>
      <c r="C12" s="6">
        <v>73</v>
      </c>
      <c r="D12" s="6">
        <v>73</v>
      </c>
      <c r="E12" s="6">
        <v>65</v>
      </c>
      <c r="F12" s="6">
        <v>65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X12">
        <f ca="1">IF(V12=0,0,OFFSET(CreditMetrics!$B$474,MATCH(RAND(),OFFSET(CreditMetrics!$C$474,1,MATCH(BDClientes!V12,CreditMetrics!$B$475:$B$491,0),COUNT(CreditMetrics!$B$475:$B$491),1),1),0,1,1))</f>
        <v>0</v>
      </c>
      <c r="Z12" s="79"/>
      <c r="AC12" t="str">
        <f ca="1"/>
        <v>B</v>
      </c>
    </row>
    <row r="13" spans="1:32" x14ac:dyDescent="0.25">
      <c r="A13" s="4">
        <v>12</v>
      </c>
      <c r="B13" s="5" t="s">
        <v>14</v>
      </c>
      <c r="C13" s="6">
        <v>77</v>
      </c>
      <c r="D13" s="6">
        <v>77</v>
      </c>
      <c r="E13" s="6">
        <v>80</v>
      </c>
      <c r="F13" s="6">
        <v>80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X13">
        <f ca="1">IF(V13=0,0,OFFSET(CreditMetrics!$B$474,MATCH(RAND(),OFFSET(CreditMetrics!$C$474,1,MATCH(BDClientes!V13,CreditMetrics!$B$475:$B$491,0),COUNT(CreditMetrics!$B$475:$B$491),1),1),0,1,1))</f>
        <v>0</v>
      </c>
      <c r="Z13" s="79"/>
    </row>
    <row r="14" spans="1:32" x14ac:dyDescent="0.25">
      <c r="A14" s="4">
        <v>13</v>
      </c>
      <c r="B14" s="5" t="s">
        <v>15</v>
      </c>
      <c r="C14" s="6">
        <v>87</v>
      </c>
      <c r="D14" s="6">
        <v>85</v>
      </c>
      <c r="E14" s="6">
        <v>83</v>
      </c>
      <c r="F14" s="6">
        <v>83</v>
      </c>
      <c r="G14" s="6">
        <v>85</v>
      </c>
      <c r="H14" s="6">
        <v>83</v>
      </c>
      <c r="I14" s="6">
        <v>83</v>
      </c>
      <c r="J14" s="6">
        <v>85</v>
      </c>
      <c r="K14" s="6">
        <v>85</v>
      </c>
      <c r="L14" s="6">
        <v>83</v>
      </c>
      <c r="M14" s="6">
        <v>83</v>
      </c>
      <c r="N14" s="6">
        <v>83</v>
      </c>
      <c r="O14" s="6">
        <v>83</v>
      </c>
      <c r="P14" s="6">
        <v>83</v>
      </c>
      <c r="Q14" s="6">
        <v>83</v>
      </c>
      <c r="R14" s="6">
        <v>87</v>
      </c>
      <c r="S14" s="6">
        <v>87</v>
      </c>
      <c r="T14" s="6">
        <v>85</v>
      </c>
      <c r="U14" s="6">
        <v>85</v>
      </c>
      <c r="V14" s="6">
        <v>87</v>
      </c>
      <c r="W14" s="138">
        <v>154259.94145538335</v>
      </c>
      <c r="X14">
        <f ca="1">IF(V14=0,0,OFFSET(CreditMetrics!$B$474,MATCH(RAND(),OFFSET(CreditMetrics!$C$474,1,MATCH(BDClientes!V14,CreditMetrics!$B$475:$B$491,0),COUNT(CreditMetrics!$B$475:$B$491),1),1),0,1,1))</f>
        <v>80</v>
      </c>
      <c r="Z14" s="79"/>
    </row>
    <row r="15" spans="1:32" x14ac:dyDescent="0.25">
      <c r="A15" s="4">
        <v>14</v>
      </c>
      <c r="B15" s="5" t="s">
        <v>16</v>
      </c>
      <c r="C15" s="6">
        <v>60</v>
      </c>
      <c r="D15" s="6">
        <v>60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X15">
        <f ca="1">IF(V15=0,0,OFFSET(CreditMetrics!$B$474,MATCH(RAND(),OFFSET(CreditMetrics!$C$474,1,MATCH(BDClientes!V15,CreditMetrics!$B$475:$B$491,0),COUNT(CreditMetrics!$B$475:$B$491),1),1),0,1,1))</f>
        <v>0</v>
      </c>
      <c r="Z15" s="79"/>
    </row>
    <row r="16" spans="1:32" x14ac:dyDescent="0.25">
      <c r="A16" s="4">
        <v>15</v>
      </c>
      <c r="B16" s="5" t="s">
        <v>17</v>
      </c>
      <c r="C16" s="6">
        <v>0</v>
      </c>
      <c r="D16" s="6">
        <v>60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X16">
        <f ca="1">IF(V16=0,0,OFFSET(CreditMetrics!$B$474,MATCH(RAND(),OFFSET(CreditMetrics!$C$474,1,MATCH(BDClientes!V16,CreditMetrics!$B$475:$B$491,0),COUNT(CreditMetrics!$B$475:$B$491),1),1),0,1,1))</f>
        <v>0</v>
      </c>
      <c r="Z16" s="79"/>
    </row>
    <row r="17" spans="1:29" x14ac:dyDescent="0.25">
      <c r="A17" s="4">
        <v>16</v>
      </c>
      <c r="B17" s="5" t="s">
        <v>18</v>
      </c>
      <c r="C17" s="6">
        <v>22</v>
      </c>
      <c r="D17" s="6">
        <v>22</v>
      </c>
      <c r="E17" s="6">
        <v>22</v>
      </c>
      <c r="F17" s="6">
        <v>22</v>
      </c>
      <c r="G17" s="6">
        <v>22</v>
      </c>
      <c r="H17" s="6">
        <v>22</v>
      </c>
      <c r="I17" s="6">
        <v>22</v>
      </c>
      <c r="J17" s="6">
        <v>22</v>
      </c>
      <c r="K17" s="6">
        <v>22</v>
      </c>
      <c r="L17" s="6">
        <v>22</v>
      </c>
      <c r="M17" s="6">
        <v>22</v>
      </c>
      <c r="N17" s="6">
        <v>22</v>
      </c>
      <c r="O17" s="6">
        <v>22</v>
      </c>
      <c r="P17" s="6">
        <v>22</v>
      </c>
      <c r="Q17" s="6">
        <v>22</v>
      </c>
      <c r="R17" s="6">
        <v>22</v>
      </c>
      <c r="S17" s="6">
        <v>22</v>
      </c>
      <c r="T17" s="6">
        <v>22</v>
      </c>
      <c r="U17" s="6">
        <v>22</v>
      </c>
      <c r="V17" s="6">
        <v>22</v>
      </c>
      <c r="W17" s="138">
        <v>200220.82887021769</v>
      </c>
      <c r="X17">
        <f ca="1">IF(V17=0,0,OFFSET(CreditMetrics!$B$474,MATCH(RAND(),OFFSET(CreditMetrics!$C$474,1,MATCH(BDClientes!V17,CreditMetrics!$B$475:$B$491,0),COUNT(CreditMetrics!$B$475:$B$491),1),1),0,1,1))</f>
        <v>22</v>
      </c>
      <c r="Z17" s="79"/>
      <c r="AA17" s="79"/>
      <c r="AB17" s="79"/>
    </row>
    <row r="18" spans="1:29" x14ac:dyDescent="0.25">
      <c r="A18" s="4">
        <v>17</v>
      </c>
      <c r="B18" s="5" t="s">
        <v>19</v>
      </c>
      <c r="C18" s="6">
        <v>83</v>
      </c>
      <c r="D18" s="6">
        <v>80</v>
      </c>
      <c r="E18" s="6">
        <v>80</v>
      </c>
      <c r="F18" s="6">
        <v>80</v>
      </c>
      <c r="G18" s="6">
        <v>80</v>
      </c>
      <c r="H18" s="6">
        <v>83</v>
      </c>
      <c r="I18" s="6">
        <v>87</v>
      </c>
      <c r="J18" s="6">
        <v>83</v>
      </c>
      <c r="K18" s="6">
        <v>80</v>
      </c>
      <c r="L18" s="6">
        <v>80</v>
      </c>
      <c r="M18" s="6">
        <v>75</v>
      </c>
      <c r="N18" s="6">
        <v>80</v>
      </c>
      <c r="O18" s="6">
        <v>83</v>
      </c>
      <c r="P18" s="6">
        <v>80</v>
      </c>
      <c r="Q18" s="6">
        <v>80</v>
      </c>
      <c r="R18" s="6">
        <v>83</v>
      </c>
      <c r="S18" s="6">
        <v>83</v>
      </c>
      <c r="T18" s="6">
        <v>80</v>
      </c>
      <c r="U18" s="6">
        <v>77</v>
      </c>
      <c r="V18" s="6">
        <v>75</v>
      </c>
      <c r="W18" s="138">
        <v>876105.65538350458</v>
      </c>
      <c r="X18">
        <f ca="1">IF(V18=0,0,OFFSET(CreditMetrics!$B$474,MATCH(RAND(),OFFSET(CreditMetrics!$C$474,1,MATCH(BDClientes!V18,CreditMetrics!$B$475:$B$491,0),COUNT(CreditMetrics!$B$475:$B$491),1),1),0,1,1))</f>
        <v>75</v>
      </c>
      <c r="Z18" s="79"/>
      <c r="AA18" s="79"/>
      <c r="AB18" s="79"/>
      <c r="AC18" t="e">
        <f>AB18/AA18</f>
        <v>#DIV/0!</v>
      </c>
    </row>
    <row r="19" spans="1:29" x14ac:dyDescent="0.25">
      <c r="A19" s="4">
        <v>18</v>
      </c>
      <c r="B19" s="5" t="s">
        <v>20</v>
      </c>
      <c r="C19" s="6">
        <v>83</v>
      </c>
      <c r="D19" s="6">
        <v>85</v>
      </c>
      <c r="E19" s="6">
        <v>80</v>
      </c>
      <c r="F19" s="6">
        <v>83</v>
      </c>
      <c r="G19" s="6">
        <v>83</v>
      </c>
      <c r="H19" s="6">
        <v>83</v>
      </c>
      <c r="I19" s="6">
        <v>87</v>
      </c>
      <c r="J19" s="6">
        <v>85</v>
      </c>
      <c r="K19" s="6">
        <v>87</v>
      </c>
      <c r="L19" s="6">
        <v>85</v>
      </c>
      <c r="M19" s="6">
        <v>85</v>
      </c>
      <c r="N19" s="6">
        <v>85</v>
      </c>
      <c r="O19" s="6">
        <v>85</v>
      </c>
      <c r="P19" s="6">
        <v>87</v>
      </c>
      <c r="Q19" s="6">
        <v>87</v>
      </c>
      <c r="R19" s="6">
        <v>85</v>
      </c>
      <c r="S19" s="6">
        <v>87</v>
      </c>
      <c r="T19" s="6">
        <v>85</v>
      </c>
      <c r="U19" s="6">
        <v>87</v>
      </c>
      <c r="V19" s="6">
        <v>87</v>
      </c>
      <c r="W19" s="138">
        <v>144278.75824828292</v>
      </c>
      <c r="X19">
        <f ca="1">IF(V19=0,0,OFFSET(CreditMetrics!$B$474,MATCH(RAND(),OFFSET(CreditMetrics!$C$474,1,MATCH(BDClientes!V19,CreditMetrics!$B$475:$B$491,0),COUNT(CreditMetrics!$B$475:$B$491),1),1),0,1,1))</f>
        <v>85</v>
      </c>
      <c r="Z19" s="79"/>
    </row>
    <row r="20" spans="1:29" x14ac:dyDescent="0.25">
      <c r="A20" s="4">
        <v>19</v>
      </c>
      <c r="B20" s="5" t="s">
        <v>21</v>
      </c>
      <c r="C20" s="6">
        <v>60</v>
      </c>
      <c r="D20" s="6">
        <v>60</v>
      </c>
      <c r="E20" s="6">
        <v>73</v>
      </c>
      <c r="F20" s="6">
        <v>73</v>
      </c>
      <c r="G20" s="6">
        <v>73</v>
      </c>
      <c r="H20" s="6">
        <v>73</v>
      </c>
      <c r="I20" s="6">
        <v>0</v>
      </c>
      <c r="J20" s="6">
        <v>73</v>
      </c>
      <c r="K20" s="6">
        <v>73</v>
      </c>
      <c r="L20" s="6">
        <v>73</v>
      </c>
      <c r="M20" s="6">
        <v>65</v>
      </c>
      <c r="N20" s="6">
        <v>70</v>
      </c>
      <c r="O20" s="6">
        <v>65</v>
      </c>
      <c r="P20" s="6">
        <v>65</v>
      </c>
      <c r="Q20" s="6">
        <v>65</v>
      </c>
      <c r="R20" s="6">
        <v>70</v>
      </c>
      <c r="S20" s="6">
        <v>0</v>
      </c>
      <c r="T20" s="6">
        <v>0</v>
      </c>
      <c r="U20" s="6">
        <v>0</v>
      </c>
      <c r="V20" s="6">
        <v>0</v>
      </c>
      <c r="X20">
        <f ca="1">IF(V20=0,0,OFFSET(CreditMetrics!$B$474,MATCH(RAND(),OFFSET(CreditMetrics!$C$474,1,MATCH(BDClientes!V20,CreditMetrics!$B$475:$B$491,0),COUNT(CreditMetrics!$B$475:$B$491),1),1),0,1,1))</f>
        <v>0</v>
      </c>
      <c r="Z20" s="79"/>
    </row>
    <row r="21" spans="1:29" x14ac:dyDescent="0.25">
      <c r="A21" s="4">
        <v>20</v>
      </c>
      <c r="B21" s="5" t="s">
        <v>22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85</v>
      </c>
      <c r="L21" s="6">
        <v>85</v>
      </c>
      <c r="M21" s="6">
        <v>85</v>
      </c>
      <c r="N21" s="6">
        <v>85</v>
      </c>
      <c r="O21" s="6">
        <v>85</v>
      </c>
      <c r="P21" s="6">
        <v>85</v>
      </c>
      <c r="Q21" s="6">
        <v>85</v>
      </c>
      <c r="R21" s="6">
        <v>87</v>
      </c>
      <c r="S21" s="6">
        <v>87</v>
      </c>
      <c r="T21" s="6">
        <v>85</v>
      </c>
      <c r="U21" s="6">
        <v>87</v>
      </c>
      <c r="V21" s="6">
        <v>85</v>
      </c>
      <c r="W21" s="138">
        <v>509831.37835489068</v>
      </c>
      <c r="X21">
        <f ca="1">IF(V21=0,0,OFFSET(CreditMetrics!$B$474,MATCH(RAND(),OFFSET(CreditMetrics!$C$474,1,MATCH(BDClientes!V21,CreditMetrics!$B$475:$B$491,0),COUNT(CreditMetrics!$B$475:$B$491),1),1),0,1,1))</f>
        <v>85</v>
      </c>
      <c r="Z21" s="79"/>
    </row>
    <row r="22" spans="1:29" x14ac:dyDescent="0.25">
      <c r="A22" s="4">
        <v>21</v>
      </c>
      <c r="B22" s="5" t="s">
        <v>23</v>
      </c>
      <c r="C22" s="6">
        <v>40</v>
      </c>
      <c r="D22" s="6">
        <v>22</v>
      </c>
      <c r="E22" s="6">
        <v>22</v>
      </c>
      <c r="F22" s="6">
        <v>22</v>
      </c>
      <c r="G22" s="6">
        <v>22</v>
      </c>
      <c r="H22" s="6">
        <v>22</v>
      </c>
      <c r="I22" s="6">
        <v>22</v>
      </c>
      <c r="J22" s="6">
        <v>22</v>
      </c>
      <c r="K22" s="6">
        <v>22</v>
      </c>
      <c r="L22" s="6">
        <v>22</v>
      </c>
      <c r="M22" s="6">
        <v>22</v>
      </c>
      <c r="N22" s="6">
        <v>22</v>
      </c>
      <c r="O22" s="6">
        <v>22</v>
      </c>
      <c r="P22" s="6">
        <v>22</v>
      </c>
      <c r="Q22" s="6">
        <v>22</v>
      </c>
      <c r="R22" s="6">
        <v>22</v>
      </c>
      <c r="S22" s="6">
        <v>22</v>
      </c>
      <c r="T22" s="6">
        <v>22</v>
      </c>
      <c r="U22" s="6">
        <v>22</v>
      </c>
      <c r="V22" s="6">
        <v>22</v>
      </c>
      <c r="W22" s="138">
        <v>157996.75418967498</v>
      </c>
      <c r="X22">
        <f ca="1">IF(V22=0,0,OFFSET(CreditMetrics!$B$474,MATCH(RAND(),OFFSET(CreditMetrics!$C$474,1,MATCH(BDClientes!V22,CreditMetrics!$B$475:$B$491,0),COUNT(CreditMetrics!$B$475:$B$491),1),1),0,1,1))</f>
        <v>22</v>
      </c>
      <c r="Z22" s="79"/>
    </row>
    <row r="23" spans="1:29" x14ac:dyDescent="0.25">
      <c r="A23" s="4">
        <v>22</v>
      </c>
      <c r="B23" s="5" t="s">
        <v>24</v>
      </c>
      <c r="C23" s="6">
        <v>90</v>
      </c>
      <c r="D23" s="6">
        <v>90</v>
      </c>
      <c r="E23" s="6">
        <v>87</v>
      </c>
      <c r="F23" s="6">
        <v>87</v>
      </c>
      <c r="G23" s="6">
        <v>87</v>
      </c>
      <c r="H23" s="6">
        <v>87</v>
      </c>
      <c r="I23" s="6">
        <v>87</v>
      </c>
      <c r="J23" s="6">
        <v>85</v>
      </c>
      <c r="K23" s="6">
        <v>87</v>
      </c>
      <c r="L23" s="6">
        <v>87</v>
      </c>
      <c r="M23" s="6">
        <v>87</v>
      </c>
      <c r="N23" s="6">
        <v>87</v>
      </c>
      <c r="O23" s="6">
        <v>87</v>
      </c>
      <c r="P23" s="6">
        <v>87</v>
      </c>
      <c r="Q23" s="6">
        <v>85</v>
      </c>
      <c r="R23" s="6">
        <v>87</v>
      </c>
      <c r="S23" s="6">
        <v>87</v>
      </c>
      <c r="T23" s="6">
        <v>85</v>
      </c>
      <c r="U23" s="6">
        <v>85</v>
      </c>
      <c r="V23" s="6">
        <v>85</v>
      </c>
      <c r="W23" s="138">
        <v>126744.29809753953</v>
      </c>
      <c r="X23">
        <f ca="1">IF(V23=0,0,OFFSET(CreditMetrics!$B$474,MATCH(RAND(),OFFSET(CreditMetrics!$C$474,1,MATCH(BDClientes!V23,CreditMetrics!$B$475:$B$491,0),COUNT(CreditMetrics!$B$475:$B$491),1),1),0,1,1))</f>
        <v>77</v>
      </c>
      <c r="Z23" s="79"/>
    </row>
    <row r="24" spans="1:29" x14ac:dyDescent="0.25">
      <c r="A24" s="4">
        <v>23</v>
      </c>
      <c r="B24" s="5" t="s">
        <v>25</v>
      </c>
      <c r="C24" s="6">
        <v>85</v>
      </c>
      <c r="D24" s="6">
        <v>75</v>
      </c>
      <c r="E24" s="6">
        <v>77</v>
      </c>
      <c r="F24" s="6">
        <v>77</v>
      </c>
      <c r="G24" s="6">
        <v>80</v>
      </c>
      <c r="H24" s="6">
        <v>83</v>
      </c>
      <c r="I24" s="6">
        <v>85</v>
      </c>
      <c r="J24" s="6">
        <v>87</v>
      </c>
      <c r="K24" s="6">
        <v>87</v>
      </c>
      <c r="L24" s="6">
        <v>80</v>
      </c>
      <c r="M24" s="6">
        <v>83</v>
      </c>
      <c r="N24" s="6">
        <v>80</v>
      </c>
      <c r="O24" s="6">
        <v>83</v>
      </c>
      <c r="P24" s="6">
        <v>85</v>
      </c>
      <c r="Q24" s="6">
        <v>85</v>
      </c>
      <c r="R24" s="6">
        <v>85</v>
      </c>
      <c r="S24" s="6">
        <v>85</v>
      </c>
      <c r="T24" s="6">
        <v>87</v>
      </c>
      <c r="U24" s="6">
        <v>85</v>
      </c>
      <c r="V24" s="6">
        <v>85</v>
      </c>
      <c r="W24" s="138">
        <v>186947.35710366807</v>
      </c>
      <c r="X24">
        <f ca="1">IF(V24=0,0,OFFSET(CreditMetrics!$B$474,MATCH(RAND(),OFFSET(CreditMetrics!$C$474,1,MATCH(BDClientes!V24,CreditMetrics!$B$475:$B$491,0),COUNT(CreditMetrics!$B$475:$B$491),1),1),0,1,1))</f>
        <v>87</v>
      </c>
      <c r="Z24" s="79"/>
    </row>
    <row r="25" spans="1:29" x14ac:dyDescent="0.25">
      <c r="A25" s="4">
        <v>24</v>
      </c>
      <c r="B25" s="5" t="s">
        <v>26</v>
      </c>
      <c r="C25" s="6">
        <v>60</v>
      </c>
      <c r="D25" s="6">
        <v>40</v>
      </c>
      <c r="E25" s="6">
        <v>40</v>
      </c>
      <c r="F25" s="6">
        <v>60</v>
      </c>
      <c r="G25" s="6">
        <v>40</v>
      </c>
      <c r="H25" s="6">
        <v>40</v>
      </c>
      <c r="I25" s="6">
        <v>0</v>
      </c>
      <c r="J25" s="6">
        <v>40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X25">
        <f ca="1">IF(V25=0,0,OFFSET(CreditMetrics!$B$474,MATCH(RAND(),OFFSET(CreditMetrics!$C$474,1,MATCH(BDClientes!V25,CreditMetrics!$B$475:$B$491,0),COUNT(CreditMetrics!$B$475:$B$491),1),1),0,1,1))</f>
        <v>0</v>
      </c>
      <c r="Z25" s="79"/>
    </row>
    <row r="26" spans="1:29" x14ac:dyDescent="0.25">
      <c r="A26" s="4">
        <v>25</v>
      </c>
      <c r="B26" s="5" t="s">
        <v>27</v>
      </c>
      <c r="C26" s="6">
        <v>85</v>
      </c>
      <c r="D26" s="6">
        <v>83</v>
      </c>
      <c r="E26" s="6">
        <v>83</v>
      </c>
      <c r="F26" s="6">
        <v>83</v>
      </c>
      <c r="G26" s="6">
        <v>80</v>
      </c>
      <c r="H26" s="6">
        <v>85</v>
      </c>
      <c r="I26" s="6">
        <v>85</v>
      </c>
      <c r="J26" s="6">
        <v>83</v>
      </c>
      <c r="K26" s="6">
        <v>80</v>
      </c>
      <c r="L26" s="6">
        <v>80</v>
      </c>
      <c r="M26" s="6">
        <v>77</v>
      </c>
      <c r="N26" s="6">
        <v>75</v>
      </c>
      <c r="O26" s="6">
        <v>77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X26">
        <f ca="1">IF(V26=0,0,OFFSET(CreditMetrics!$B$474,MATCH(RAND(),OFFSET(CreditMetrics!$C$474,1,MATCH(BDClientes!V26,CreditMetrics!$B$475:$B$491,0),COUNT(CreditMetrics!$B$475:$B$491),1),1),0,1,1))</f>
        <v>0</v>
      </c>
      <c r="Z26" s="79"/>
    </row>
    <row r="27" spans="1:29" x14ac:dyDescent="0.25">
      <c r="A27" s="4">
        <v>26</v>
      </c>
      <c r="B27" s="5" t="s">
        <v>28</v>
      </c>
      <c r="C27" s="6">
        <v>65</v>
      </c>
      <c r="D27" s="6">
        <v>83</v>
      </c>
      <c r="E27" s="6">
        <v>60</v>
      </c>
      <c r="F27" s="6">
        <v>60</v>
      </c>
      <c r="G27" s="6">
        <v>60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X27">
        <f ca="1">IF(V27=0,0,OFFSET(CreditMetrics!$B$474,MATCH(RAND(),OFFSET(CreditMetrics!$C$474,1,MATCH(BDClientes!V27,CreditMetrics!$B$475:$B$491,0),COUNT(CreditMetrics!$B$475:$B$491),1),1),0,1,1))</f>
        <v>0</v>
      </c>
      <c r="Z27" s="79"/>
    </row>
    <row r="28" spans="1:29" x14ac:dyDescent="0.25">
      <c r="A28" s="4">
        <v>27</v>
      </c>
      <c r="B28" s="5" t="s">
        <v>29</v>
      </c>
      <c r="C28" s="6">
        <v>87</v>
      </c>
      <c r="D28" s="6">
        <v>80</v>
      </c>
      <c r="E28" s="6">
        <v>87</v>
      </c>
      <c r="F28" s="6">
        <v>87</v>
      </c>
      <c r="G28" s="6">
        <v>85</v>
      </c>
      <c r="H28" s="6">
        <v>87</v>
      </c>
      <c r="I28" s="6">
        <v>85</v>
      </c>
      <c r="J28" s="6">
        <v>85</v>
      </c>
      <c r="K28" s="6">
        <v>83</v>
      </c>
      <c r="L28" s="6">
        <v>83</v>
      </c>
      <c r="M28" s="6">
        <v>85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X28">
        <f ca="1">IF(V28=0,0,OFFSET(CreditMetrics!$B$474,MATCH(RAND(),OFFSET(CreditMetrics!$C$474,1,MATCH(BDClientes!V28,CreditMetrics!$B$475:$B$491,0),COUNT(CreditMetrics!$B$475:$B$491),1),1),0,1,1))</f>
        <v>0</v>
      </c>
      <c r="Z28" s="79"/>
    </row>
    <row r="29" spans="1:29" x14ac:dyDescent="0.25">
      <c r="A29" s="4">
        <v>28</v>
      </c>
      <c r="B29" s="5" t="s">
        <v>30</v>
      </c>
      <c r="C29" s="6">
        <v>80</v>
      </c>
      <c r="D29" s="6">
        <v>65</v>
      </c>
      <c r="E29" s="6">
        <v>83</v>
      </c>
      <c r="F29" s="6">
        <v>83</v>
      </c>
      <c r="G29" s="6">
        <v>83</v>
      </c>
      <c r="H29" s="6">
        <v>85</v>
      </c>
      <c r="I29" s="6">
        <v>85</v>
      </c>
      <c r="J29" s="6">
        <v>85</v>
      </c>
      <c r="K29" s="6">
        <v>83</v>
      </c>
      <c r="L29" s="6">
        <v>83</v>
      </c>
      <c r="M29" s="6">
        <v>85</v>
      </c>
      <c r="N29" s="6">
        <v>87</v>
      </c>
      <c r="O29" s="6">
        <v>85</v>
      </c>
      <c r="P29" s="6">
        <v>87</v>
      </c>
      <c r="Q29" s="6">
        <v>87</v>
      </c>
      <c r="R29" s="6">
        <v>87</v>
      </c>
      <c r="S29" s="6">
        <v>87</v>
      </c>
      <c r="T29" s="6">
        <v>87</v>
      </c>
      <c r="U29" s="6">
        <v>87</v>
      </c>
      <c r="V29" s="6">
        <v>85</v>
      </c>
      <c r="W29" s="138">
        <v>386949.67519523733</v>
      </c>
      <c r="X29">
        <f ca="1">IF(V29=0,0,OFFSET(CreditMetrics!$B$474,MATCH(RAND(),OFFSET(CreditMetrics!$C$474,1,MATCH(BDClientes!V29,CreditMetrics!$B$475:$B$491,0),COUNT(CreditMetrics!$B$475:$B$491),1),1),0,1,1))</f>
        <v>85</v>
      </c>
      <c r="Z29" s="79"/>
    </row>
    <row r="30" spans="1:29" x14ac:dyDescent="0.25">
      <c r="A30" s="4">
        <v>29</v>
      </c>
      <c r="B30" s="5" t="s">
        <v>31</v>
      </c>
      <c r="C30" s="6">
        <v>70</v>
      </c>
      <c r="D30" s="6">
        <v>60</v>
      </c>
      <c r="E30" s="6">
        <v>73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X30">
        <f ca="1">IF(V30=0,0,OFFSET(CreditMetrics!$B$474,MATCH(RAND(),OFFSET(CreditMetrics!$C$474,1,MATCH(BDClientes!V30,CreditMetrics!$B$475:$B$491,0),COUNT(CreditMetrics!$B$475:$B$491),1),1),0,1,1))</f>
        <v>0</v>
      </c>
      <c r="Z30" s="79"/>
    </row>
    <row r="31" spans="1:29" x14ac:dyDescent="0.25">
      <c r="A31" s="4">
        <v>30</v>
      </c>
      <c r="B31" s="5" t="s">
        <v>32</v>
      </c>
      <c r="C31" s="6">
        <v>90</v>
      </c>
      <c r="D31" s="6">
        <v>80</v>
      </c>
      <c r="E31" s="6">
        <v>85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X31">
        <f ca="1">IF(V31=0,0,OFFSET(CreditMetrics!$B$474,MATCH(RAND(),OFFSET(CreditMetrics!$C$474,1,MATCH(BDClientes!V31,CreditMetrics!$B$475:$B$491,0),COUNT(CreditMetrics!$B$475:$B$491),1),1),0,1,1))</f>
        <v>0</v>
      </c>
      <c r="Z31" s="79"/>
    </row>
    <row r="32" spans="1:29" x14ac:dyDescent="0.25">
      <c r="A32" s="4">
        <v>31</v>
      </c>
      <c r="B32" s="5" t="s">
        <v>33</v>
      </c>
      <c r="C32" s="6">
        <v>0</v>
      </c>
      <c r="D32" s="6">
        <v>0</v>
      </c>
      <c r="E32" s="6">
        <v>0</v>
      </c>
      <c r="F32" s="6">
        <v>83</v>
      </c>
      <c r="G32" s="6">
        <v>77</v>
      </c>
      <c r="H32" s="6">
        <v>85</v>
      </c>
      <c r="I32" s="6">
        <v>83</v>
      </c>
      <c r="J32" s="6">
        <v>83</v>
      </c>
      <c r="K32" s="6">
        <v>85</v>
      </c>
      <c r="L32" s="6">
        <v>87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X32">
        <f ca="1">IF(V32=0,0,OFFSET(CreditMetrics!$B$474,MATCH(RAND(),OFFSET(CreditMetrics!$C$474,1,MATCH(BDClientes!V32,CreditMetrics!$B$475:$B$491,0),COUNT(CreditMetrics!$B$475:$B$491),1),1),0,1,1))</f>
        <v>0</v>
      </c>
      <c r="Z32" s="79"/>
    </row>
    <row r="33" spans="1:26" x14ac:dyDescent="0.25">
      <c r="A33" s="4">
        <v>32</v>
      </c>
      <c r="B33" s="5" t="s">
        <v>34</v>
      </c>
      <c r="C33" s="6">
        <v>85</v>
      </c>
      <c r="D33" s="6">
        <v>85</v>
      </c>
      <c r="E33" s="6">
        <v>83</v>
      </c>
      <c r="F33" s="6">
        <v>83</v>
      </c>
      <c r="G33" s="6">
        <v>83</v>
      </c>
      <c r="H33" s="6">
        <v>83</v>
      </c>
      <c r="I33" s="6">
        <v>85</v>
      </c>
      <c r="J33" s="6">
        <v>83</v>
      </c>
      <c r="K33" s="6">
        <v>83</v>
      </c>
      <c r="L33" s="6">
        <v>85</v>
      </c>
      <c r="M33" s="6">
        <v>80</v>
      </c>
      <c r="N33" s="6">
        <v>80</v>
      </c>
      <c r="O33" s="6">
        <v>65</v>
      </c>
      <c r="P33" s="6">
        <v>73</v>
      </c>
      <c r="Q33" s="6">
        <v>73</v>
      </c>
      <c r="R33" s="6">
        <v>65</v>
      </c>
      <c r="S33" s="6">
        <v>65</v>
      </c>
      <c r="T33" s="6">
        <v>65</v>
      </c>
      <c r="U33" s="6">
        <v>0</v>
      </c>
      <c r="V33" s="6">
        <v>0</v>
      </c>
      <c r="X33">
        <f ca="1">IF(V33=0,0,OFFSET(CreditMetrics!$B$474,MATCH(RAND(),OFFSET(CreditMetrics!$C$474,1,MATCH(BDClientes!V33,CreditMetrics!$B$475:$B$491,0),COUNT(CreditMetrics!$B$475:$B$491),1),1),0,1,1))</f>
        <v>0</v>
      </c>
      <c r="Z33" s="79"/>
    </row>
    <row r="34" spans="1:26" x14ac:dyDescent="0.25">
      <c r="A34" s="4">
        <v>33</v>
      </c>
      <c r="B34" s="5" t="s">
        <v>35</v>
      </c>
      <c r="C34" s="6">
        <v>40</v>
      </c>
      <c r="D34" s="6">
        <v>40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X34">
        <f ca="1">IF(V34=0,0,OFFSET(CreditMetrics!$B$474,MATCH(RAND(),OFFSET(CreditMetrics!$C$474,1,MATCH(BDClientes!V34,CreditMetrics!$B$475:$B$491,0),COUNT(CreditMetrics!$B$475:$B$491),1),1),0,1,1))</f>
        <v>0</v>
      </c>
      <c r="Z34" s="79"/>
    </row>
    <row r="35" spans="1:26" x14ac:dyDescent="0.25">
      <c r="A35" s="4">
        <v>34</v>
      </c>
      <c r="B35" s="5" t="s">
        <v>36</v>
      </c>
      <c r="C35" s="6">
        <v>60</v>
      </c>
      <c r="D35" s="6">
        <v>40</v>
      </c>
      <c r="E35" s="6">
        <v>40</v>
      </c>
      <c r="F35" s="6">
        <v>40</v>
      </c>
      <c r="G35" s="6">
        <v>22</v>
      </c>
      <c r="H35" s="6">
        <v>22</v>
      </c>
      <c r="I35" s="6">
        <v>22</v>
      </c>
      <c r="J35" s="6">
        <v>22</v>
      </c>
      <c r="K35" s="6">
        <v>22</v>
      </c>
      <c r="L35" s="6">
        <v>22</v>
      </c>
      <c r="M35" s="6">
        <v>22</v>
      </c>
      <c r="N35" s="6">
        <v>22</v>
      </c>
      <c r="O35" s="6">
        <v>22</v>
      </c>
      <c r="P35" s="6">
        <v>22</v>
      </c>
      <c r="Q35" s="6">
        <v>22</v>
      </c>
      <c r="R35" s="6">
        <v>22</v>
      </c>
      <c r="S35" s="6">
        <v>22</v>
      </c>
      <c r="T35" s="6">
        <v>22</v>
      </c>
      <c r="U35" s="6">
        <v>22</v>
      </c>
      <c r="V35" s="6">
        <v>22</v>
      </c>
      <c r="W35" s="138">
        <v>600311.23421961826</v>
      </c>
      <c r="X35">
        <f ca="1">IF(V35=0,0,OFFSET(CreditMetrics!$B$474,MATCH(RAND(),OFFSET(CreditMetrics!$C$474,1,MATCH(BDClientes!V35,CreditMetrics!$B$475:$B$491,0),COUNT(CreditMetrics!$B$475:$B$491),1),1),0,1,1))</f>
        <v>22</v>
      </c>
      <c r="Z35" s="79"/>
    </row>
    <row r="36" spans="1:26" x14ac:dyDescent="0.25">
      <c r="A36" s="4">
        <v>35</v>
      </c>
      <c r="B36" s="5" t="s">
        <v>37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22</v>
      </c>
      <c r="M36" s="6">
        <v>22</v>
      </c>
      <c r="N36" s="6">
        <v>22</v>
      </c>
      <c r="O36" s="6">
        <v>22</v>
      </c>
      <c r="P36" s="6">
        <v>22</v>
      </c>
      <c r="Q36" s="6">
        <v>22</v>
      </c>
      <c r="R36" s="6">
        <v>22</v>
      </c>
      <c r="S36" s="6">
        <v>22</v>
      </c>
      <c r="T36" s="6">
        <v>22</v>
      </c>
      <c r="U36" s="6">
        <v>22</v>
      </c>
      <c r="V36" s="6">
        <v>22</v>
      </c>
      <c r="W36" s="138">
        <v>245072.36647359518</v>
      </c>
      <c r="X36">
        <f ca="1">IF(V36=0,0,OFFSET(CreditMetrics!$B$474,MATCH(RAND(),OFFSET(CreditMetrics!$C$474,1,MATCH(BDClientes!V36,CreditMetrics!$B$475:$B$491,0),COUNT(CreditMetrics!$B$475:$B$491),1),1),0,1,1))</f>
        <v>22</v>
      </c>
      <c r="Z36" s="79"/>
    </row>
    <row r="37" spans="1:26" x14ac:dyDescent="0.25">
      <c r="A37" s="4">
        <v>36</v>
      </c>
      <c r="B37" s="5" t="s">
        <v>38</v>
      </c>
      <c r="C37" s="6">
        <v>85</v>
      </c>
      <c r="D37" s="6">
        <v>83</v>
      </c>
      <c r="E37" s="6">
        <v>85</v>
      </c>
      <c r="F37" s="6">
        <v>85</v>
      </c>
      <c r="G37" s="6">
        <v>85</v>
      </c>
      <c r="H37" s="6">
        <v>0</v>
      </c>
      <c r="I37" s="6">
        <v>85</v>
      </c>
      <c r="J37" s="6">
        <v>85</v>
      </c>
      <c r="K37" s="6">
        <v>83</v>
      </c>
      <c r="L37" s="6">
        <v>85</v>
      </c>
      <c r="M37" s="6">
        <v>80</v>
      </c>
      <c r="N37" s="6">
        <v>83</v>
      </c>
      <c r="O37" s="6">
        <v>80</v>
      </c>
      <c r="P37" s="6">
        <v>83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X37">
        <f ca="1">IF(V37=0,0,OFFSET(CreditMetrics!$B$474,MATCH(RAND(),OFFSET(CreditMetrics!$C$474,1,MATCH(BDClientes!V37,CreditMetrics!$B$475:$B$491,0),COUNT(CreditMetrics!$B$475:$B$491),1),1),0,1,1))</f>
        <v>0</v>
      </c>
      <c r="Z37" s="79"/>
    </row>
    <row r="38" spans="1:26" x14ac:dyDescent="0.25">
      <c r="A38" s="4">
        <v>37</v>
      </c>
      <c r="B38" s="5" t="s">
        <v>39</v>
      </c>
      <c r="C38" s="6">
        <v>80</v>
      </c>
      <c r="D38" s="6">
        <v>65</v>
      </c>
      <c r="E38" s="6">
        <v>83</v>
      </c>
      <c r="F38" s="6">
        <v>83</v>
      </c>
      <c r="G38" s="6">
        <v>83</v>
      </c>
      <c r="H38" s="6">
        <v>83</v>
      </c>
      <c r="I38" s="6">
        <v>70</v>
      </c>
      <c r="J38" s="6">
        <v>70</v>
      </c>
      <c r="K38" s="6">
        <v>70</v>
      </c>
      <c r="L38" s="6">
        <v>65</v>
      </c>
      <c r="M38" s="6">
        <v>65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X38">
        <f ca="1">IF(V38=0,0,OFFSET(CreditMetrics!$B$474,MATCH(RAND(),OFFSET(CreditMetrics!$C$474,1,MATCH(BDClientes!V38,CreditMetrics!$B$475:$B$491,0),COUNT(CreditMetrics!$B$475:$B$491),1),1),0,1,1))</f>
        <v>0</v>
      </c>
      <c r="Z38" s="79"/>
    </row>
    <row r="39" spans="1:26" x14ac:dyDescent="0.25">
      <c r="A39" s="4">
        <v>38</v>
      </c>
      <c r="B39" s="5" t="s">
        <v>40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65</v>
      </c>
      <c r="M39" s="6">
        <v>65</v>
      </c>
      <c r="N39" s="6">
        <v>65</v>
      </c>
      <c r="O39" s="6">
        <v>65</v>
      </c>
      <c r="P39" s="6">
        <v>70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X39">
        <f ca="1">IF(V39=0,0,OFFSET(CreditMetrics!$B$474,MATCH(RAND(),OFFSET(CreditMetrics!$C$474,1,MATCH(BDClientes!V39,CreditMetrics!$B$475:$B$491,0),COUNT(CreditMetrics!$B$475:$B$491),1),1),0,1,1))</f>
        <v>0</v>
      </c>
      <c r="Z39" s="79"/>
    </row>
    <row r="40" spans="1:26" x14ac:dyDescent="0.25">
      <c r="A40" s="4">
        <v>39</v>
      </c>
      <c r="B40" s="5" t="s">
        <v>41</v>
      </c>
      <c r="C40" s="6">
        <v>73</v>
      </c>
      <c r="D40" s="6">
        <v>73</v>
      </c>
      <c r="E40" s="6">
        <v>70</v>
      </c>
      <c r="F40" s="6">
        <v>70</v>
      </c>
      <c r="G40" s="6">
        <v>70</v>
      </c>
      <c r="H40" s="6">
        <v>73</v>
      </c>
      <c r="I40" s="6">
        <v>77</v>
      </c>
      <c r="J40" s="6">
        <v>77</v>
      </c>
      <c r="K40" s="6">
        <v>77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X40">
        <f ca="1">IF(V40=0,0,OFFSET(CreditMetrics!$B$474,MATCH(RAND(),OFFSET(CreditMetrics!$C$474,1,MATCH(BDClientes!V40,CreditMetrics!$B$475:$B$491,0),COUNT(CreditMetrics!$B$475:$B$491),1),1),0,1,1))</f>
        <v>0</v>
      </c>
      <c r="Z40" s="79"/>
    </row>
    <row r="41" spans="1:26" x14ac:dyDescent="0.25">
      <c r="A41" s="4">
        <v>40</v>
      </c>
      <c r="B41" s="5" t="s">
        <v>42</v>
      </c>
      <c r="C41" s="6">
        <v>60</v>
      </c>
      <c r="D41" s="6">
        <v>60</v>
      </c>
      <c r="E41" s="6">
        <v>60</v>
      </c>
      <c r="F41" s="6">
        <v>60</v>
      </c>
      <c r="G41" s="6">
        <v>40</v>
      </c>
      <c r="H41" s="6">
        <v>65</v>
      </c>
      <c r="I41" s="6">
        <v>0</v>
      </c>
      <c r="J41" s="6">
        <v>65</v>
      </c>
      <c r="K41" s="6">
        <v>70</v>
      </c>
      <c r="L41" s="6">
        <v>70</v>
      </c>
      <c r="M41" s="6">
        <v>70</v>
      </c>
      <c r="N41" s="6">
        <v>70</v>
      </c>
      <c r="O41" s="6">
        <v>65</v>
      </c>
      <c r="P41" s="6">
        <v>65</v>
      </c>
      <c r="Q41" s="6">
        <v>65</v>
      </c>
      <c r="R41" s="6">
        <v>60</v>
      </c>
      <c r="S41" s="6">
        <v>60</v>
      </c>
      <c r="T41" s="6">
        <v>60</v>
      </c>
      <c r="U41" s="6">
        <v>0</v>
      </c>
      <c r="V41" s="6">
        <v>0</v>
      </c>
      <c r="X41">
        <f ca="1">IF(V41=0,0,OFFSET(CreditMetrics!$B$474,MATCH(RAND(),OFFSET(CreditMetrics!$C$474,1,MATCH(BDClientes!V41,CreditMetrics!$B$475:$B$491,0),COUNT(CreditMetrics!$B$475:$B$491),1),1),0,1,1))</f>
        <v>0</v>
      </c>
      <c r="Z41" s="79"/>
    </row>
    <row r="42" spans="1:26" x14ac:dyDescent="0.25">
      <c r="A42" s="4">
        <v>41</v>
      </c>
      <c r="B42" s="5" t="s">
        <v>43</v>
      </c>
      <c r="C42" s="6">
        <v>70</v>
      </c>
      <c r="D42" s="6">
        <v>70</v>
      </c>
      <c r="E42" s="6">
        <v>65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X42">
        <f ca="1">IF(V42=0,0,OFFSET(CreditMetrics!$B$474,MATCH(RAND(),OFFSET(CreditMetrics!$C$474,1,MATCH(BDClientes!V42,CreditMetrics!$B$475:$B$491,0),COUNT(CreditMetrics!$B$475:$B$491),1),1),0,1,1))</f>
        <v>0</v>
      </c>
      <c r="Z42" s="79"/>
    </row>
    <row r="43" spans="1:26" x14ac:dyDescent="0.25">
      <c r="A43" s="4">
        <v>42</v>
      </c>
      <c r="B43" s="5" t="s">
        <v>44</v>
      </c>
      <c r="C43" s="6">
        <v>60</v>
      </c>
      <c r="D43" s="6">
        <v>60</v>
      </c>
      <c r="E43" s="6">
        <v>65</v>
      </c>
      <c r="F43" s="6">
        <v>65</v>
      </c>
      <c r="G43" s="6">
        <v>60</v>
      </c>
      <c r="H43" s="6">
        <v>65</v>
      </c>
      <c r="I43" s="6">
        <v>65</v>
      </c>
      <c r="J43" s="6">
        <v>65</v>
      </c>
      <c r="K43" s="6">
        <v>70</v>
      </c>
      <c r="L43" s="6">
        <v>70</v>
      </c>
      <c r="M43" s="6">
        <v>70</v>
      </c>
      <c r="N43" s="6">
        <v>70</v>
      </c>
      <c r="O43" s="6">
        <v>65</v>
      </c>
      <c r="P43" s="6">
        <v>65</v>
      </c>
      <c r="Q43" s="6">
        <v>65</v>
      </c>
      <c r="R43" s="6">
        <v>70</v>
      </c>
      <c r="S43" s="6">
        <v>0</v>
      </c>
      <c r="T43" s="6">
        <v>0</v>
      </c>
      <c r="U43" s="6">
        <v>0</v>
      </c>
      <c r="V43" s="6">
        <v>0</v>
      </c>
      <c r="X43">
        <f ca="1">IF(V43=0,0,OFFSET(CreditMetrics!$B$474,MATCH(RAND(),OFFSET(CreditMetrics!$C$474,1,MATCH(BDClientes!V43,CreditMetrics!$B$475:$B$491,0),COUNT(CreditMetrics!$B$475:$B$491),1),1),0,1,1))</f>
        <v>0</v>
      </c>
      <c r="Z43" s="79"/>
    </row>
    <row r="44" spans="1:26" x14ac:dyDescent="0.25">
      <c r="A44" s="4">
        <v>43</v>
      </c>
      <c r="B44" s="5" t="s">
        <v>45</v>
      </c>
      <c r="C44" s="6">
        <v>22</v>
      </c>
      <c r="D44" s="6">
        <v>22</v>
      </c>
      <c r="E44" s="6">
        <v>22</v>
      </c>
      <c r="F44" s="6">
        <v>22</v>
      </c>
      <c r="G44" s="6">
        <v>22</v>
      </c>
      <c r="H44" s="6">
        <v>22</v>
      </c>
      <c r="I44" s="6">
        <v>22</v>
      </c>
      <c r="J44" s="6">
        <v>22</v>
      </c>
      <c r="K44" s="6">
        <v>22</v>
      </c>
      <c r="L44" s="6">
        <v>22</v>
      </c>
      <c r="M44" s="6">
        <v>22</v>
      </c>
      <c r="N44" s="6">
        <v>22</v>
      </c>
      <c r="O44" s="6">
        <v>22</v>
      </c>
      <c r="P44" s="6">
        <v>22</v>
      </c>
      <c r="Q44" s="6">
        <v>22</v>
      </c>
      <c r="R44" s="6">
        <v>22</v>
      </c>
      <c r="S44" s="6">
        <v>22</v>
      </c>
      <c r="T44" s="6">
        <v>22</v>
      </c>
      <c r="U44" s="6">
        <v>22</v>
      </c>
      <c r="V44" s="6">
        <v>22</v>
      </c>
      <c r="W44" s="138">
        <v>308365.54356489802</v>
      </c>
      <c r="X44">
        <f ca="1">IF(V44=0,0,OFFSET(CreditMetrics!$B$474,MATCH(RAND(),OFFSET(CreditMetrics!$C$474,1,MATCH(BDClientes!V44,CreditMetrics!$B$475:$B$491,0),COUNT(CreditMetrics!$B$475:$B$491),1),1),0,1,1))</f>
        <v>22</v>
      </c>
      <c r="Z44" s="79"/>
    </row>
    <row r="45" spans="1:26" x14ac:dyDescent="0.25">
      <c r="A45" s="4">
        <v>44</v>
      </c>
      <c r="B45" s="5" t="s">
        <v>46</v>
      </c>
      <c r="C45" s="6">
        <v>60</v>
      </c>
      <c r="D45" s="6">
        <v>60</v>
      </c>
      <c r="E45" s="6">
        <v>22</v>
      </c>
      <c r="F45" s="6">
        <v>22</v>
      </c>
      <c r="G45" s="6">
        <v>22</v>
      </c>
      <c r="H45" s="6">
        <v>22</v>
      </c>
      <c r="I45" s="6">
        <v>22</v>
      </c>
      <c r="J45" s="6">
        <v>22</v>
      </c>
      <c r="K45" s="6">
        <v>22</v>
      </c>
      <c r="L45" s="6">
        <v>22</v>
      </c>
      <c r="M45" s="6">
        <v>22</v>
      </c>
      <c r="N45" s="6">
        <v>22</v>
      </c>
      <c r="O45" s="6">
        <v>22</v>
      </c>
      <c r="P45" s="6">
        <v>22</v>
      </c>
      <c r="Q45" s="6">
        <v>22</v>
      </c>
      <c r="R45" s="6">
        <v>22</v>
      </c>
      <c r="S45" s="6">
        <v>22</v>
      </c>
      <c r="T45" s="6">
        <v>22</v>
      </c>
      <c r="U45" s="6">
        <v>22</v>
      </c>
      <c r="V45" s="6">
        <v>22</v>
      </c>
      <c r="W45" s="138">
        <v>383712.70596158289</v>
      </c>
      <c r="X45">
        <f ca="1">IF(V45=0,0,OFFSET(CreditMetrics!$B$474,MATCH(RAND(),OFFSET(CreditMetrics!$C$474,1,MATCH(BDClientes!V45,CreditMetrics!$B$475:$B$491,0),COUNT(CreditMetrics!$B$475:$B$491),1),1),0,1,1))</f>
        <v>22</v>
      </c>
      <c r="Z45" s="79"/>
    </row>
    <row r="46" spans="1:26" x14ac:dyDescent="0.25">
      <c r="A46" s="4">
        <v>45</v>
      </c>
      <c r="B46" s="5" t="s">
        <v>47</v>
      </c>
      <c r="C46" s="6">
        <v>80</v>
      </c>
      <c r="D46" s="6">
        <v>60</v>
      </c>
      <c r="E46" s="6">
        <v>73</v>
      </c>
      <c r="F46" s="6">
        <v>73</v>
      </c>
      <c r="G46" s="6">
        <v>40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X46">
        <f ca="1">IF(V46=0,0,OFFSET(CreditMetrics!$B$474,MATCH(RAND(),OFFSET(CreditMetrics!$C$474,1,MATCH(BDClientes!V46,CreditMetrics!$B$475:$B$491,0),COUNT(CreditMetrics!$B$475:$B$491),1),1),0,1,1))</f>
        <v>0</v>
      </c>
      <c r="Z46" s="79"/>
    </row>
    <row r="47" spans="1:26" x14ac:dyDescent="0.25">
      <c r="A47" s="4">
        <v>46</v>
      </c>
      <c r="B47" s="5" t="s">
        <v>48</v>
      </c>
      <c r="C47" s="6">
        <v>60</v>
      </c>
      <c r="D47" s="6">
        <v>60</v>
      </c>
      <c r="E47" s="6">
        <v>75</v>
      </c>
      <c r="F47" s="6">
        <v>75</v>
      </c>
      <c r="G47" s="6">
        <v>75</v>
      </c>
      <c r="H47" s="6">
        <v>75</v>
      </c>
      <c r="I47" s="6">
        <v>70</v>
      </c>
      <c r="J47" s="6">
        <v>70</v>
      </c>
      <c r="K47" s="6">
        <v>73</v>
      </c>
      <c r="L47" s="6">
        <v>73</v>
      </c>
      <c r="M47" s="6">
        <v>73</v>
      </c>
      <c r="N47" s="6">
        <v>73</v>
      </c>
      <c r="O47" s="6">
        <v>73</v>
      </c>
      <c r="P47" s="6">
        <v>70</v>
      </c>
      <c r="Q47" s="6">
        <v>70</v>
      </c>
      <c r="R47" s="6">
        <v>73</v>
      </c>
      <c r="S47" s="6">
        <v>73</v>
      </c>
      <c r="T47" s="6">
        <v>0</v>
      </c>
      <c r="U47" s="6">
        <v>0</v>
      </c>
      <c r="V47" s="6">
        <v>0</v>
      </c>
      <c r="X47">
        <f ca="1">IF(V47=0,0,OFFSET(CreditMetrics!$B$474,MATCH(RAND(),OFFSET(CreditMetrics!$C$474,1,MATCH(BDClientes!V47,CreditMetrics!$B$475:$B$491,0),COUNT(CreditMetrics!$B$475:$B$491),1),1),0,1,1))</f>
        <v>0</v>
      </c>
      <c r="Z47" s="79"/>
    </row>
    <row r="48" spans="1:26" x14ac:dyDescent="0.25">
      <c r="A48" s="4">
        <v>47</v>
      </c>
      <c r="B48" s="5" t="s">
        <v>49</v>
      </c>
      <c r="C48" s="6">
        <v>60</v>
      </c>
      <c r="D48" s="6">
        <v>60</v>
      </c>
      <c r="E48" s="6">
        <v>60</v>
      </c>
      <c r="F48" s="6">
        <v>60</v>
      </c>
      <c r="G48" s="6">
        <v>60</v>
      </c>
      <c r="H48" s="6">
        <v>70</v>
      </c>
      <c r="I48" s="6">
        <v>70</v>
      </c>
      <c r="J48" s="6">
        <v>60</v>
      </c>
      <c r="K48" s="6">
        <v>65</v>
      </c>
      <c r="L48" s="6">
        <v>65</v>
      </c>
      <c r="M48" s="6">
        <v>60</v>
      </c>
      <c r="N48" s="6">
        <v>60</v>
      </c>
      <c r="O48" s="6">
        <v>60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X48">
        <f ca="1">IF(V48=0,0,OFFSET(CreditMetrics!$B$474,MATCH(RAND(),OFFSET(CreditMetrics!$C$474,1,MATCH(BDClientes!V48,CreditMetrics!$B$475:$B$491,0),COUNT(CreditMetrics!$B$475:$B$491),1),1),0,1,1))</f>
        <v>0</v>
      </c>
      <c r="Z48" s="79"/>
    </row>
    <row r="49" spans="1:26" x14ac:dyDescent="0.25">
      <c r="A49" s="4">
        <v>48</v>
      </c>
      <c r="B49" s="5" t="s">
        <v>50</v>
      </c>
      <c r="C49" s="6">
        <v>77</v>
      </c>
      <c r="D49" s="6">
        <v>77</v>
      </c>
      <c r="E49" s="6">
        <v>83</v>
      </c>
      <c r="F49" s="6">
        <v>83</v>
      </c>
      <c r="G49" s="6">
        <v>83</v>
      </c>
      <c r="H49" s="6">
        <v>83</v>
      </c>
      <c r="I49" s="6">
        <v>83</v>
      </c>
      <c r="J49" s="6">
        <v>87</v>
      </c>
      <c r="K49" s="6">
        <v>85</v>
      </c>
      <c r="L49" s="6">
        <v>85</v>
      </c>
      <c r="M49" s="6">
        <v>85</v>
      </c>
      <c r="N49" s="6">
        <v>85</v>
      </c>
      <c r="O49" s="6">
        <v>83</v>
      </c>
      <c r="P49" s="6">
        <v>85</v>
      </c>
      <c r="Q49" s="6">
        <v>87</v>
      </c>
      <c r="R49" s="6">
        <v>87</v>
      </c>
      <c r="S49" s="6">
        <v>87</v>
      </c>
      <c r="T49" s="6">
        <v>87</v>
      </c>
      <c r="U49" s="6">
        <v>87</v>
      </c>
      <c r="V49" s="6">
        <v>87</v>
      </c>
      <c r="W49" s="138">
        <v>269205.54747760558</v>
      </c>
      <c r="X49">
        <f ca="1">IF(V49=0,0,OFFSET(CreditMetrics!$B$474,MATCH(RAND(),OFFSET(CreditMetrics!$C$474,1,MATCH(BDClientes!V49,CreditMetrics!$B$475:$B$491,0),COUNT(CreditMetrics!$B$475:$B$491),1),1),0,1,1))</f>
        <v>80</v>
      </c>
      <c r="Z49" s="79"/>
    </row>
    <row r="50" spans="1:26" x14ac:dyDescent="0.25">
      <c r="A50" s="4">
        <v>49</v>
      </c>
      <c r="B50" s="5" t="s">
        <v>51</v>
      </c>
      <c r="C50" s="6">
        <v>0</v>
      </c>
      <c r="D50" s="6">
        <v>73</v>
      </c>
      <c r="E50" s="6">
        <v>73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X50">
        <f ca="1">IF(V50=0,0,OFFSET(CreditMetrics!$B$474,MATCH(RAND(),OFFSET(CreditMetrics!$C$474,1,MATCH(BDClientes!V50,CreditMetrics!$B$475:$B$491,0),COUNT(CreditMetrics!$B$475:$B$491),1),1),0,1,1))</f>
        <v>0</v>
      </c>
      <c r="Z50" s="79"/>
    </row>
    <row r="51" spans="1:26" x14ac:dyDescent="0.25">
      <c r="A51" s="4">
        <v>50</v>
      </c>
      <c r="B51" s="5" t="s">
        <v>52</v>
      </c>
      <c r="C51" s="6">
        <v>40</v>
      </c>
      <c r="D51" s="6">
        <v>40</v>
      </c>
      <c r="E51" s="6">
        <v>40</v>
      </c>
      <c r="F51" s="6">
        <v>40</v>
      </c>
      <c r="G51" s="6">
        <v>40</v>
      </c>
      <c r="H51" s="6">
        <v>22</v>
      </c>
      <c r="I51" s="6">
        <v>22</v>
      </c>
      <c r="J51" s="6">
        <v>22</v>
      </c>
      <c r="K51" s="6">
        <v>22</v>
      </c>
      <c r="L51" s="6">
        <v>22</v>
      </c>
      <c r="M51" s="6">
        <v>22</v>
      </c>
      <c r="N51" s="6">
        <v>22</v>
      </c>
      <c r="O51" s="6">
        <v>22</v>
      </c>
      <c r="P51" s="6">
        <v>22</v>
      </c>
      <c r="Q51" s="6">
        <v>22</v>
      </c>
      <c r="R51" s="6">
        <v>22</v>
      </c>
      <c r="S51" s="6">
        <v>22</v>
      </c>
      <c r="T51" s="6">
        <v>22</v>
      </c>
      <c r="U51" s="6">
        <v>22</v>
      </c>
      <c r="V51" s="6">
        <v>22</v>
      </c>
      <c r="W51" s="138">
        <v>624124.90595709218</v>
      </c>
      <c r="X51">
        <f ca="1">IF(V51=0,0,OFFSET(CreditMetrics!$B$474,MATCH(RAND(),OFFSET(CreditMetrics!$C$474,1,MATCH(BDClientes!V51,CreditMetrics!$B$475:$B$491,0),COUNT(CreditMetrics!$B$475:$B$491),1),1),0,1,1))</f>
        <v>22</v>
      </c>
      <c r="Z51" s="79"/>
    </row>
    <row r="52" spans="1:26" x14ac:dyDescent="0.25">
      <c r="A52" s="4">
        <v>51</v>
      </c>
      <c r="B52" s="5" t="s">
        <v>53</v>
      </c>
      <c r="C52" s="6">
        <v>83</v>
      </c>
      <c r="D52" s="6">
        <v>77</v>
      </c>
      <c r="E52" s="6">
        <v>77</v>
      </c>
      <c r="F52" s="6">
        <v>80</v>
      </c>
      <c r="G52" s="6">
        <v>80</v>
      </c>
      <c r="H52" s="6">
        <v>83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85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X52">
        <f ca="1">IF(V52=0,0,OFFSET(CreditMetrics!$B$474,MATCH(RAND(),OFFSET(CreditMetrics!$C$474,1,MATCH(BDClientes!V52,CreditMetrics!$B$475:$B$491,0),COUNT(CreditMetrics!$B$475:$B$491),1),1),0,1,1))</f>
        <v>0</v>
      </c>
      <c r="Z52" s="79"/>
    </row>
    <row r="53" spans="1:26" x14ac:dyDescent="0.25">
      <c r="A53" s="4">
        <v>52</v>
      </c>
      <c r="B53" s="5" t="s">
        <v>54</v>
      </c>
      <c r="C53" s="6">
        <v>0</v>
      </c>
      <c r="D53" s="6">
        <v>0</v>
      </c>
      <c r="E53" s="6">
        <v>0</v>
      </c>
      <c r="F53" s="6">
        <v>85</v>
      </c>
      <c r="G53" s="6">
        <v>83</v>
      </c>
      <c r="H53" s="6">
        <v>83</v>
      </c>
      <c r="I53" s="6">
        <v>83</v>
      </c>
      <c r="J53" s="6">
        <v>83</v>
      </c>
      <c r="K53" s="6">
        <v>83</v>
      </c>
      <c r="L53" s="6">
        <v>83</v>
      </c>
      <c r="M53" s="6">
        <v>85</v>
      </c>
      <c r="N53" s="6">
        <v>85</v>
      </c>
      <c r="O53" s="6">
        <v>85</v>
      </c>
      <c r="P53" s="6">
        <v>83</v>
      </c>
      <c r="Q53" s="6">
        <v>85</v>
      </c>
      <c r="R53" s="6">
        <v>85</v>
      </c>
      <c r="S53" s="6">
        <v>85</v>
      </c>
      <c r="T53" s="6">
        <v>83</v>
      </c>
      <c r="U53" s="6">
        <v>85</v>
      </c>
      <c r="V53" s="6">
        <v>87</v>
      </c>
      <c r="W53" s="138">
        <v>114071.49156081863</v>
      </c>
      <c r="X53">
        <f ca="1">IF(V53=0,0,OFFSET(CreditMetrics!$B$474,MATCH(RAND(),OFFSET(CreditMetrics!$C$474,1,MATCH(BDClientes!V53,CreditMetrics!$B$475:$B$491,0),COUNT(CreditMetrics!$B$475:$B$491),1),1),0,1,1))</f>
        <v>83</v>
      </c>
      <c r="Z53" s="79"/>
    </row>
    <row r="54" spans="1:26" x14ac:dyDescent="0.25">
      <c r="A54" s="4">
        <v>53</v>
      </c>
      <c r="B54" s="5" t="s">
        <v>55</v>
      </c>
      <c r="C54" s="6">
        <v>83</v>
      </c>
      <c r="D54" s="6">
        <v>83</v>
      </c>
      <c r="E54" s="6">
        <v>70</v>
      </c>
      <c r="F54" s="6">
        <v>70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X54">
        <f ca="1">IF(V54=0,0,OFFSET(CreditMetrics!$B$474,MATCH(RAND(),OFFSET(CreditMetrics!$C$474,1,MATCH(BDClientes!V54,CreditMetrics!$B$475:$B$491,0),COUNT(CreditMetrics!$B$475:$B$491),1),1),0,1,1))</f>
        <v>0</v>
      </c>
      <c r="Z54" s="79"/>
    </row>
    <row r="55" spans="1:26" x14ac:dyDescent="0.25">
      <c r="A55" s="4">
        <v>54</v>
      </c>
      <c r="B55" s="5" t="s">
        <v>56</v>
      </c>
      <c r="C55" s="6">
        <v>80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X55">
        <f ca="1">IF(V55=0,0,OFFSET(CreditMetrics!$B$474,MATCH(RAND(),OFFSET(CreditMetrics!$C$474,1,MATCH(BDClientes!V55,CreditMetrics!$B$475:$B$491,0),COUNT(CreditMetrics!$B$475:$B$491),1),1),0,1,1))</f>
        <v>0</v>
      </c>
      <c r="Z55" s="79"/>
    </row>
    <row r="56" spans="1:26" x14ac:dyDescent="0.25">
      <c r="A56" s="4">
        <v>55</v>
      </c>
      <c r="B56" s="5" t="s">
        <v>57</v>
      </c>
      <c r="C56" s="6">
        <v>80</v>
      </c>
      <c r="D56" s="6">
        <v>83</v>
      </c>
      <c r="E56" s="6">
        <v>85</v>
      </c>
      <c r="F56" s="6">
        <v>85</v>
      </c>
      <c r="G56" s="6">
        <v>77</v>
      </c>
      <c r="H56" s="6">
        <v>83</v>
      </c>
      <c r="I56" s="6">
        <v>80</v>
      </c>
      <c r="J56" s="6">
        <v>80</v>
      </c>
      <c r="K56" s="6">
        <v>80</v>
      </c>
      <c r="L56" s="6">
        <v>85</v>
      </c>
      <c r="M56" s="6">
        <v>87</v>
      </c>
      <c r="N56" s="6">
        <v>85</v>
      </c>
      <c r="O56" s="6">
        <v>85</v>
      </c>
      <c r="P56" s="6">
        <v>85</v>
      </c>
      <c r="Q56" s="6">
        <v>85</v>
      </c>
      <c r="R56" s="6">
        <v>87</v>
      </c>
      <c r="S56" s="6">
        <v>87</v>
      </c>
      <c r="T56" s="6">
        <v>87</v>
      </c>
      <c r="U56" s="6">
        <v>87</v>
      </c>
      <c r="V56" s="6">
        <v>87</v>
      </c>
      <c r="W56" s="138">
        <v>113788.97750583821</v>
      </c>
      <c r="X56">
        <f ca="1">IF(V56=0,0,OFFSET(CreditMetrics!$B$474,MATCH(RAND(),OFFSET(CreditMetrics!$C$474,1,MATCH(BDClientes!V56,CreditMetrics!$B$475:$B$491,0),COUNT(CreditMetrics!$B$475:$B$491),1),1),0,1,1))</f>
        <v>87</v>
      </c>
      <c r="Z56" s="79"/>
    </row>
    <row r="57" spans="1:26" x14ac:dyDescent="0.25">
      <c r="A57" s="4">
        <v>56</v>
      </c>
      <c r="B57" s="5" t="s">
        <v>58</v>
      </c>
      <c r="C57" s="6">
        <v>95</v>
      </c>
      <c r="D57" s="6">
        <v>70</v>
      </c>
      <c r="E57" s="6">
        <v>65</v>
      </c>
      <c r="F57" s="6">
        <v>65</v>
      </c>
      <c r="G57" s="6">
        <v>65</v>
      </c>
      <c r="H57" s="6">
        <v>65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X57">
        <f ca="1">IF(V57=0,0,OFFSET(CreditMetrics!$B$474,MATCH(RAND(),OFFSET(CreditMetrics!$C$474,1,MATCH(BDClientes!V57,CreditMetrics!$B$475:$B$491,0),COUNT(CreditMetrics!$B$475:$B$491),1),1),0,1,1))</f>
        <v>0</v>
      </c>
      <c r="Z57" s="79"/>
    </row>
    <row r="58" spans="1:26" x14ac:dyDescent="0.25">
      <c r="A58" s="4">
        <v>57</v>
      </c>
      <c r="B58" s="5" t="s">
        <v>59</v>
      </c>
      <c r="C58" s="6">
        <v>60</v>
      </c>
      <c r="D58" s="6">
        <v>40</v>
      </c>
      <c r="E58" s="6">
        <v>40</v>
      </c>
      <c r="F58" s="6">
        <v>40</v>
      </c>
      <c r="G58" s="6">
        <v>65</v>
      </c>
      <c r="H58" s="6">
        <v>75</v>
      </c>
      <c r="I58" s="6">
        <v>65</v>
      </c>
      <c r="J58" s="6">
        <v>65</v>
      </c>
      <c r="K58" s="6">
        <v>77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X58">
        <f ca="1">IF(V58=0,0,OFFSET(CreditMetrics!$B$474,MATCH(RAND(),OFFSET(CreditMetrics!$C$474,1,MATCH(BDClientes!V58,CreditMetrics!$B$475:$B$491,0),COUNT(CreditMetrics!$B$475:$B$491),1),1),0,1,1))</f>
        <v>0</v>
      </c>
      <c r="Z58" s="79"/>
    </row>
    <row r="59" spans="1:26" x14ac:dyDescent="0.25">
      <c r="A59" s="4">
        <v>58</v>
      </c>
      <c r="B59" s="5" t="s">
        <v>60</v>
      </c>
      <c r="C59" s="6">
        <v>65</v>
      </c>
      <c r="D59" s="6">
        <v>60</v>
      </c>
      <c r="E59" s="6">
        <v>60</v>
      </c>
      <c r="F59" s="6">
        <v>60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X59">
        <f ca="1">IF(V59=0,0,OFFSET(CreditMetrics!$B$474,MATCH(RAND(),OFFSET(CreditMetrics!$C$474,1,MATCH(BDClientes!V59,CreditMetrics!$B$475:$B$491,0),COUNT(CreditMetrics!$B$475:$B$491),1),1),0,1,1))</f>
        <v>0</v>
      </c>
      <c r="Z59" s="79"/>
    </row>
    <row r="60" spans="1:26" x14ac:dyDescent="0.25">
      <c r="A60" s="4">
        <v>59</v>
      </c>
      <c r="B60" s="5" t="s">
        <v>61</v>
      </c>
      <c r="C60" s="6">
        <v>0</v>
      </c>
      <c r="D60" s="6">
        <v>73</v>
      </c>
      <c r="E60" s="6">
        <v>40</v>
      </c>
      <c r="F60" s="6">
        <v>40</v>
      </c>
      <c r="G60" s="6">
        <v>40</v>
      </c>
      <c r="H60" s="6">
        <v>40</v>
      </c>
      <c r="I60" s="6">
        <v>60</v>
      </c>
      <c r="J60" s="6">
        <v>60</v>
      </c>
      <c r="K60" s="6">
        <v>40</v>
      </c>
      <c r="L60" s="6">
        <v>70</v>
      </c>
      <c r="M60" s="6">
        <v>70</v>
      </c>
      <c r="N60" s="6">
        <v>65</v>
      </c>
      <c r="O60" s="6">
        <v>65</v>
      </c>
      <c r="P60" s="6">
        <v>65</v>
      </c>
      <c r="Q60" s="6">
        <v>65</v>
      </c>
      <c r="R60" s="6">
        <v>65</v>
      </c>
      <c r="S60" s="6">
        <v>65</v>
      </c>
      <c r="T60" s="6">
        <v>60</v>
      </c>
      <c r="U60" s="6">
        <v>60</v>
      </c>
      <c r="V60" s="6">
        <v>60</v>
      </c>
      <c r="W60" s="138">
        <v>169733.49963253518</v>
      </c>
      <c r="X60">
        <f ca="1">IF(V60=0,0,OFFSET(CreditMetrics!$B$474,MATCH(RAND(),OFFSET(CreditMetrics!$C$474,1,MATCH(BDClientes!V60,CreditMetrics!$B$475:$B$491,0),COUNT(CreditMetrics!$B$475:$B$491),1),1),0,1,1))</f>
        <v>60</v>
      </c>
      <c r="Z60" s="79"/>
    </row>
    <row r="61" spans="1:26" x14ac:dyDescent="0.25">
      <c r="A61" s="4">
        <v>60</v>
      </c>
      <c r="B61" s="5" t="s">
        <v>62</v>
      </c>
      <c r="C61" s="6">
        <v>87</v>
      </c>
      <c r="D61" s="6">
        <v>83</v>
      </c>
      <c r="E61" s="6">
        <v>73</v>
      </c>
      <c r="F61" s="6">
        <v>73</v>
      </c>
      <c r="G61" s="6">
        <v>73</v>
      </c>
      <c r="H61" s="6">
        <v>80</v>
      </c>
      <c r="I61" s="6">
        <v>77</v>
      </c>
      <c r="J61" s="6">
        <v>77</v>
      </c>
      <c r="K61" s="6">
        <v>77</v>
      </c>
      <c r="L61" s="6">
        <v>73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X61">
        <f ca="1">IF(V61=0,0,OFFSET(CreditMetrics!$B$474,MATCH(RAND(),OFFSET(CreditMetrics!$C$474,1,MATCH(BDClientes!V61,CreditMetrics!$B$475:$B$491,0),COUNT(CreditMetrics!$B$475:$B$491),1),1),0,1,1))</f>
        <v>0</v>
      </c>
      <c r="Z61" s="79"/>
    </row>
    <row r="62" spans="1:26" x14ac:dyDescent="0.25">
      <c r="A62" s="4">
        <v>61</v>
      </c>
      <c r="B62" s="5" t="s">
        <v>63</v>
      </c>
      <c r="C62" s="6">
        <v>22</v>
      </c>
      <c r="D62" s="6">
        <v>22</v>
      </c>
      <c r="E62" s="6">
        <v>22</v>
      </c>
      <c r="F62" s="6">
        <v>22</v>
      </c>
      <c r="G62" s="6">
        <v>22</v>
      </c>
      <c r="H62" s="6">
        <v>22</v>
      </c>
      <c r="I62" s="6">
        <v>22</v>
      </c>
      <c r="J62" s="6">
        <v>22</v>
      </c>
      <c r="K62" s="6">
        <v>22</v>
      </c>
      <c r="L62" s="6">
        <v>22</v>
      </c>
      <c r="M62" s="6">
        <v>22</v>
      </c>
      <c r="N62" s="6">
        <v>22</v>
      </c>
      <c r="O62" s="6">
        <v>22</v>
      </c>
      <c r="P62" s="6">
        <v>22</v>
      </c>
      <c r="Q62" s="6">
        <v>22</v>
      </c>
      <c r="R62" s="6">
        <v>22</v>
      </c>
      <c r="S62" s="6">
        <v>22</v>
      </c>
      <c r="T62" s="6">
        <v>22</v>
      </c>
      <c r="U62" s="6">
        <v>22</v>
      </c>
      <c r="V62" s="6">
        <v>22</v>
      </c>
      <c r="W62" s="138">
        <v>1012737.0604589483</v>
      </c>
      <c r="X62">
        <f ca="1">IF(V62=0,0,OFFSET(CreditMetrics!$B$474,MATCH(RAND(),OFFSET(CreditMetrics!$C$474,1,MATCH(BDClientes!V62,CreditMetrics!$B$475:$B$491,0),COUNT(CreditMetrics!$B$475:$B$491),1),1),0,1,1))</f>
        <v>22</v>
      </c>
      <c r="Z62" s="79"/>
    </row>
    <row r="63" spans="1:26" x14ac:dyDescent="0.25">
      <c r="A63" s="4">
        <v>62</v>
      </c>
      <c r="B63" s="5" t="s">
        <v>64</v>
      </c>
      <c r="C63" s="6">
        <v>73</v>
      </c>
      <c r="D63" s="6">
        <v>60</v>
      </c>
      <c r="E63" s="6">
        <v>73</v>
      </c>
      <c r="F63" s="6">
        <v>73</v>
      </c>
      <c r="G63" s="6">
        <v>65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X63">
        <f ca="1">IF(V63=0,0,OFFSET(CreditMetrics!$B$474,MATCH(RAND(),OFFSET(CreditMetrics!$C$474,1,MATCH(BDClientes!V63,CreditMetrics!$B$475:$B$491,0),COUNT(CreditMetrics!$B$475:$B$491),1),1),0,1,1))</f>
        <v>0</v>
      </c>
      <c r="Z63" s="79"/>
    </row>
    <row r="64" spans="1:26" x14ac:dyDescent="0.25">
      <c r="A64" s="4">
        <v>63</v>
      </c>
      <c r="B64" s="5" t="s">
        <v>65</v>
      </c>
      <c r="C64" s="6">
        <v>75</v>
      </c>
      <c r="D64" s="6">
        <v>73</v>
      </c>
      <c r="E64" s="6">
        <v>73</v>
      </c>
      <c r="F64" s="6">
        <v>73</v>
      </c>
      <c r="G64" s="6">
        <v>70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X64">
        <f ca="1">IF(V64=0,0,OFFSET(CreditMetrics!$B$474,MATCH(RAND(),OFFSET(CreditMetrics!$C$474,1,MATCH(BDClientes!V64,CreditMetrics!$B$475:$B$491,0),COUNT(CreditMetrics!$B$475:$B$491),1),1),0,1,1))</f>
        <v>0</v>
      </c>
      <c r="Z64" s="79"/>
    </row>
    <row r="65" spans="1:26" x14ac:dyDescent="0.25">
      <c r="A65" s="4">
        <v>64</v>
      </c>
      <c r="B65" s="5" t="s">
        <v>66</v>
      </c>
      <c r="C65" s="6">
        <v>83</v>
      </c>
      <c r="D65" s="6">
        <v>83</v>
      </c>
      <c r="E65" s="6">
        <v>83</v>
      </c>
      <c r="F65" s="6">
        <v>83</v>
      </c>
      <c r="G65" s="6">
        <v>85</v>
      </c>
      <c r="H65" s="6">
        <v>85</v>
      </c>
      <c r="I65" s="6">
        <v>83</v>
      </c>
      <c r="J65" s="6">
        <v>87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X65">
        <f ca="1">IF(V65=0,0,OFFSET(CreditMetrics!$B$474,MATCH(RAND(),OFFSET(CreditMetrics!$C$474,1,MATCH(BDClientes!V65,CreditMetrics!$B$475:$B$491,0),COUNT(CreditMetrics!$B$475:$B$491),1),1),0,1,1))</f>
        <v>0</v>
      </c>
      <c r="Z65" s="79"/>
    </row>
    <row r="66" spans="1:26" x14ac:dyDescent="0.25">
      <c r="A66" s="4">
        <v>65</v>
      </c>
      <c r="B66" s="5" t="s">
        <v>67</v>
      </c>
      <c r="C66" s="6">
        <v>77</v>
      </c>
      <c r="D66" s="6">
        <v>75</v>
      </c>
      <c r="E66" s="6">
        <v>80</v>
      </c>
      <c r="F66" s="6">
        <v>80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X66">
        <f ca="1">IF(V66=0,0,OFFSET(CreditMetrics!$B$474,MATCH(RAND(),OFFSET(CreditMetrics!$C$474,1,MATCH(BDClientes!V66,CreditMetrics!$B$475:$B$491,0),COUNT(CreditMetrics!$B$475:$B$491),1),1),0,1,1))</f>
        <v>0</v>
      </c>
      <c r="Z66" s="79"/>
    </row>
    <row r="67" spans="1:26" x14ac:dyDescent="0.25">
      <c r="A67" s="4">
        <v>66</v>
      </c>
      <c r="B67" s="5" t="s">
        <v>68</v>
      </c>
      <c r="C67" s="6">
        <v>87</v>
      </c>
      <c r="D67" s="6">
        <v>83</v>
      </c>
      <c r="E67" s="6">
        <v>80</v>
      </c>
      <c r="F67" s="6">
        <v>80</v>
      </c>
      <c r="G67" s="6">
        <v>85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X67">
        <f ca="1">IF(V67=0,0,OFFSET(CreditMetrics!$B$474,MATCH(RAND(),OFFSET(CreditMetrics!$C$474,1,MATCH(BDClientes!V67,CreditMetrics!$B$475:$B$491,0),COUNT(CreditMetrics!$B$475:$B$491),1),1),0,1,1))</f>
        <v>0</v>
      </c>
      <c r="Z67" s="79"/>
    </row>
    <row r="68" spans="1:26" x14ac:dyDescent="0.25">
      <c r="A68" s="4">
        <v>67</v>
      </c>
      <c r="B68" s="5" t="s">
        <v>69</v>
      </c>
      <c r="C68" s="6">
        <v>22</v>
      </c>
      <c r="D68" s="6">
        <v>22</v>
      </c>
      <c r="E68" s="6">
        <v>22</v>
      </c>
      <c r="F68" s="6">
        <v>22</v>
      </c>
      <c r="G68" s="6">
        <v>22</v>
      </c>
      <c r="H68" s="6">
        <v>22</v>
      </c>
      <c r="I68" s="6">
        <v>22</v>
      </c>
      <c r="J68" s="6">
        <v>22</v>
      </c>
      <c r="K68" s="6">
        <v>22</v>
      </c>
      <c r="L68" s="6">
        <v>22</v>
      </c>
      <c r="M68" s="6">
        <v>22</v>
      </c>
      <c r="N68" s="6">
        <v>22</v>
      </c>
      <c r="O68" s="6">
        <v>22</v>
      </c>
      <c r="P68" s="6">
        <v>22</v>
      </c>
      <c r="Q68" s="6">
        <v>22</v>
      </c>
      <c r="R68" s="6">
        <v>22</v>
      </c>
      <c r="S68" s="6">
        <v>22</v>
      </c>
      <c r="T68" s="6">
        <v>22</v>
      </c>
      <c r="U68" s="6">
        <v>22</v>
      </c>
      <c r="V68" s="6">
        <v>22</v>
      </c>
      <c r="W68" s="138">
        <v>202744.33000226223</v>
      </c>
      <c r="X68">
        <f ca="1">IF(V68=0,0,OFFSET(CreditMetrics!$B$474,MATCH(RAND(),OFFSET(CreditMetrics!$C$474,1,MATCH(BDClientes!V68,CreditMetrics!$B$475:$B$491,0),COUNT(CreditMetrics!$B$475:$B$491),1),1),0,1,1))</f>
        <v>22</v>
      </c>
      <c r="Z68" s="79"/>
    </row>
    <row r="69" spans="1:26" x14ac:dyDescent="0.25">
      <c r="A69" s="4">
        <v>68</v>
      </c>
      <c r="B69" s="5" t="s">
        <v>70</v>
      </c>
      <c r="C69" s="6">
        <v>60</v>
      </c>
      <c r="D69" s="6">
        <v>40</v>
      </c>
      <c r="E69" s="6">
        <v>22</v>
      </c>
      <c r="F69" s="6">
        <v>22</v>
      </c>
      <c r="G69" s="6">
        <v>22</v>
      </c>
      <c r="H69" s="6">
        <v>22</v>
      </c>
      <c r="I69" s="6">
        <v>22</v>
      </c>
      <c r="J69" s="6">
        <v>22</v>
      </c>
      <c r="K69" s="6">
        <v>22</v>
      </c>
      <c r="L69" s="6">
        <v>22</v>
      </c>
      <c r="M69" s="6">
        <v>22</v>
      </c>
      <c r="N69" s="6">
        <v>22</v>
      </c>
      <c r="O69" s="6">
        <v>22</v>
      </c>
      <c r="P69" s="6">
        <v>22</v>
      </c>
      <c r="Q69" s="6">
        <v>22</v>
      </c>
      <c r="R69" s="6">
        <v>22</v>
      </c>
      <c r="S69" s="6">
        <v>22</v>
      </c>
      <c r="T69" s="6">
        <v>22</v>
      </c>
      <c r="U69" s="6">
        <v>22</v>
      </c>
      <c r="V69" s="6">
        <v>22</v>
      </c>
      <c r="W69" s="138">
        <v>428702.9480048921</v>
      </c>
      <c r="X69">
        <f ca="1">IF(V69=0,0,OFFSET(CreditMetrics!$B$474,MATCH(RAND(),OFFSET(CreditMetrics!$C$474,1,MATCH(BDClientes!V69,CreditMetrics!$B$475:$B$491,0),COUNT(CreditMetrics!$B$475:$B$491),1),1),0,1,1))</f>
        <v>22</v>
      </c>
      <c r="Z69" s="79"/>
    </row>
    <row r="70" spans="1:26" x14ac:dyDescent="0.25">
      <c r="A70" s="4">
        <v>69</v>
      </c>
      <c r="B70" s="5" t="s">
        <v>71</v>
      </c>
      <c r="C70" s="6">
        <v>85</v>
      </c>
      <c r="D70" s="6">
        <v>85</v>
      </c>
      <c r="E70" s="6">
        <v>80</v>
      </c>
      <c r="F70" s="6">
        <v>80</v>
      </c>
      <c r="G70" s="6">
        <v>70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X70">
        <f ca="1">IF(V70=0,0,OFFSET(CreditMetrics!$B$474,MATCH(RAND(),OFFSET(CreditMetrics!$C$474,1,MATCH(BDClientes!V70,CreditMetrics!$B$475:$B$491,0),COUNT(CreditMetrics!$B$475:$B$491),1),1),0,1,1))</f>
        <v>0</v>
      </c>
      <c r="Z70" s="79"/>
    </row>
    <row r="71" spans="1:26" x14ac:dyDescent="0.25">
      <c r="A71" s="4">
        <v>70</v>
      </c>
      <c r="B71" s="5" t="s">
        <v>72</v>
      </c>
      <c r="C71" s="6">
        <v>70</v>
      </c>
      <c r="D71" s="6">
        <v>73</v>
      </c>
      <c r="E71" s="6">
        <v>77</v>
      </c>
      <c r="F71" s="6">
        <v>77</v>
      </c>
      <c r="G71" s="6">
        <v>77</v>
      </c>
      <c r="H71" s="6">
        <v>73</v>
      </c>
      <c r="I71" s="6">
        <v>73</v>
      </c>
      <c r="J71" s="6">
        <v>75</v>
      </c>
      <c r="K71" s="6">
        <v>75</v>
      </c>
      <c r="L71" s="6">
        <v>77</v>
      </c>
      <c r="M71" s="6">
        <v>75</v>
      </c>
      <c r="N71" s="6">
        <v>75</v>
      </c>
      <c r="O71" s="6">
        <v>73</v>
      </c>
      <c r="P71" s="6">
        <v>77</v>
      </c>
      <c r="Q71" s="6">
        <v>80</v>
      </c>
      <c r="R71" s="6">
        <v>80</v>
      </c>
      <c r="S71" s="6">
        <v>0</v>
      </c>
      <c r="T71" s="6">
        <v>0</v>
      </c>
      <c r="U71" s="6">
        <v>0</v>
      </c>
      <c r="V71" s="6">
        <v>0</v>
      </c>
      <c r="X71">
        <f ca="1">IF(V71=0,0,OFFSET(CreditMetrics!$B$474,MATCH(RAND(),OFFSET(CreditMetrics!$C$474,1,MATCH(BDClientes!V71,CreditMetrics!$B$475:$B$491,0),COUNT(CreditMetrics!$B$475:$B$491),1),1),0,1,1))</f>
        <v>0</v>
      </c>
      <c r="Z71" s="79"/>
    </row>
    <row r="72" spans="1:26" x14ac:dyDescent="0.25">
      <c r="A72" s="4">
        <v>71</v>
      </c>
      <c r="B72" s="5" t="s">
        <v>73</v>
      </c>
      <c r="C72" s="6">
        <v>73</v>
      </c>
      <c r="D72" s="6">
        <v>70</v>
      </c>
      <c r="E72" s="6">
        <v>73</v>
      </c>
      <c r="F72" s="6">
        <v>73</v>
      </c>
      <c r="G72" s="6">
        <v>73</v>
      </c>
      <c r="H72" s="6">
        <v>70</v>
      </c>
      <c r="I72" s="6">
        <v>75</v>
      </c>
      <c r="J72" s="6">
        <v>75</v>
      </c>
      <c r="K72" s="6">
        <v>73</v>
      </c>
      <c r="L72" s="6">
        <v>73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X72">
        <f ca="1">IF(V72=0,0,OFFSET(CreditMetrics!$B$474,MATCH(RAND(),OFFSET(CreditMetrics!$C$474,1,MATCH(BDClientes!V72,CreditMetrics!$B$475:$B$491,0),COUNT(CreditMetrics!$B$475:$B$491),1),1),0,1,1))</f>
        <v>0</v>
      </c>
      <c r="Z72" s="79"/>
    </row>
    <row r="73" spans="1:26" x14ac:dyDescent="0.25">
      <c r="A73" s="4">
        <v>72</v>
      </c>
      <c r="B73" s="5" t="s">
        <v>74</v>
      </c>
      <c r="C73" s="6">
        <v>83</v>
      </c>
      <c r="D73" s="6">
        <v>83</v>
      </c>
      <c r="E73" s="6">
        <v>85</v>
      </c>
      <c r="F73" s="6">
        <v>85</v>
      </c>
      <c r="G73" s="6">
        <v>80</v>
      </c>
      <c r="H73" s="6">
        <v>80</v>
      </c>
      <c r="I73" s="6">
        <v>80</v>
      </c>
      <c r="J73" s="6">
        <v>80</v>
      </c>
      <c r="K73" s="6">
        <v>75</v>
      </c>
      <c r="L73" s="6">
        <v>77</v>
      </c>
      <c r="M73" s="6">
        <v>65</v>
      </c>
      <c r="N73" s="6">
        <v>65</v>
      </c>
      <c r="O73" s="6">
        <v>65</v>
      </c>
      <c r="P73" s="6">
        <v>70</v>
      </c>
      <c r="Q73" s="6">
        <v>70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X73">
        <f ca="1">IF(V73=0,0,OFFSET(CreditMetrics!$B$474,MATCH(RAND(),OFFSET(CreditMetrics!$C$474,1,MATCH(BDClientes!V73,CreditMetrics!$B$475:$B$491,0),COUNT(CreditMetrics!$B$475:$B$491),1),1),0,1,1))</f>
        <v>0</v>
      </c>
      <c r="Z73" s="79"/>
    </row>
    <row r="74" spans="1:26" x14ac:dyDescent="0.25">
      <c r="A74" s="4">
        <v>73</v>
      </c>
      <c r="B74" s="5" t="s">
        <v>75</v>
      </c>
      <c r="C74" s="6">
        <v>75</v>
      </c>
      <c r="D74" s="6">
        <v>77</v>
      </c>
      <c r="E74" s="6">
        <v>85</v>
      </c>
      <c r="F74" s="6">
        <v>85</v>
      </c>
      <c r="G74" s="6">
        <v>87</v>
      </c>
      <c r="H74" s="6">
        <v>85</v>
      </c>
      <c r="I74" s="6">
        <v>85</v>
      </c>
      <c r="J74" s="6">
        <v>0</v>
      </c>
      <c r="K74" s="6">
        <v>0</v>
      </c>
      <c r="L74" s="6">
        <v>85</v>
      </c>
      <c r="M74" s="6">
        <v>83</v>
      </c>
      <c r="N74" s="6">
        <v>85</v>
      </c>
      <c r="O74" s="6">
        <v>0</v>
      </c>
      <c r="P74" s="6">
        <v>85</v>
      </c>
      <c r="Q74" s="6">
        <v>85</v>
      </c>
      <c r="R74" s="6">
        <v>85</v>
      </c>
      <c r="S74" s="6">
        <v>85</v>
      </c>
      <c r="T74" s="6">
        <v>0</v>
      </c>
      <c r="U74" s="6">
        <v>0</v>
      </c>
      <c r="V74" s="6">
        <v>0</v>
      </c>
      <c r="X74">
        <f ca="1">IF(V74=0,0,OFFSET(CreditMetrics!$B$474,MATCH(RAND(),OFFSET(CreditMetrics!$C$474,1,MATCH(BDClientes!V74,CreditMetrics!$B$475:$B$491,0),COUNT(CreditMetrics!$B$475:$B$491),1),1),0,1,1))</f>
        <v>0</v>
      </c>
      <c r="Z74" s="79"/>
    </row>
    <row r="75" spans="1:26" x14ac:dyDescent="0.25">
      <c r="A75" s="4">
        <v>74</v>
      </c>
      <c r="B75" s="5" t="s">
        <v>76</v>
      </c>
      <c r="C75" s="6">
        <v>80</v>
      </c>
      <c r="D75" s="6">
        <v>85</v>
      </c>
      <c r="E75" s="6">
        <v>83</v>
      </c>
      <c r="F75" s="6">
        <v>80</v>
      </c>
      <c r="G75" s="6">
        <v>80</v>
      </c>
      <c r="H75" s="6">
        <v>85</v>
      </c>
      <c r="I75" s="6">
        <v>83</v>
      </c>
      <c r="J75" s="6">
        <v>83</v>
      </c>
      <c r="K75" s="6">
        <v>83</v>
      </c>
      <c r="L75" s="6">
        <v>83</v>
      </c>
      <c r="M75" s="6">
        <v>83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X75">
        <f ca="1">IF(V75=0,0,OFFSET(CreditMetrics!$B$474,MATCH(RAND(),OFFSET(CreditMetrics!$C$474,1,MATCH(BDClientes!V75,CreditMetrics!$B$475:$B$491,0),COUNT(CreditMetrics!$B$475:$B$491),1),1),0,1,1))</f>
        <v>0</v>
      </c>
      <c r="Z75" s="79"/>
    </row>
    <row r="76" spans="1:26" x14ac:dyDescent="0.25">
      <c r="A76" s="4">
        <v>75</v>
      </c>
      <c r="B76" s="5" t="s">
        <v>77</v>
      </c>
      <c r="C76" s="6">
        <v>77</v>
      </c>
      <c r="D76" s="6">
        <v>85</v>
      </c>
      <c r="E76" s="6">
        <v>80</v>
      </c>
      <c r="F76" s="6">
        <v>80</v>
      </c>
      <c r="G76" s="6">
        <v>75</v>
      </c>
      <c r="H76" s="6">
        <v>83</v>
      </c>
      <c r="I76" s="6">
        <v>77</v>
      </c>
      <c r="J76" s="6">
        <v>77</v>
      </c>
      <c r="K76" s="6">
        <v>85</v>
      </c>
      <c r="L76" s="6">
        <v>85</v>
      </c>
      <c r="M76" s="6">
        <v>85</v>
      </c>
      <c r="N76" s="6">
        <v>83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X76">
        <f ca="1">IF(V76=0,0,OFFSET(CreditMetrics!$B$474,MATCH(RAND(),OFFSET(CreditMetrics!$C$474,1,MATCH(BDClientes!V76,CreditMetrics!$B$475:$B$491,0),COUNT(CreditMetrics!$B$475:$B$491),1),1),0,1,1))</f>
        <v>0</v>
      </c>
      <c r="Z76" s="79"/>
    </row>
    <row r="77" spans="1:26" x14ac:dyDescent="0.25">
      <c r="A77" s="4">
        <v>76</v>
      </c>
      <c r="B77" s="5" t="s">
        <v>78</v>
      </c>
      <c r="C77" s="6">
        <v>73</v>
      </c>
      <c r="D77" s="6">
        <v>73</v>
      </c>
      <c r="E77" s="6">
        <v>65</v>
      </c>
      <c r="F77" s="6">
        <v>65</v>
      </c>
      <c r="G77" s="6">
        <v>65</v>
      </c>
      <c r="H77" s="6">
        <v>65</v>
      </c>
      <c r="I77" s="6">
        <v>65</v>
      </c>
      <c r="J77" s="6">
        <v>65</v>
      </c>
      <c r="K77" s="6">
        <v>65</v>
      </c>
      <c r="L77" s="6">
        <v>60</v>
      </c>
      <c r="M77" s="6">
        <v>60</v>
      </c>
      <c r="N77" s="6">
        <v>65</v>
      </c>
      <c r="O77" s="6">
        <v>60</v>
      </c>
      <c r="P77" s="6">
        <v>65</v>
      </c>
      <c r="Q77" s="6">
        <v>65</v>
      </c>
      <c r="R77" s="6">
        <v>65</v>
      </c>
      <c r="S77" s="6">
        <v>65</v>
      </c>
      <c r="T77" s="6">
        <v>65</v>
      </c>
      <c r="U77" s="6">
        <v>0</v>
      </c>
      <c r="V77" s="6">
        <v>0</v>
      </c>
      <c r="X77">
        <f ca="1">IF(V77=0,0,OFFSET(CreditMetrics!$B$474,MATCH(RAND(),OFFSET(CreditMetrics!$C$474,1,MATCH(BDClientes!V77,CreditMetrics!$B$475:$B$491,0),COUNT(CreditMetrics!$B$475:$B$491),1),1),0,1,1))</f>
        <v>0</v>
      </c>
      <c r="Z77" s="79"/>
    </row>
    <row r="78" spans="1:26" x14ac:dyDescent="0.25">
      <c r="A78" s="4">
        <v>77</v>
      </c>
      <c r="B78" s="5" t="s">
        <v>79</v>
      </c>
      <c r="C78" s="6">
        <v>77</v>
      </c>
      <c r="D78" s="6">
        <v>77</v>
      </c>
      <c r="E78" s="6">
        <v>40</v>
      </c>
      <c r="F78" s="6">
        <v>40</v>
      </c>
      <c r="G78" s="6">
        <v>80</v>
      </c>
      <c r="H78" s="6">
        <v>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X78">
        <f ca="1">IF(V78=0,0,OFFSET(CreditMetrics!$B$474,MATCH(RAND(),OFFSET(CreditMetrics!$C$474,1,MATCH(BDClientes!V78,CreditMetrics!$B$475:$B$491,0),COUNT(CreditMetrics!$B$475:$B$491),1),1),0,1,1))</f>
        <v>0</v>
      </c>
      <c r="Z78" s="79"/>
    </row>
    <row r="79" spans="1:26" x14ac:dyDescent="0.25">
      <c r="A79" s="4">
        <v>78</v>
      </c>
      <c r="B79" s="5" t="s">
        <v>80</v>
      </c>
      <c r="C79" s="6">
        <v>85</v>
      </c>
      <c r="D79" s="6">
        <v>77</v>
      </c>
      <c r="E79" s="6">
        <v>40</v>
      </c>
      <c r="F79" s="6">
        <v>40</v>
      </c>
      <c r="G79" s="6">
        <v>83</v>
      </c>
      <c r="H79" s="6">
        <v>83</v>
      </c>
      <c r="I79" s="6">
        <v>83</v>
      </c>
      <c r="J79" s="6">
        <v>85</v>
      </c>
      <c r="K79" s="6">
        <v>83</v>
      </c>
      <c r="L79" s="6">
        <v>73</v>
      </c>
      <c r="M79" s="6">
        <v>70</v>
      </c>
      <c r="N79" s="6">
        <v>77</v>
      </c>
      <c r="O79" s="6">
        <v>73</v>
      </c>
      <c r="P79" s="6">
        <v>70</v>
      </c>
      <c r="Q79" s="6">
        <v>80</v>
      </c>
      <c r="R79" s="6">
        <v>80</v>
      </c>
      <c r="S79" s="6">
        <v>80</v>
      </c>
      <c r="T79" s="6">
        <v>80</v>
      </c>
      <c r="U79" s="6">
        <v>83</v>
      </c>
      <c r="V79" s="6">
        <v>85</v>
      </c>
      <c r="W79" s="138">
        <v>149749.44895712353</v>
      </c>
      <c r="X79">
        <f ca="1">IF(V79=0,0,OFFSET(CreditMetrics!$B$474,MATCH(RAND(),OFFSET(CreditMetrics!$C$474,1,MATCH(BDClientes!V79,CreditMetrics!$B$475:$B$491,0),COUNT(CreditMetrics!$B$475:$B$491),1),1),0,1,1))</f>
        <v>85</v>
      </c>
      <c r="Z79" s="79"/>
    </row>
    <row r="80" spans="1:26" x14ac:dyDescent="0.25">
      <c r="A80" s="4">
        <v>79</v>
      </c>
      <c r="B80" s="5" t="s">
        <v>81</v>
      </c>
      <c r="C80" s="6">
        <v>80</v>
      </c>
      <c r="D80" s="6">
        <v>77</v>
      </c>
      <c r="E80" s="6">
        <v>75</v>
      </c>
      <c r="F80" s="6">
        <v>75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X80">
        <f ca="1">IF(V80=0,0,OFFSET(CreditMetrics!$B$474,MATCH(RAND(),OFFSET(CreditMetrics!$C$474,1,MATCH(BDClientes!V80,CreditMetrics!$B$475:$B$491,0),COUNT(CreditMetrics!$B$475:$B$491),1),1),0,1,1))</f>
        <v>0</v>
      </c>
      <c r="Z80" s="79"/>
    </row>
    <row r="81" spans="1:26" x14ac:dyDescent="0.25">
      <c r="A81" s="4">
        <v>80</v>
      </c>
      <c r="B81" s="5" t="s">
        <v>82</v>
      </c>
      <c r="C81" s="6">
        <v>85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X81">
        <f ca="1">IF(V81=0,0,OFFSET(CreditMetrics!$B$474,MATCH(RAND(),OFFSET(CreditMetrics!$C$474,1,MATCH(BDClientes!V81,CreditMetrics!$B$475:$B$491,0),COUNT(CreditMetrics!$B$475:$B$491),1),1),0,1,1))</f>
        <v>0</v>
      </c>
      <c r="Z81" s="79"/>
    </row>
    <row r="82" spans="1:26" x14ac:dyDescent="0.25">
      <c r="A82" s="4">
        <v>81</v>
      </c>
      <c r="B82" s="5" t="s">
        <v>83</v>
      </c>
      <c r="C82" s="6">
        <v>0</v>
      </c>
      <c r="D82" s="6">
        <v>83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85</v>
      </c>
      <c r="K82" s="6">
        <v>85</v>
      </c>
      <c r="L82" s="6">
        <v>85</v>
      </c>
      <c r="M82" s="6">
        <v>85</v>
      </c>
      <c r="N82" s="6">
        <v>83</v>
      </c>
      <c r="O82" s="6">
        <v>85</v>
      </c>
      <c r="P82" s="6">
        <v>83</v>
      </c>
      <c r="Q82" s="6">
        <v>80</v>
      </c>
      <c r="R82" s="6">
        <v>83</v>
      </c>
      <c r="S82" s="6">
        <v>85</v>
      </c>
      <c r="T82" s="6">
        <v>80</v>
      </c>
      <c r="U82" s="6">
        <v>80</v>
      </c>
      <c r="V82" s="6">
        <v>80</v>
      </c>
      <c r="W82" s="138">
        <v>449223.64218166808</v>
      </c>
      <c r="X82">
        <f ca="1">IF(V82=0,0,OFFSET(CreditMetrics!$B$474,MATCH(RAND(),OFFSET(CreditMetrics!$C$474,1,MATCH(BDClientes!V82,CreditMetrics!$B$475:$B$491,0),COUNT(CreditMetrics!$B$475:$B$491),1),1),0,1,1))</f>
        <v>85</v>
      </c>
      <c r="Z82" s="79"/>
    </row>
    <row r="83" spans="1:26" x14ac:dyDescent="0.25">
      <c r="A83" s="4">
        <v>82</v>
      </c>
      <c r="B83" s="5" t="s">
        <v>84</v>
      </c>
      <c r="C83" s="6">
        <v>90</v>
      </c>
      <c r="D83" s="6">
        <v>87</v>
      </c>
      <c r="E83" s="6">
        <v>87</v>
      </c>
      <c r="F83" s="6">
        <v>87</v>
      </c>
      <c r="G83" s="6">
        <v>85</v>
      </c>
      <c r="H83" s="6">
        <v>87</v>
      </c>
      <c r="I83" s="6">
        <v>85</v>
      </c>
      <c r="J83" s="6">
        <v>83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X83">
        <f ca="1">IF(V83=0,0,OFFSET(CreditMetrics!$B$474,MATCH(RAND(),OFFSET(CreditMetrics!$C$474,1,MATCH(BDClientes!V83,CreditMetrics!$B$475:$B$491,0),COUNT(CreditMetrics!$B$475:$B$491),1),1),0,1,1))</f>
        <v>0</v>
      </c>
      <c r="Z83" s="79"/>
    </row>
    <row r="84" spans="1:26" x14ac:dyDescent="0.25">
      <c r="A84" s="4">
        <v>83</v>
      </c>
      <c r="B84" s="5" t="s">
        <v>85</v>
      </c>
      <c r="C84" s="6">
        <v>85</v>
      </c>
      <c r="D84" s="6">
        <v>85</v>
      </c>
      <c r="E84" s="6">
        <v>0</v>
      </c>
      <c r="F84" s="6">
        <v>85</v>
      </c>
      <c r="G84" s="6">
        <v>80</v>
      </c>
      <c r="H84" s="6">
        <v>83</v>
      </c>
      <c r="I84" s="6">
        <v>83</v>
      </c>
      <c r="J84" s="6">
        <v>83</v>
      </c>
      <c r="K84" s="6">
        <v>83</v>
      </c>
      <c r="L84" s="6">
        <v>85</v>
      </c>
      <c r="M84" s="6">
        <v>85</v>
      </c>
      <c r="N84" s="6">
        <v>85</v>
      </c>
      <c r="O84" s="6">
        <v>85</v>
      </c>
      <c r="P84" s="6">
        <v>85</v>
      </c>
      <c r="Q84" s="6">
        <v>85</v>
      </c>
      <c r="R84" s="6">
        <v>87</v>
      </c>
      <c r="S84" s="6">
        <v>87</v>
      </c>
      <c r="T84" s="6">
        <v>85</v>
      </c>
      <c r="U84" s="6">
        <v>87</v>
      </c>
      <c r="V84" s="6">
        <v>85</v>
      </c>
      <c r="W84" s="138">
        <v>294214.19129021076</v>
      </c>
      <c r="X84">
        <f ca="1">IF(V84=0,0,OFFSET(CreditMetrics!$B$474,MATCH(RAND(),OFFSET(CreditMetrics!$C$474,1,MATCH(BDClientes!V84,CreditMetrics!$B$475:$B$491,0),COUNT(CreditMetrics!$B$475:$B$491),1),1),0,1,1))</f>
        <v>85</v>
      </c>
      <c r="Z84" s="79"/>
    </row>
    <row r="85" spans="1:26" x14ac:dyDescent="0.25">
      <c r="A85" s="4">
        <v>84</v>
      </c>
      <c r="B85" s="5" t="s">
        <v>86</v>
      </c>
      <c r="C85" s="6">
        <v>80</v>
      </c>
      <c r="D85" s="6">
        <v>85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X85">
        <f ca="1">IF(V85=0,0,OFFSET(CreditMetrics!$B$474,MATCH(RAND(),OFFSET(CreditMetrics!$C$474,1,MATCH(BDClientes!V85,CreditMetrics!$B$475:$B$491,0),COUNT(CreditMetrics!$B$475:$B$491),1),1),0,1,1))</f>
        <v>0</v>
      </c>
      <c r="Z85" s="79"/>
    </row>
    <row r="86" spans="1:26" x14ac:dyDescent="0.25">
      <c r="A86" s="4">
        <v>85</v>
      </c>
      <c r="B86" s="5" t="s">
        <v>87</v>
      </c>
      <c r="C86" s="6">
        <v>87</v>
      </c>
      <c r="D86" s="6">
        <v>87</v>
      </c>
      <c r="E86" s="6">
        <v>83</v>
      </c>
      <c r="F86" s="6">
        <v>83</v>
      </c>
      <c r="G86" s="6">
        <v>80</v>
      </c>
      <c r="H86" s="6">
        <v>83</v>
      </c>
      <c r="I86" s="6">
        <v>83</v>
      </c>
      <c r="J86" s="6">
        <v>85</v>
      </c>
      <c r="K86" s="6">
        <v>87</v>
      </c>
      <c r="L86" s="6">
        <v>83</v>
      </c>
      <c r="M86" s="6">
        <v>85</v>
      </c>
      <c r="N86" s="6">
        <v>87</v>
      </c>
      <c r="O86" s="6">
        <v>85</v>
      </c>
      <c r="P86" s="6">
        <v>87</v>
      </c>
      <c r="Q86" s="6">
        <v>85</v>
      </c>
      <c r="R86" s="6">
        <v>85</v>
      </c>
      <c r="S86" s="6">
        <v>85</v>
      </c>
      <c r="T86" s="6">
        <v>85</v>
      </c>
      <c r="U86" s="6">
        <v>85</v>
      </c>
      <c r="V86" s="6">
        <v>85</v>
      </c>
      <c r="W86" s="138">
        <v>160468.46674951853</v>
      </c>
      <c r="X86">
        <f ca="1">IF(V86=0,0,OFFSET(CreditMetrics!$B$474,MATCH(RAND(),OFFSET(CreditMetrics!$C$474,1,MATCH(BDClientes!V86,CreditMetrics!$B$475:$B$491,0),COUNT(CreditMetrics!$B$475:$B$491),1),1),0,1,1))</f>
        <v>83</v>
      </c>
      <c r="Z86" s="79"/>
    </row>
    <row r="87" spans="1:26" x14ac:dyDescent="0.25">
      <c r="A87" s="4">
        <v>86</v>
      </c>
      <c r="B87" s="5" t="s">
        <v>88</v>
      </c>
      <c r="C87" s="6">
        <v>87</v>
      </c>
      <c r="D87" s="6">
        <v>87</v>
      </c>
      <c r="E87" s="6">
        <v>87</v>
      </c>
      <c r="F87" s="6">
        <v>87</v>
      </c>
      <c r="G87" s="6">
        <v>85</v>
      </c>
      <c r="H87" s="6">
        <v>83</v>
      </c>
      <c r="I87" s="6">
        <v>83</v>
      </c>
      <c r="J87" s="6">
        <v>80</v>
      </c>
      <c r="K87" s="6">
        <v>80</v>
      </c>
      <c r="L87" s="6">
        <v>83</v>
      </c>
      <c r="M87" s="6">
        <v>83</v>
      </c>
      <c r="N87" s="6">
        <v>83</v>
      </c>
      <c r="O87" s="6">
        <v>83</v>
      </c>
      <c r="P87" s="6">
        <v>83</v>
      </c>
      <c r="Q87" s="6">
        <v>83</v>
      </c>
      <c r="R87" s="6">
        <v>85</v>
      </c>
      <c r="S87" s="6">
        <v>85</v>
      </c>
      <c r="T87" s="6">
        <v>85</v>
      </c>
      <c r="U87" s="6">
        <v>85</v>
      </c>
      <c r="V87" s="6">
        <v>83</v>
      </c>
      <c r="W87" s="138">
        <v>191456.81810525031</v>
      </c>
      <c r="X87">
        <f ca="1">IF(V87=0,0,OFFSET(CreditMetrics!$B$474,MATCH(RAND(),OFFSET(CreditMetrics!$C$474,1,MATCH(BDClientes!V87,CreditMetrics!$B$475:$B$491,0),COUNT(CreditMetrics!$B$475:$B$491),1),1),0,1,1))</f>
        <v>83</v>
      </c>
      <c r="Z87" s="79"/>
    </row>
    <row r="88" spans="1:26" x14ac:dyDescent="0.25">
      <c r="A88" s="4">
        <v>87</v>
      </c>
      <c r="B88" s="5" t="s">
        <v>89</v>
      </c>
      <c r="C88" s="6">
        <v>0</v>
      </c>
      <c r="D88" s="6">
        <v>87</v>
      </c>
      <c r="E88" s="6">
        <v>87</v>
      </c>
      <c r="F88" s="6">
        <v>0</v>
      </c>
      <c r="G88" s="6">
        <v>0</v>
      </c>
      <c r="H88" s="6">
        <v>87</v>
      </c>
      <c r="I88" s="6">
        <v>85</v>
      </c>
      <c r="J88" s="6">
        <v>85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X88">
        <f ca="1">IF(V88=0,0,OFFSET(CreditMetrics!$B$474,MATCH(RAND(),OFFSET(CreditMetrics!$C$474,1,MATCH(BDClientes!V88,CreditMetrics!$B$475:$B$491,0),COUNT(CreditMetrics!$B$475:$B$491),1),1),0,1,1))</f>
        <v>0</v>
      </c>
      <c r="Z88" s="79"/>
    </row>
    <row r="89" spans="1:26" x14ac:dyDescent="0.25">
      <c r="A89" s="4">
        <v>88</v>
      </c>
      <c r="B89" s="5" t="s">
        <v>90</v>
      </c>
      <c r="C89" s="6">
        <v>0</v>
      </c>
      <c r="D89" s="6">
        <v>77</v>
      </c>
      <c r="E89" s="6">
        <v>75</v>
      </c>
      <c r="F89" s="6">
        <v>75</v>
      </c>
      <c r="G89" s="6">
        <v>70</v>
      </c>
      <c r="H89" s="6">
        <v>77</v>
      </c>
      <c r="I89" s="6">
        <v>60</v>
      </c>
      <c r="J89" s="6">
        <v>65</v>
      </c>
      <c r="K89" s="6">
        <v>60</v>
      </c>
      <c r="L89" s="6">
        <v>40</v>
      </c>
      <c r="M89" s="6">
        <v>40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X89">
        <f ca="1">IF(V89=0,0,OFFSET(CreditMetrics!$B$474,MATCH(RAND(),OFFSET(CreditMetrics!$C$474,1,MATCH(BDClientes!V89,CreditMetrics!$B$475:$B$491,0),COUNT(CreditMetrics!$B$475:$B$491),1),1),0,1,1))</f>
        <v>0</v>
      </c>
      <c r="Z89" s="79"/>
    </row>
    <row r="90" spans="1:26" x14ac:dyDescent="0.25">
      <c r="A90" s="4">
        <v>89</v>
      </c>
      <c r="B90" s="5" t="s">
        <v>91</v>
      </c>
      <c r="C90" s="6">
        <v>85</v>
      </c>
      <c r="D90" s="6">
        <v>85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X90">
        <f ca="1">IF(V90=0,0,OFFSET(CreditMetrics!$B$474,MATCH(RAND(),OFFSET(CreditMetrics!$C$474,1,MATCH(BDClientes!V90,CreditMetrics!$B$475:$B$491,0),COUNT(CreditMetrics!$B$475:$B$491),1),1),0,1,1))</f>
        <v>0</v>
      </c>
      <c r="Z90" s="79"/>
    </row>
    <row r="91" spans="1:26" x14ac:dyDescent="0.25">
      <c r="A91" s="4">
        <v>90</v>
      </c>
      <c r="B91" s="5" t="s">
        <v>92</v>
      </c>
      <c r="C91" s="6">
        <v>90</v>
      </c>
      <c r="D91" s="6">
        <v>85</v>
      </c>
      <c r="E91" s="6">
        <v>85</v>
      </c>
      <c r="F91" s="6">
        <v>85</v>
      </c>
      <c r="G91" s="6">
        <v>87</v>
      </c>
      <c r="H91" s="6">
        <v>85</v>
      </c>
      <c r="I91" s="6">
        <v>85</v>
      </c>
      <c r="J91" s="6">
        <v>83</v>
      </c>
      <c r="K91" s="6">
        <v>87</v>
      </c>
      <c r="L91" s="6">
        <v>75</v>
      </c>
      <c r="M91" s="6">
        <v>75</v>
      </c>
      <c r="N91" s="6">
        <v>80</v>
      </c>
      <c r="O91" s="6">
        <v>80</v>
      </c>
      <c r="P91" s="6">
        <v>83</v>
      </c>
      <c r="Q91" s="6">
        <v>83</v>
      </c>
      <c r="R91" s="6">
        <v>77</v>
      </c>
      <c r="S91" s="6">
        <v>77</v>
      </c>
      <c r="T91" s="6">
        <v>0</v>
      </c>
      <c r="U91" s="6">
        <v>0</v>
      </c>
      <c r="V91" s="6">
        <v>0</v>
      </c>
      <c r="X91">
        <f ca="1">IF(V91=0,0,OFFSET(CreditMetrics!$B$474,MATCH(RAND(),OFFSET(CreditMetrics!$C$474,1,MATCH(BDClientes!V91,CreditMetrics!$B$475:$B$491,0),COUNT(CreditMetrics!$B$475:$B$491),1),1),0,1,1))</f>
        <v>0</v>
      </c>
      <c r="Z91" s="79"/>
    </row>
    <row r="92" spans="1:26" x14ac:dyDescent="0.25">
      <c r="A92" s="4">
        <v>91</v>
      </c>
      <c r="B92" s="5" t="s">
        <v>93</v>
      </c>
      <c r="C92" s="6">
        <v>85</v>
      </c>
      <c r="D92" s="6">
        <v>0</v>
      </c>
      <c r="E92" s="6">
        <v>0</v>
      </c>
      <c r="F92" s="6">
        <v>85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X92">
        <f ca="1">IF(V92=0,0,OFFSET(CreditMetrics!$B$474,MATCH(RAND(),OFFSET(CreditMetrics!$C$474,1,MATCH(BDClientes!V92,CreditMetrics!$B$475:$B$491,0),COUNT(CreditMetrics!$B$475:$B$491),1),1),0,1,1))</f>
        <v>0</v>
      </c>
      <c r="Z92" s="79"/>
    </row>
    <row r="93" spans="1:26" x14ac:dyDescent="0.25">
      <c r="A93" s="4">
        <v>92</v>
      </c>
      <c r="B93" s="5" t="s">
        <v>94</v>
      </c>
      <c r="C93" s="6">
        <v>85</v>
      </c>
      <c r="D93" s="6">
        <v>85</v>
      </c>
      <c r="E93" s="6">
        <v>0</v>
      </c>
      <c r="F93" s="6">
        <v>0</v>
      </c>
      <c r="G93" s="6">
        <v>0</v>
      </c>
      <c r="H93" s="6">
        <v>0</v>
      </c>
      <c r="I93" s="6">
        <v>83</v>
      </c>
      <c r="J93" s="6">
        <v>83</v>
      </c>
      <c r="K93" s="6">
        <v>85</v>
      </c>
      <c r="L93" s="6">
        <v>85</v>
      </c>
      <c r="M93" s="6">
        <v>85</v>
      </c>
      <c r="N93" s="6">
        <v>85</v>
      </c>
      <c r="O93" s="6">
        <v>85</v>
      </c>
      <c r="P93" s="6">
        <v>85</v>
      </c>
      <c r="Q93" s="6">
        <v>85</v>
      </c>
      <c r="R93" s="6">
        <v>87</v>
      </c>
      <c r="S93" s="6">
        <v>0</v>
      </c>
      <c r="T93" s="6">
        <v>0</v>
      </c>
      <c r="U93" s="6">
        <v>0</v>
      </c>
      <c r="V93" s="6">
        <v>85</v>
      </c>
      <c r="W93" s="138">
        <v>155401.8730226467</v>
      </c>
      <c r="X93">
        <f ca="1">IF(V93=0,0,OFFSET(CreditMetrics!$B$474,MATCH(RAND(),OFFSET(CreditMetrics!$C$474,1,MATCH(BDClientes!V93,CreditMetrics!$B$475:$B$491,0),COUNT(CreditMetrics!$B$475:$B$491),1),1),0,1,1))</f>
        <v>85</v>
      </c>
      <c r="Z93" s="79"/>
    </row>
    <row r="94" spans="1:26" x14ac:dyDescent="0.25">
      <c r="A94" s="4">
        <v>93</v>
      </c>
      <c r="B94" s="5" t="s">
        <v>95</v>
      </c>
      <c r="C94" s="6">
        <v>87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X94">
        <f ca="1">IF(V94=0,0,OFFSET(CreditMetrics!$B$474,MATCH(RAND(),OFFSET(CreditMetrics!$C$474,1,MATCH(BDClientes!V94,CreditMetrics!$B$475:$B$491,0),COUNT(CreditMetrics!$B$475:$B$491),1),1),0,1,1))</f>
        <v>0</v>
      </c>
      <c r="Z94" s="79"/>
    </row>
    <row r="95" spans="1:26" x14ac:dyDescent="0.25">
      <c r="A95" s="4">
        <v>94</v>
      </c>
      <c r="B95" s="5" t="s">
        <v>96</v>
      </c>
      <c r="C95" s="6">
        <v>87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83</v>
      </c>
      <c r="J95" s="6">
        <v>83</v>
      </c>
      <c r="K95" s="6">
        <v>85</v>
      </c>
      <c r="L95" s="6">
        <v>85</v>
      </c>
      <c r="M95" s="6">
        <v>85</v>
      </c>
      <c r="N95" s="6">
        <v>85</v>
      </c>
      <c r="O95" s="6">
        <v>85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85</v>
      </c>
      <c r="W95" s="138">
        <v>141299.39356720445</v>
      </c>
      <c r="X95">
        <f ca="1">IF(V95=0,0,OFFSET(CreditMetrics!$B$474,MATCH(RAND(),OFFSET(CreditMetrics!$C$474,1,MATCH(BDClientes!V95,CreditMetrics!$B$475:$B$491,0),COUNT(CreditMetrics!$B$475:$B$491),1),1),0,1,1))</f>
        <v>80</v>
      </c>
      <c r="Z95" s="79"/>
    </row>
    <row r="96" spans="1:26" x14ac:dyDescent="0.25">
      <c r="A96" s="4">
        <v>95</v>
      </c>
      <c r="B96" s="5" t="s">
        <v>97</v>
      </c>
      <c r="C96" s="6">
        <v>87</v>
      </c>
      <c r="D96" s="6">
        <v>87</v>
      </c>
      <c r="E96" s="6">
        <v>0</v>
      </c>
      <c r="F96" s="6">
        <v>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X96">
        <f ca="1">IF(V96=0,0,OFFSET(CreditMetrics!$B$474,MATCH(RAND(),OFFSET(CreditMetrics!$C$474,1,MATCH(BDClientes!V96,CreditMetrics!$B$475:$B$491,0),COUNT(CreditMetrics!$B$475:$B$491),1),1),0,1,1))</f>
        <v>0</v>
      </c>
      <c r="Z96" s="79"/>
    </row>
    <row r="97" spans="1:26" x14ac:dyDescent="0.25">
      <c r="A97" s="4">
        <v>96</v>
      </c>
      <c r="B97" s="5" t="s">
        <v>98</v>
      </c>
      <c r="C97" s="6">
        <v>85</v>
      </c>
      <c r="D97" s="6">
        <v>83</v>
      </c>
      <c r="E97" s="6">
        <v>80</v>
      </c>
      <c r="F97" s="6">
        <v>80</v>
      </c>
      <c r="G97" s="6">
        <v>80</v>
      </c>
      <c r="H97" s="6">
        <v>83</v>
      </c>
      <c r="I97" s="6">
        <v>75</v>
      </c>
      <c r="J97" s="6">
        <v>75</v>
      </c>
      <c r="K97" s="6">
        <v>77</v>
      </c>
      <c r="L97" s="6">
        <v>83</v>
      </c>
      <c r="M97" s="6">
        <v>75</v>
      </c>
      <c r="N97" s="6">
        <v>77</v>
      </c>
      <c r="O97" s="6">
        <v>73</v>
      </c>
      <c r="P97" s="6">
        <v>75</v>
      </c>
      <c r="Q97" s="6">
        <v>75</v>
      </c>
      <c r="R97" s="6">
        <v>75</v>
      </c>
      <c r="S97" s="6">
        <v>77</v>
      </c>
      <c r="T97" s="6">
        <v>73</v>
      </c>
      <c r="U97" s="6">
        <v>73</v>
      </c>
      <c r="V97" s="6">
        <v>73</v>
      </c>
      <c r="W97" s="138">
        <v>151969.17234649585</v>
      </c>
      <c r="X97">
        <f ca="1">IF(V97=0,0,OFFSET(CreditMetrics!$B$474,MATCH(RAND(),OFFSET(CreditMetrics!$C$474,1,MATCH(BDClientes!V97,CreditMetrics!$B$475:$B$491,0),COUNT(CreditMetrics!$B$475:$B$491),1),1),0,1,1))</f>
        <v>73</v>
      </c>
      <c r="Z97" s="79"/>
    </row>
    <row r="98" spans="1:26" x14ac:dyDescent="0.25">
      <c r="A98" s="4">
        <v>97</v>
      </c>
      <c r="B98" s="5" t="s">
        <v>99</v>
      </c>
      <c r="C98" s="6">
        <v>83</v>
      </c>
      <c r="D98" s="6">
        <v>0</v>
      </c>
      <c r="E98" s="6">
        <v>80</v>
      </c>
      <c r="F98" s="6">
        <v>80</v>
      </c>
      <c r="G98" s="6">
        <v>80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X98">
        <f ca="1">IF(V98=0,0,OFFSET(CreditMetrics!$B$474,MATCH(RAND(),OFFSET(CreditMetrics!$C$474,1,MATCH(BDClientes!V98,CreditMetrics!$B$475:$B$491,0),COUNT(CreditMetrics!$B$475:$B$491),1),1),0,1,1))</f>
        <v>0</v>
      </c>
      <c r="Z98" s="79"/>
    </row>
    <row r="99" spans="1:26" x14ac:dyDescent="0.25">
      <c r="A99" s="4">
        <v>98</v>
      </c>
      <c r="B99" s="5" t="s">
        <v>100</v>
      </c>
      <c r="C99" s="6">
        <v>83</v>
      </c>
      <c r="D99" s="6">
        <v>80</v>
      </c>
      <c r="E99" s="6">
        <v>77</v>
      </c>
      <c r="F99" s="6">
        <v>77</v>
      </c>
      <c r="G99" s="6">
        <v>80</v>
      </c>
      <c r="H99" s="6">
        <v>83</v>
      </c>
      <c r="I99" s="6">
        <v>83</v>
      </c>
      <c r="J99" s="6">
        <v>83</v>
      </c>
      <c r="K99" s="6">
        <v>80</v>
      </c>
      <c r="L99" s="6">
        <v>80</v>
      </c>
      <c r="M99" s="6">
        <v>77</v>
      </c>
      <c r="N99" s="6">
        <v>80</v>
      </c>
      <c r="O99" s="6">
        <v>83</v>
      </c>
      <c r="P99" s="6">
        <v>83</v>
      </c>
      <c r="Q99" s="6">
        <v>83</v>
      </c>
      <c r="R99" s="6">
        <v>83</v>
      </c>
      <c r="S99" s="6">
        <v>83</v>
      </c>
      <c r="T99" s="6">
        <v>80</v>
      </c>
      <c r="U99" s="6">
        <v>77</v>
      </c>
      <c r="V99" s="6">
        <v>75</v>
      </c>
      <c r="W99" s="138">
        <v>174530.76822260747</v>
      </c>
      <c r="X99">
        <f ca="1">IF(V99=0,0,OFFSET(CreditMetrics!$B$474,MATCH(RAND(),OFFSET(CreditMetrics!$C$474,1,MATCH(BDClientes!V99,CreditMetrics!$B$475:$B$491,0),COUNT(CreditMetrics!$B$475:$B$491),1),1),0,1,1))</f>
        <v>73</v>
      </c>
      <c r="Z99" s="79"/>
    </row>
    <row r="100" spans="1:26" x14ac:dyDescent="0.25">
      <c r="A100" s="4">
        <v>99</v>
      </c>
      <c r="B100" s="5" t="s">
        <v>101</v>
      </c>
      <c r="C100" s="6">
        <v>0</v>
      </c>
      <c r="D100" s="6">
        <v>65</v>
      </c>
      <c r="E100" s="6">
        <v>70</v>
      </c>
      <c r="F100" s="6">
        <v>65</v>
      </c>
      <c r="G100" s="6">
        <v>22</v>
      </c>
      <c r="H100" s="6">
        <v>22</v>
      </c>
      <c r="I100" s="6">
        <v>22</v>
      </c>
      <c r="J100" s="6">
        <v>22</v>
      </c>
      <c r="K100" s="6">
        <v>22</v>
      </c>
      <c r="L100" s="6">
        <v>22</v>
      </c>
      <c r="M100" s="6">
        <v>22</v>
      </c>
      <c r="N100" s="6">
        <v>22</v>
      </c>
      <c r="O100" s="6">
        <v>22</v>
      </c>
      <c r="P100" s="6">
        <v>22</v>
      </c>
      <c r="Q100" s="6">
        <v>22</v>
      </c>
      <c r="R100" s="6">
        <v>22</v>
      </c>
      <c r="S100" s="6">
        <v>22</v>
      </c>
      <c r="T100" s="6">
        <v>22</v>
      </c>
      <c r="U100" s="6">
        <v>22</v>
      </c>
      <c r="V100" s="6">
        <v>22</v>
      </c>
      <c r="W100" s="138">
        <v>612176.49915642117</v>
      </c>
      <c r="X100">
        <f ca="1">IF(V100=0,0,OFFSET(CreditMetrics!$B$474,MATCH(RAND(),OFFSET(CreditMetrics!$C$474,1,MATCH(BDClientes!V100,CreditMetrics!$B$475:$B$491,0),COUNT(CreditMetrics!$B$475:$B$491),1),1),0,1,1))</f>
        <v>22</v>
      </c>
      <c r="Z100" s="79"/>
    </row>
    <row r="101" spans="1:26" x14ac:dyDescent="0.25">
      <c r="A101" s="4">
        <v>100</v>
      </c>
      <c r="B101" s="5" t="s">
        <v>102</v>
      </c>
      <c r="C101" s="6">
        <v>0</v>
      </c>
      <c r="D101" s="6">
        <v>0</v>
      </c>
      <c r="E101" s="6">
        <v>0</v>
      </c>
      <c r="F101" s="6">
        <v>0</v>
      </c>
      <c r="G101" s="6">
        <v>83</v>
      </c>
      <c r="H101" s="6">
        <v>85</v>
      </c>
      <c r="I101" s="6">
        <v>85</v>
      </c>
      <c r="J101" s="6">
        <v>85</v>
      </c>
      <c r="K101" s="6">
        <v>83</v>
      </c>
      <c r="L101" s="6">
        <v>85</v>
      </c>
      <c r="M101" s="6">
        <v>85</v>
      </c>
      <c r="N101" s="6">
        <v>85</v>
      </c>
      <c r="O101" s="6">
        <v>83</v>
      </c>
      <c r="P101" s="6">
        <v>85</v>
      </c>
      <c r="Q101" s="6">
        <v>85</v>
      </c>
      <c r="R101" s="6">
        <v>87</v>
      </c>
      <c r="S101" s="6">
        <v>85</v>
      </c>
      <c r="T101" s="6">
        <v>85</v>
      </c>
      <c r="U101" s="6">
        <v>85</v>
      </c>
      <c r="V101" s="6">
        <v>83</v>
      </c>
      <c r="W101" s="138">
        <v>109662.53083970392</v>
      </c>
      <c r="X101">
        <f ca="1">IF(V101=0,0,OFFSET(CreditMetrics!$B$474,MATCH(RAND(),OFFSET(CreditMetrics!$C$474,1,MATCH(BDClientes!V101,CreditMetrics!$B$475:$B$491,0),COUNT(CreditMetrics!$B$475:$B$491),1),1),0,1,1))</f>
        <v>83</v>
      </c>
      <c r="Z101" s="79"/>
    </row>
    <row r="102" spans="1:26" x14ac:dyDescent="0.25">
      <c r="A102" s="4">
        <v>101</v>
      </c>
      <c r="B102" s="5" t="s">
        <v>103</v>
      </c>
      <c r="C102" s="6">
        <v>85</v>
      </c>
      <c r="D102" s="6">
        <v>85</v>
      </c>
      <c r="E102" s="6">
        <v>83</v>
      </c>
      <c r="F102" s="6">
        <v>83</v>
      </c>
      <c r="G102" s="6">
        <v>77</v>
      </c>
      <c r="H102" s="6">
        <v>75</v>
      </c>
      <c r="I102" s="6">
        <v>77</v>
      </c>
      <c r="J102" s="6">
        <v>70</v>
      </c>
      <c r="K102" s="6">
        <v>65</v>
      </c>
      <c r="L102" s="6">
        <v>70</v>
      </c>
      <c r="M102" s="6">
        <v>77</v>
      </c>
      <c r="N102" s="6">
        <v>0</v>
      </c>
      <c r="O102" s="6">
        <v>80</v>
      </c>
      <c r="P102" s="6">
        <v>73</v>
      </c>
      <c r="Q102" s="6">
        <v>73</v>
      </c>
      <c r="R102" s="6">
        <v>75</v>
      </c>
      <c r="S102" s="6">
        <v>75</v>
      </c>
      <c r="T102" s="6">
        <v>73</v>
      </c>
      <c r="U102" s="6">
        <v>75</v>
      </c>
      <c r="V102" s="6">
        <v>73</v>
      </c>
      <c r="W102" s="138">
        <v>455299.96665969631</v>
      </c>
      <c r="X102">
        <f ca="1">IF(V102=0,0,OFFSET(CreditMetrics!$B$474,MATCH(RAND(),OFFSET(CreditMetrics!$C$474,1,MATCH(BDClientes!V102,CreditMetrics!$B$475:$B$491,0),COUNT(CreditMetrics!$B$475:$B$491),1),1),0,1,1))</f>
        <v>73</v>
      </c>
      <c r="Z102" s="79"/>
    </row>
    <row r="103" spans="1:26" x14ac:dyDescent="0.25">
      <c r="A103" s="4">
        <v>102</v>
      </c>
      <c r="B103" s="5" t="s">
        <v>104</v>
      </c>
      <c r="C103" s="6">
        <v>87</v>
      </c>
      <c r="D103" s="6">
        <v>0</v>
      </c>
      <c r="E103" s="6">
        <v>87</v>
      </c>
      <c r="F103" s="6">
        <v>87</v>
      </c>
      <c r="G103" s="6">
        <v>87</v>
      </c>
      <c r="H103" s="6">
        <v>85</v>
      </c>
      <c r="I103" s="6">
        <v>87</v>
      </c>
      <c r="J103" s="6">
        <v>90</v>
      </c>
      <c r="K103" s="6">
        <v>87</v>
      </c>
      <c r="L103" s="6">
        <v>85</v>
      </c>
      <c r="M103" s="6">
        <v>85</v>
      </c>
      <c r="N103" s="6">
        <v>85</v>
      </c>
      <c r="O103" s="6">
        <v>85</v>
      </c>
      <c r="P103" s="6">
        <v>85</v>
      </c>
      <c r="Q103" s="6">
        <v>85</v>
      </c>
      <c r="R103" s="6">
        <v>85</v>
      </c>
      <c r="S103" s="6">
        <v>85</v>
      </c>
      <c r="T103" s="6">
        <v>85</v>
      </c>
      <c r="U103" s="6">
        <v>85</v>
      </c>
      <c r="V103" s="6">
        <v>85</v>
      </c>
      <c r="W103" s="138">
        <v>158795.74166617543</v>
      </c>
      <c r="X103">
        <f ca="1">IF(V103=0,0,OFFSET(CreditMetrics!$B$474,MATCH(RAND(),OFFSET(CreditMetrics!$C$474,1,MATCH(BDClientes!V103,CreditMetrics!$B$475:$B$491,0),COUNT(CreditMetrics!$B$475:$B$491),1),1),0,1,1))</f>
        <v>83</v>
      </c>
      <c r="Z103" s="79"/>
    </row>
    <row r="104" spans="1:26" x14ac:dyDescent="0.25">
      <c r="A104" s="4">
        <v>103</v>
      </c>
      <c r="B104" s="5" t="s">
        <v>105</v>
      </c>
      <c r="C104" s="6">
        <v>77</v>
      </c>
      <c r="D104" s="6">
        <v>85</v>
      </c>
      <c r="E104" s="6">
        <v>83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X104">
        <f ca="1">IF(V104=0,0,OFFSET(CreditMetrics!$B$474,MATCH(RAND(),OFFSET(CreditMetrics!$C$474,1,MATCH(BDClientes!V104,CreditMetrics!$B$475:$B$491,0),COUNT(CreditMetrics!$B$475:$B$491),1),1),0,1,1))</f>
        <v>0</v>
      </c>
      <c r="Z104" s="79"/>
    </row>
    <row r="105" spans="1:26" x14ac:dyDescent="0.25">
      <c r="A105" s="4">
        <v>104</v>
      </c>
      <c r="B105" s="5" t="s">
        <v>106</v>
      </c>
      <c r="C105" s="6">
        <v>70</v>
      </c>
      <c r="D105" s="6">
        <v>65</v>
      </c>
      <c r="E105" s="6">
        <v>73</v>
      </c>
      <c r="F105" s="6">
        <v>73</v>
      </c>
      <c r="G105" s="6">
        <v>73</v>
      </c>
      <c r="H105" s="6">
        <v>65</v>
      </c>
      <c r="I105" s="6">
        <v>65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X105">
        <f ca="1">IF(V105=0,0,OFFSET(CreditMetrics!$B$474,MATCH(RAND(),OFFSET(CreditMetrics!$C$474,1,MATCH(BDClientes!V105,CreditMetrics!$B$475:$B$491,0),COUNT(CreditMetrics!$B$475:$B$491),1),1),0,1,1))</f>
        <v>0</v>
      </c>
      <c r="Z105" s="79"/>
    </row>
    <row r="106" spans="1:26" x14ac:dyDescent="0.25">
      <c r="A106" s="4">
        <v>105</v>
      </c>
      <c r="B106" s="5" t="s">
        <v>107</v>
      </c>
      <c r="C106" s="6">
        <v>85</v>
      </c>
      <c r="D106" s="6">
        <v>83</v>
      </c>
      <c r="E106" s="6">
        <v>83</v>
      </c>
      <c r="F106" s="6">
        <v>83</v>
      </c>
      <c r="G106" s="6">
        <v>83</v>
      </c>
      <c r="H106" s="6">
        <v>83</v>
      </c>
      <c r="I106" s="6">
        <v>83</v>
      </c>
      <c r="J106" s="6">
        <v>85</v>
      </c>
      <c r="K106" s="6">
        <v>85</v>
      </c>
      <c r="L106" s="6">
        <v>77</v>
      </c>
      <c r="M106" s="6">
        <v>77</v>
      </c>
      <c r="N106" s="6">
        <v>77</v>
      </c>
      <c r="O106" s="6">
        <v>77</v>
      </c>
      <c r="P106" s="6">
        <v>77</v>
      </c>
      <c r="Q106" s="6">
        <v>77</v>
      </c>
      <c r="R106" s="6">
        <v>83</v>
      </c>
      <c r="S106" s="6">
        <v>80</v>
      </c>
      <c r="T106" s="6">
        <v>83</v>
      </c>
      <c r="U106" s="6">
        <v>83</v>
      </c>
      <c r="V106" s="6">
        <v>80</v>
      </c>
      <c r="W106" s="138">
        <v>932913.6459439185</v>
      </c>
      <c r="X106">
        <f ca="1">IF(V106=0,0,OFFSET(CreditMetrics!$B$474,MATCH(RAND(),OFFSET(CreditMetrics!$C$474,1,MATCH(BDClientes!V106,CreditMetrics!$B$475:$B$491,0),COUNT(CreditMetrics!$B$475:$B$491),1),1),0,1,1))</f>
        <v>83</v>
      </c>
      <c r="Z106" s="79"/>
    </row>
    <row r="107" spans="1:26" x14ac:dyDescent="0.25">
      <c r="A107" s="4">
        <v>106</v>
      </c>
      <c r="B107" s="5" t="s">
        <v>108</v>
      </c>
      <c r="C107" s="6">
        <v>87</v>
      </c>
      <c r="D107" s="6">
        <v>87</v>
      </c>
      <c r="E107" s="6">
        <v>85</v>
      </c>
      <c r="F107" s="6">
        <v>85</v>
      </c>
      <c r="G107" s="6">
        <v>83</v>
      </c>
      <c r="H107" s="6">
        <v>85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X107">
        <f ca="1">IF(V107=0,0,OFFSET(CreditMetrics!$B$474,MATCH(RAND(),OFFSET(CreditMetrics!$C$474,1,MATCH(BDClientes!V107,CreditMetrics!$B$475:$B$491,0),COUNT(CreditMetrics!$B$475:$B$491),1),1),0,1,1))</f>
        <v>0</v>
      </c>
      <c r="Z107" s="79"/>
    </row>
    <row r="108" spans="1:26" x14ac:dyDescent="0.25">
      <c r="A108" s="4">
        <v>107</v>
      </c>
      <c r="B108" s="5" t="s">
        <v>109</v>
      </c>
      <c r="C108" s="6">
        <v>87</v>
      </c>
      <c r="D108" s="6">
        <v>87</v>
      </c>
      <c r="E108" s="6">
        <v>85</v>
      </c>
      <c r="F108" s="6">
        <v>85</v>
      </c>
      <c r="G108" s="6">
        <v>77</v>
      </c>
      <c r="H108" s="6">
        <v>85</v>
      </c>
      <c r="I108" s="6">
        <v>85</v>
      </c>
      <c r="J108" s="6">
        <v>85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X108">
        <f ca="1">IF(V108=0,0,OFFSET(CreditMetrics!$B$474,MATCH(RAND(),OFFSET(CreditMetrics!$C$474,1,MATCH(BDClientes!V108,CreditMetrics!$B$475:$B$491,0),COUNT(CreditMetrics!$B$475:$B$491),1),1),0,1,1))</f>
        <v>0</v>
      </c>
      <c r="Z108" s="79"/>
    </row>
    <row r="109" spans="1:26" x14ac:dyDescent="0.25">
      <c r="A109" s="4">
        <v>108</v>
      </c>
      <c r="B109" s="5" t="s">
        <v>110</v>
      </c>
      <c r="C109" s="6">
        <v>0</v>
      </c>
      <c r="D109" s="6">
        <v>87</v>
      </c>
      <c r="E109" s="6">
        <v>85</v>
      </c>
      <c r="F109" s="6">
        <v>85</v>
      </c>
      <c r="G109" s="6">
        <v>85</v>
      </c>
      <c r="H109" s="6">
        <v>87</v>
      </c>
      <c r="I109" s="6">
        <v>87</v>
      </c>
      <c r="J109" s="6">
        <v>0</v>
      </c>
      <c r="K109" s="6">
        <v>0</v>
      </c>
      <c r="L109" s="6">
        <v>85</v>
      </c>
      <c r="M109" s="6">
        <v>85</v>
      </c>
      <c r="N109" s="6">
        <v>83</v>
      </c>
      <c r="O109" s="6">
        <v>83</v>
      </c>
      <c r="P109" s="6">
        <v>83</v>
      </c>
      <c r="Q109" s="6">
        <v>83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X109">
        <f ca="1">IF(V109=0,0,OFFSET(CreditMetrics!$B$474,MATCH(RAND(),OFFSET(CreditMetrics!$C$474,1,MATCH(BDClientes!V109,CreditMetrics!$B$475:$B$491,0),COUNT(CreditMetrics!$B$475:$B$491),1),1),0,1,1))</f>
        <v>0</v>
      </c>
      <c r="Z109" s="79"/>
    </row>
    <row r="110" spans="1:26" x14ac:dyDescent="0.25">
      <c r="A110" s="4">
        <v>109</v>
      </c>
      <c r="B110" s="5" t="s">
        <v>111</v>
      </c>
      <c r="C110" s="6">
        <v>83</v>
      </c>
      <c r="D110" s="6">
        <v>80</v>
      </c>
      <c r="E110" s="6">
        <v>83</v>
      </c>
      <c r="F110" s="6">
        <v>83</v>
      </c>
      <c r="G110" s="6">
        <v>77</v>
      </c>
      <c r="H110" s="6">
        <v>80</v>
      </c>
      <c r="I110" s="6">
        <v>80</v>
      </c>
      <c r="J110" s="6">
        <v>80</v>
      </c>
      <c r="K110" s="6">
        <v>83</v>
      </c>
      <c r="L110" s="6">
        <v>80</v>
      </c>
      <c r="M110" s="6">
        <v>77</v>
      </c>
      <c r="N110" s="6">
        <v>75</v>
      </c>
      <c r="O110" s="6">
        <v>75</v>
      </c>
      <c r="P110" s="6">
        <v>83</v>
      </c>
      <c r="Q110" s="6">
        <v>83</v>
      </c>
      <c r="R110" s="6">
        <v>80</v>
      </c>
      <c r="S110" s="6">
        <v>80</v>
      </c>
      <c r="T110" s="6">
        <v>0</v>
      </c>
      <c r="U110" s="6">
        <v>80</v>
      </c>
      <c r="V110" s="6">
        <v>77</v>
      </c>
      <c r="W110" s="138">
        <v>133596.58708600831</v>
      </c>
      <c r="X110">
        <f ca="1">IF(V110=0,0,OFFSET(CreditMetrics!$B$474,MATCH(RAND(),OFFSET(CreditMetrics!$C$474,1,MATCH(BDClientes!V110,CreditMetrics!$B$475:$B$491,0),COUNT(CreditMetrics!$B$475:$B$491),1),1),0,1,1))</f>
        <v>77</v>
      </c>
      <c r="Z110" s="79"/>
    </row>
    <row r="111" spans="1:26" x14ac:dyDescent="0.25">
      <c r="A111" s="4">
        <v>110</v>
      </c>
      <c r="B111" s="5" t="s">
        <v>112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85</v>
      </c>
      <c r="I111" s="6">
        <v>85</v>
      </c>
      <c r="J111" s="6">
        <v>85</v>
      </c>
      <c r="K111" s="6">
        <v>85</v>
      </c>
      <c r="L111" s="6">
        <v>85</v>
      </c>
      <c r="M111" s="6">
        <v>85</v>
      </c>
      <c r="N111" s="6">
        <v>85</v>
      </c>
      <c r="O111" s="6">
        <v>87</v>
      </c>
      <c r="P111" s="6">
        <v>0</v>
      </c>
      <c r="Q111" s="6">
        <v>0</v>
      </c>
      <c r="R111" s="6">
        <v>87</v>
      </c>
      <c r="S111" s="6">
        <v>0</v>
      </c>
      <c r="T111" s="6">
        <v>0</v>
      </c>
      <c r="U111" s="6">
        <v>0</v>
      </c>
      <c r="V111" s="6">
        <v>0</v>
      </c>
      <c r="X111">
        <f ca="1">IF(V111=0,0,OFFSET(CreditMetrics!$B$474,MATCH(RAND(),OFFSET(CreditMetrics!$C$474,1,MATCH(BDClientes!V111,CreditMetrics!$B$475:$B$491,0),COUNT(CreditMetrics!$B$475:$B$491),1),1),0,1,1))</f>
        <v>0</v>
      </c>
      <c r="Z111" s="79"/>
    </row>
    <row r="112" spans="1:26" x14ac:dyDescent="0.25">
      <c r="A112" s="4">
        <v>111</v>
      </c>
      <c r="B112" s="5" t="s">
        <v>113</v>
      </c>
      <c r="C112" s="6">
        <v>87</v>
      </c>
      <c r="D112" s="6">
        <v>0</v>
      </c>
      <c r="E112" s="6">
        <v>0</v>
      </c>
      <c r="F112" s="6">
        <v>83</v>
      </c>
      <c r="G112" s="6">
        <v>83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X112">
        <f ca="1">IF(V112=0,0,OFFSET(CreditMetrics!$B$474,MATCH(RAND(),OFFSET(CreditMetrics!$C$474,1,MATCH(BDClientes!V112,CreditMetrics!$B$475:$B$491,0),COUNT(CreditMetrics!$B$475:$B$491),1),1),0,1,1))</f>
        <v>0</v>
      </c>
      <c r="Z112" s="79"/>
    </row>
    <row r="113" spans="1:26" x14ac:dyDescent="0.25">
      <c r="A113" s="4">
        <v>112</v>
      </c>
      <c r="B113" s="5" t="s">
        <v>114</v>
      </c>
      <c r="C113" s="6">
        <v>85</v>
      </c>
      <c r="D113" s="6">
        <v>83</v>
      </c>
      <c r="E113" s="6">
        <v>83</v>
      </c>
      <c r="F113" s="6">
        <v>83</v>
      </c>
      <c r="G113" s="6">
        <v>83</v>
      </c>
      <c r="H113" s="6">
        <v>83</v>
      </c>
      <c r="I113" s="6">
        <v>80</v>
      </c>
      <c r="J113" s="6">
        <v>77</v>
      </c>
      <c r="K113" s="6">
        <v>83</v>
      </c>
      <c r="L113" s="6">
        <v>83</v>
      </c>
      <c r="M113" s="6">
        <v>80</v>
      </c>
      <c r="N113" s="6">
        <v>80</v>
      </c>
      <c r="O113" s="6">
        <v>80</v>
      </c>
      <c r="P113" s="6">
        <v>83</v>
      </c>
      <c r="Q113" s="6">
        <v>83</v>
      </c>
      <c r="R113" s="6">
        <v>80</v>
      </c>
      <c r="S113" s="6">
        <v>83</v>
      </c>
      <c r="T113" s="6">
        <v>80</v>
      </c>
      <c r="U113" s="6">
        <v>80</v>
      </c>
      <c r="V113" s="6">
        <v>80</v>
      </c>
      <c r="W113" s="138">
        <v>155047.15504618458</v>
      </c>
      <c r="X113">
        <f ca="1">IF(V113=0,0,OFFSET(CreditMetrics!$B$474,MATCH(RAND(),OFFSET(CreditMetrics!$C$474,1,MATCH(BDClientes!V113,CreditMetrics!$B$475:$B$491,0),COUNT(CreditMetrics!$B$475:$B$491),1),1),0,1,1))</f>
        <v>83</v>
      </c>
      <c r="Z113" s="79"/>
    </row>
    <row r="114" spans="1:26" x14ac:dyDescent="0.25">
      <c r="A114" s="4">
        <v>113</v>
      </c>
      <c r="B114" s="5" t="s">
        <v>115</v>
      </c>
      <c r="C114" s="6">
        <v>85</v>
      </c>
      <c r="D114" s="6">
        <v>85</v>
      </c>
      <c r="E114" s="6">
        <v>80</v>
      </c>
      <c r="F114" s="6">
        <v>80</v>
      </c>
      <c r="G114" s="6">
        <v>80</v>
      </c>
      <c r="H114" s="6">
        <v>83</v>
      </c>
      <c r="I114" s="6">
        <v>83</v>
      </c>
      <c r="J114" s="6">
        <v>83</v>
      </c>
      <c r="K114" s="6">
        <v>87</v>
      </c>
      <c r="L114" s="6">
        <v>87</v>
      </c>
      <c r="M114" s="6">
        <v>85</v>
      </c>
      <c r="N114" s="6">
        <v>85</v>
      </c>
      <c r="O114" s="6">
        <v>87</v>
      </c>
      <c r="P114" s="6">
        <v>85</v>
      </c>
      <c r="Q114" s="6">
        <v>87</v>
      </c>
      <c r="R114" s="6">
        <v>85</v>
      </c>
      <c r="S114" s="6">
        <v>85</v>
      </c>
      <c r="T114" s="6">
        <v>83</v>
      </c>
      <c r="U114" s="6">
        <v>85</v>
      </c>
      <c r="V114" s="6">
        <v>85</v>
      </c>
      <c r="W114" s="138">
        <v>209184.6350835193</v>
      </c>
      <c r="X114">
        <f ca="1">IF(V114=0,0,OFFSET(CreditMetrics!$B$474,MATCH(RAND(),OFFSET(CreditMetrics!$C$474,1,MATCH(BDClientes!V114,CreditMetrics!$B$475:$B$491,0),COUNT(CreditMetrics!$B$475:$B$491),1),1),0,1,1))</f>
        <v>87</v>
      </c>
      <c r="Z114" s="79"/>
    </row>
    <row r="115" spans="1:26" x14ac:dyDescent="0.25">
      <c r="A115" s="4">
        <v>114</v>
      </c>
      <c r="B115" s="5" t="s">
        <v>116</v>
      </c>
      <c r="C115" s="6">
        <v>85</v>
      </c>
      <c r="D115" s="6">
        <v>83</v>
      </c>
      <c r="E115" s="6">
        <v>85</v>
      </c>
      <c r="F115" s="6">
        <v>0</v>
      </c>
      <c r="G115" s="6">
        <v>83</v>
      </c>
      <c r="H115" s="6">
        <v>85</v>
      </c>
      <c r="I115" s="6">
        <v>85</v>
      </c>
      <c r="J115" s="6">
        <v>85</v>
      </c>
      <c r="K115" s="6">
        <v>85</v>
      </c>
      <c r="L115" s="6">
        <v>85</v>
      </c>
      <c r="M115" s="6">
        <v>85</v>
      </c>
      <c r="N115" s="6">
        <v>83</v>
      </c>
      <c r="O115" s="6">
        <v>83</v>
      </c>
      <c r="P115" s="6">
        <v>85</v>
      </c>
      <c r="Q115" s="6">
        <v>85</v>
      </c>
      <c r="R115" s="6">
        <v>85</v>
      </c>
      <c r="S115" s="6">
        <v>85</v>
      </c>
      <c r="T115" s="6">
        <v>85</v>
      </c>
      <c r="U115" s="6">
        <v>85</v>
      </c>
      <c r="V115" s="6">
        <v>85</v>
      </c>
      <c r="W115" s="138">
        <v>155724.51197623895</v>
      </c>
      <c r="X115">
        <f ca="1">IF(V115=0,0,OFFSET(CreditMetrics!$B$474,MATCH(RAND(),OFFSET(CreditMetrics!$C$474,1,MATCH(BDClientes!V115,CreditMetrics!$B$475:$B$491,0),COUNT(CreditMetrics!$B$475:$B$491),1),1),0,1,1))</f>
        <v>80</v>
      </c>
      <c r="Z115" s="79"/>
    </row>
    <row r="116" spans="1:26" x14ac:dyDescent="0.25">
      <c r="A116" s="4">
        <v>115</v>
      </c>
      <c r="B116" s="5" t="s">
        <v>117</v>
      </c>
      <c r="C116" s="6">
        <v>80</v>
      </c>
      <c r="D116" s="6">
        <v>80</v>
      </c>
      <c r="E116" s="6">
        <v>80</v>
      </c>
      <c r="F116" s="6">
        <v>80</v>
      </c>
      <c r="G116" s="6">
        <v>80</v>
      </c>
      <c r="H116" s="6">
        <v>83</v>
      </c>
      <c r="I116" s="6">
        <v>83</v>
      </c>
      <c r="J116" s="6">
        <v>83</v>
      </c>
      <c r="K116" s="6">
        <v>80</v>
      </c>
      <c r="L116" s="6">
        <v>70</v>
      </c>
      <c r="M116" s="6">
        <v>70</v>
      </c>
      <c r="N116" s="6">
        <v>70</v>
      </c>
      <c r="O116" s="6">
        <v>73</v>
      </c>
      <c r="P116" s="6">
        <v>65</v>
      </c>
      <c r="Q116" s="6">
        <v>77</v>
      </c>
      <c r="R116" s="6">
        <v>77</v>
      </c>
      <c r="S116" s="6">
        <v>80</v>
      </c>
      <c r="T116" s="6">
        <v>83</v>
      </c>
      <c r="U116" s="6">
        <v>83</v>
      </c>
      <c r="V116" s="6">
        <v>83</v>
      </c>
      <c r="W116" s="138">
        <v>259602.54520666509</v>
      </c>
      <c r="X116">
        <f ca="1">IF(V116=0,0,OFFSET(CreditMetrics!$B$474,MATCH(RAND(),OFFSET(CreditMetrics!$C$474,1,MATCH(BDClientes!V116,CreditMetrics!$B$475:$B$491,0),COUNT(CreditMetrics!$B$475:$B$491),1),1),0,1,1))</f>
        <v>87</v>
      </c>
      <c r="Z116" s="79"/>
    </row>
    <row r="117" spans="1:26" x14ac:dyDescent="0.25">
      <c r="A117" s="4">
        <v>116</v>
      </c>
      <c r="B117" s="5" t="s">
        <v>118</v>
      </c>
      <c r="C117" s="6">
        <v>83</v>
      </c>
      <c r="D117" s="6">
        <v>77</v>
      </c>
      <c r="E117" s="6">
        <v>75</v>
      </c>
      <c r="F117" s="6">
        <v>75</v>
      </c>
      <c r="G117" s="6">
        <v>0</v>
      </c>
      <c r="H117" s="6">
        <v>77</v>
      </c>
      <c r="I117" s="6">
        <v>73</v>
      </c>
      <c r="J117" s="6">
        <v>73</v>
      </c>
      <c r="K117" s="6">
        <v>73</v>
      </c>
      <c r="L117" s="6">
        <v>73</v>
      </c>
      <c r="M117" s="6">
        <v>73</v>
      </c>
      <c r="N117" s="6">
        <v>73</v>
      </c>
      <c r="O117" s="6">
        <v>65</v>
      </c>
      <c r="P117" s="6">
        <v>77</v>
      </c>
      <c r="Q117" s="6">
        <v>70</v>
      </c>
      <c r="R117" s="6">
        <v>73</v>
      </c>
      <c r="S117" s="6">
        <v>73</v>
      </c>
      <c r="T117" s="6">
        <v>73</v>
      </c>
      <c r="U117" s="6">
        <v>73</v>
      </c>
      <c r="V117" s="6">
        <v>73</v>
      </c>
      <c r="W117" s="138">
        <v>109316.43337146545</v>
      </c>
      <c r="X117">
        <f ca="1">IF(V117=0,0,OFFSET(CreditMetrics!$B$474,MATCH(RAND(),OFFSET(CreditMetrics!$C$474,1,MATCH(BDClientes!V117,CreditMetrics!$B$475:$B$491,0),COUNT(CreditMetrics!$B$475:$B$491),1),1),0,1,1))</f>
        <v>73</v>
      </c>
      <c r="Z117" s="79"/>
    </row>
    <row r="118" spans="1:26" x14ac:dyDescent="0.25">
      <c r="A118" s="4">
        <v>117</v>
      </c>
      <c r="B118" s="5" t="s">
        <v>119</v>
      </c>
      <c r="C118" s="6">
        <v>85</v>
      </c>
      <c r="D118" s="6">
        <v>85</v>
      </c>
      <c r="E118" s="6">
        <v>83</v>
      </c>
      <c r="F118" s="6">
        <v>83</v>
      </c>
      <c r="G118" s="6">
        <v>80</v>
      </c>
      <c r="H118" s="6">
        <v>83</v>
      </c>
      <c r="I118" s="6">
        <v>83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X118">
        <f ca="1">IF(V118=0,0,OFFSET(CreditMetrics!$B$474,MATCH(RAND(),OFFSET(CreditMetrics!$C$474,1,MATCH(BDClientes!V118,CreditMetrics!$B$475:$B$491,0),COUNT(CreditMetrics!$B$475:$B$491),1),1),0,1,1))</f>
        <v>0</v>
      </c>
      <c r="Z118" s="79"/>
    </row>
    <row r="119" spans="1:26" x14ac:dyDescent="0.25">
      <c r="A119" s="4">
        <v>118</v>
      </c>
      <c r="B119" s="5" t="s">
        <v>120</v>
      </c>
      <c r="C119" s="6">
        <v>77</v>
      </c>
      <c r="D119" s="6">
        <v>85</v>
      </c>
      <c r="E119" s="6">
        <v>83</v>
      </c>
      <c r="F119" s="6">
        <v>83</v>
      </c>
      <c r="G119" s="6">
        <v>80</v>
      </c>
      <c r="H119" s="6">
        <v>77</v>
      </c>
      <c r="I119" s="6">
        <v>85</v>
      </c>
      <c r="J119" s="6">
        <v>85</v>
      </c>
      <c r="K119" s="6">
        <v>85</v>
      </c>
      <c r="L119" s="6">
        <v>85</v>
      </c>
      <c r="M119" s="6">
        <v>85</v>
      </c>
      <c r="N119" s="6">
        <v>85</v>
      </c>
      <c r="O119" s="6">
        <v>85</v>
      </c>
      <c r="P119" s="6">
        <v>83</v>
      </c>
      <c r="Q119" s="6">
        <v>83</v>
      </c>
      <c r="R119" s="6">
        <v>83</v>
      </c>
      <c r="S119" s="6">
        <v>85</v>
      </c>
      <c r="T119" s="6">
        <v>85</v>
      </c>
      <c r="U119" s="6">
        <v>85</v>
      </c>
      <c r="V119" s="6">
        <v>85</v>
      </c>
      <c r="W119" s="138">
        <v>131423.32810848366</v>
      </c>
      <c r="X119">
        <f ca="1">IF(V119=0,0,OFFSET(CreditMetrics!$B$474,MATCH(RAND(),OFFSET(CreditMetrics!$C$474,1,MATCH(BDClientes!V119,CreditMetrics!$B$475:$B$491,0),COUNT(CreditMetrics!$B$475:$B$491),1),1),0,1,1))</f>
        <v>85</v>
      </c>
      <c r="Z119" s="79"/>
    </row>
    <row r="120" spans="1:26" x14ac:dyDescent="0.25">
      <c r="A120" s="4">
        <v>119</v>
      </c>
      <c r="B120" s="5" t="s">
        <v>121</v>
      </c>
      <c r="C120" s="6">
        <v>95</v>
      </c>
      <c r="D120" s="6">
        <v>95</v>
      </c>
      <c r="E120" s="6">
        <v>90</v>
      </c>
      <c r="F120" s="6">
        <v>90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X120">
        <f ca="1">IF(V120=0,0,OFFSET(CreditMetrics!$B$474,MATCH(RAND(),OFFSET(CreditMetrics!$C$474,1,MATCH(BDClientes!V120,CreditMetrics!$B$475:$B$491,0),COUNT(CreditMetrics!$B$475:$B$491),1),1),0,1,1))</f>
        <v>0</v>
      </c>
      <c r="Z120" s="79"/>
    </row>
    <row r="121" spans="1:26" x14ac:dyDescent="0.25">
      <c r="A121" s="4">
        <v>120</v>
      </c>
      <c r="B121" s="5" t="s">
        <v>122</v>
      </c>
      <c r="C121" s="6">
        <v>85</v>
      </c>
      <c r="D121" s="6">
        <v>87</v>
      </c>
      <c r="E121" s="6">
        <v>85</v>
      </c>
      <c r="F121" s="6">
        <v>85</v>
      </c>
      <c r="G121" s="6">
        <v>83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X121">
        <f ca="1">IF(V121=0,0,OFFSET(CreditMetrics!$B$474,MATCH(RAND(),OFFSET(CreditMetrics!$C$474,1,MATCH(BDClientes!V121,CreditMetrics!$B$475:$B$491,0),COUNT(CreditMetrics!$B$475:$B$491),1),1),0,1,1))</f>
        <v>0</v>
      </c>
      <c r="Z121" s="79"/>
    </row>
    <row r="122" spans="1:26" x14ac:dyDescent="0.25">
      <c r="A122" s="4">
        <v>121</v>
      </c>
      <c r="B122" s="5" t="s">
        <v>123</v>
      </c>
      <c r="C122" s="6">
        <v>85</v>
      </c>
      <c r="D122" s="6">
        <v>85</v>
      </c>
      <c r="E122" s="6">
        <v>83</v>
      </c>
      <c r="F122" s="6">
        <v>83</v>
      </c>
      <c r="G122" s="6">
        <v>77</v>
      </c>
      <c r="H122" s="6">
        <v>77</v>
      </c>
      <c r="I122" s="6">
        <v>80</v>
      </c>
      <c r="J122" s="6">
        <v>83</v>
      </c>
      <c r="K122" s="6">
        <v>77</v>
      </c>
      <c r="L122" s="6">
        <v>80</v>
      </c>
      <c r="M122" s="6">
        <v>80</v>
      </c>
      <c r="N122" s="6">
        <v>77</v>
      </c>
      <c r="O122" s="6">
        <v>80</v>
      </c>
      <c r="P122" s="6">
        <v>83</v>
      </c>
      <c r="Q122" s="6">
        <v>77</v>
      </c>
      <c r="R122" s="6">
        <v>83</v>
      </c>
      <c r="S122" s="6">
        <v>83</v>
      </c>
      <c r="T122" s="6">
        <v>83</v>
      </c>
      <c r="U122" s="6">
        <v>80</v>
      </c>
      <c r="V122" s="6">
        <v>83</v>
      </c>
      <c r="W122" s="138">
        <v>140674.63674431006</v>
      </c>
      <c r="X122">
        <f ca="1">IF(V122=0,0,OFFSET(CreditMetrics!$B$474,MATCH(RAND(),OFFSET(CreditMetrics!$C$474,1,MATCH(BDClientes!V122,CreditMetrics!$B$475:$B$491,0),COUNT(CreditMetrics!$B$475:$B$491),1),1),0,1,1))</f>
        <v>83</v>
      </c>
      <c r="Z122" s="79"/>
    </row>
    <row r="123" spans="1:26" x14ac:dyDescent="0.25">
      <c r="A123" s="4">
        <v>122</v>
      </c>
      <c r="B123" s="5" t="s">
        <v>124</v>
      </c>
      <c r="C123" s="6">
        <v>75</v>
      </c>
      <c r="D123" s="6">
        <v>77</v>
      </c>
      <c r="E123" s="6">
        <v>77</v>
      </c>
      <c r="F123" s="6">
        <v>77</v>
      </c>
      <c r="G123" s="6">
        <v>77</v>
      </c>
      <c r="H123" s="6">
        <v>83</v>
      </c>
      <c r="I123" s="6">
        <v>83</v>
      </c>
      <c r="J123" s="6">
        <v>83</v>
      </c>
      <c r="K123" s="6">
        <v>83</v>
      </c>
      <c r="L123" s="6">
        <v>83</v>
      </c>
      <c r="M123" s="6">
        <v>83</v>
      </c>
      <c r="N123" s="6">
        <v>85</v>
      </c>
      <c r="O123" s="6">
        <v>83</v>
      </c>
      <c r="P123" s="6">
        <v>83</v>
      </c>
      <c r="Q123" s="6">
        <v>83</v>
      </c>
      <c r="R123" s="6">
        <v>85</v>
      </c>
      <c r="S123" s="6">
        <v>85</v>
      </c>
      <c r="T123" s="6">
        <v>85</v>
      </c>
      <c r="U123" s="6">
        <v>85</v>
      </c>
      <c r="V123" s="6">
        <v>85</v>
      </c>
      <c r="W123" s="138">
        <v>198727.34355967041</v>
      </c>
      <c r="X123">
        <f ca="1">IF(V123=0,0,OFFSET(CreditMetrics!$B$474,MATCH(RAND(),OFFSET(CreditMetrics!$C$474,1,MATCH(BDClientes!V123,CreditMetrics!$B$475:$B$491,0),COUNT(CreditMetrics!$B$475:$B$491),1),1),0,1,1))</f>
        <v>85</v>
      </c>
      <c r="Z123" s="79"/>
    </row>
    <row r="124" spans="1:26" x14ac:dyDescent="0.25">
      <c r="A124" s="4">
        <v>123</v>
      </c>
      <c r="B124" s="5" t="s">
        <v>125</v>
      </c>
      <c r="C124" s="6">
        <v>87</v>
      </c>
      <c r="D124" s="6">
        <v>90</v>
      </c>
      <c r="E124" s="6">
        <v>85</v>
      </c>
      <c r="F124" s="6">
        <v>85</v>
      </c>
      <c r="G124" s="6">
        <v>77</v>
      </c>
      <c r="H124" s="6">
        <v>80</v>
      </c>
      <c r="I124" s="6">
        <v>85</v>
      </c>
      <c r="J124" s="6">
        <v>85</v>
      </c>
      <c r="K124" s="6">
        <v>85</v>
      </c>
      <c r="L124" s="6">
        <v>85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X124">
        <f ca="1">IF(V124=0,0,OFFSET(CreditMetrics!$B$474,MATCH(RAND(),OFFSET(CreditMetrics!$C$474,1,MATCH(BDClientes!V124,CreditMetrics!$B$475:$B$491,0),COUNT(CreditMetrics!$B$475:$B$491),1),1),0,1,1))</f>
        <v>0</v>
      </c>
      <c r="Z124" s="79"/>
    </row>
    <row r="125" spans="1:26" x14ac:dyDescent="0.25">
      <c r="A125" s="4">
        <v>124</v>
      </c>
      <c r="B125" s="5" t="s">
        <v>126</v>
      </c>
      <c r="C125" s="6">
        <v>0</v>
      </c>
      <c r="D125" s="6">
        <v>0</v>
      </c>
      <c r="E125" s="6">
        <v>85</v>
      </c>
      <c r="F125" s="6">
        <v>85</v>
      </c>
      <c r="G125" s="6">
        <v>87</v>
      </c>
      <c r="H125" s="6">
        <v>90</v>
      </c>
      <c r="I125" s="6">
        <v>90</v>
      </c>
      <c r="J125" s="6">
        <v>90</v>
      </c>
      <c r="K125" s="6">
        <v>87</v>
      </c>
      <c r="L125" s="6">
        <v>77</v>
      </c>
      <c r="M125" s="6">
        <v>75</v>
      </c>
      <c r="N125" s="6">
        <v>77</v>
      </c>
      <c r="O125" s="6">
        <v>87</v>
      </c>
      <c r="P125" s="6">
        <v>85</v>
      </c>
      <c r="Q125" s="6">
        <v>85</v>
      </c>
      <c r="R125" s="6">
        <v>85</v>
      </c>
      <c r="S125" s="6">
        <v>85</v>
      </c>
      <c r="T125" s="6">
        <v>80</v>
      </c>
      <c r="U125" s="6">
        <v>80</v>
      </c>
      <c r="V125" s="6">
        <v>83</v>
      </c>
      <c r="W125" s="138">
        <v>114972.88205340815</v>
      </c>
      <c r="X125">
        <f ca="1">IF(V125=0,0,OFFSET(CreditMetrics!$B$474,MATCH(RAND(),OFFSET(CreditMetrics!$C$474,1,MATCH(BDClientes!V125,CreditMetrics!$B$475:$B$491,0),COUNT(CreditMetrics!$B$475:$B$491),1),1),0,1,1))</f>
        <v>83</v>
      </c>
      <c r="Z125" s="79"/>
    </row>
    <row r="126" spans="1:26" x14ac:dyDescent="0.25">
      <c r="A126" s="4">
        <v>125</v>
      </c>
      <c r="B126" s="5" t="s">
        <v>127</v>
      </c>
      <c r="C126" s="6">
        <v>87</v>
      </c>
      <c r="D126" s="6">
        <v>0</v>
      </c>
      <c r="E126" s="6">
        <v>0</v>
      </c>
      <c r="F126" s="6">
        <v>87</v>
      </c>
      <c r="G126" s="6">
        <v>0</v>
      </c>
      <c r="H126" s="6">
        <v>87</v>
      </c>
      <c r="I126" s="6">
        <v>87</v>
      </c>
      <c r="J126" s="6">
        <v>87</v>
      </c>
      <c r="K126" s="6">
        <v>0</v>
      </c>
      <c r="L126" s="6">
        <v>0</v>
      </c>
      <c r="M126" s="6">
        <v>90</v>
      </c>
      <c r="N126" s="6">
        <v>87</v>
      </c>
      <c r="O126" s="6">
        <v>90</v>
      </c>
      <c r="P126" s="6">
        <v>87</v>
      </c>
      <c r="Q126" s="6">
        <v>87</v>
      </c>
      <c r="R126" s="6">
        <v>85</v>
      </c>
      <c r="S126" s="6">
        <v>87</v>
      </c>
      <c r="T126" s="6">
        <v>87</v>
      </c>
      <c r="U126" s="6">
        <v>85</v>
      </c>
      <c r="V126" s="6">
        <v>85</v>
      </c>
      <c r="W126" s="138">
        <v>582412.58619489707</v>
      </c>
      <c r="X126">
        <f ca="1">IF(V126=0,0,OFFSET(CreditMetrics!$B$474,MATCH(RAND(),OFFSET(CreditMetrics!$C$474,1,MATCH(BDClientes!V126,CreditMetrics!$B$475:$B$491,0),COUNT(CreditMetrics!$B$475:$B$491),1),1),0,1,1))</f>
        <v>85</v>
      </c>
      <c r="Z126" s="79"/>
    </row>
    <row r="127" spans="1:26" x14ac:dyDescent="0.25">
      <c r="A127" s="4">
        <v>126</v>
      </c>
      <c r="B127" s="5" t="s">
        <v>128</v>
      </c>
      <c r="C127" s="6">
        <v>0</v>
      </c>
      <c r="D127" s="6">
        <v>70</v>
      </c>
      <c r="E127" s="6">
        <v>60</v>
      </c>
      <c r="F127" s="6">
        <v>60</v>
      </c>
      <c r="G127" s="6">
        <v>40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X127">
        <f ca="1">IF(V127=0,0,OFFSET(CreditMetrics!$B$474,MATCH(RAND(),OFFSET(CreditMetrics!$C$474,1,MATCH(BDClientes!V127,CreditMetrics!$B$475:$B$491,0),COUNT(CreditMetrics!$B$475:$B$491),1),1),0,1,1))</f>
        <v>0</v>
      </c>
      <c r="Z127" s="79"/>
    </row>
    <row r="128" spans="1:26" x14ac:dyDescent="0.25">
      <c r="A128" s="4">
        <v>127</v>
      </c>
      <c r="B128" s="5" t="s">
        <v>129</v>
      </c>
      <c r="C128" s="6">
        <v>87</v>
      </c>
      <c r="D128" s="6">
        <v>80</v>
      </c>
      <c r="E128" s="6">
        <v>87</v>
      </c>
      <c r="F128" s="6">
        <v>87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87</v>
      </c>
      <c r="M128" s="6">
        <v>90</v>
      </c>
      <c r="N128" s="6">
        <v>90</v>
      </c>
      <c r="O128" s="6">
        <v>0</v>
      </c>
      <c r="P128" s="6">
        <v>90</v>
      </c>
      <c r="Q128" s="6">
        <v>85</v>
      </c>
      <c r="R128" s="6">
        <v>85</v>
      </c>
      <c r="S128" s="6">
        <v>83</v>
      </c>
      <c r="T128" s="6">
        <v>80</v>
      </c>
      <c r="U128" s="6">
        <v>83</v>
      </c>
      <c r="V128" s="6">
        <v>80</v>
      </c>
      <c r="W128" s="138">
        <v>581471.77253817592</v>
      </c>
      <c r="X128">
        <f ca="1">IF(V128=0,0,OFFSET(CreditMetrics!$B$474,MATCH(RAND(),OFFSET(CreditMetrics!$C$474,1,MATCH(BDClientes!V128,CreditMetrics!$B$475:$B$491,0),COUNT(CreditMetrics!$B$475:$B$491),1),1),0,1,1))</f>
        <v>80</v>
      </c>
      <c r="Z128" s="79"/>
    </row>
    <row r="129" spans="1:26" x14ac:dyDescent="0.25">
      <c r="A129" s="4">
        <v>128</v>
      </c>
      <c r="B129" s="5" t="s">
        <v>130</v>
      </c>
      <c r="C129" s="6">
        <v>0</v>
      </c>
      <c r="D129" s="6">
        <v>85</v>
      </c>
      <c r="E129" s="6">
        <v>75</v>
      </c>
      <c r="F129" s="6">
        <v>75</v>
      </c>
      <c r="G129" s="6">
        <v>0</v>
      </c>
      <c r="H129" s="6">
        <v>87</v>
      </c>
      <c r="I129" s="6">
        <v>85</v>
      </c>
      <c r="J129" s="6">
        <v>85</v>
      </c>
      <c r="K129" s="6">
        <v>0</v>
      </c>
      <c r="L129" s="6">
        <v>0</v>
      </c>
      <c r="M129" s="6">
        <v>87</v>
      </c>
      <c r="N129" s="6">
        <v>87</v>
      </c>
      <c r="O129" s="6">
        <v>0</v>
      </c>
      <c r="P129" s="6">
        <v>87</v>
      </c>
      <c r="Q129" s="6">
        <v>87</v>
      </c>
      <c r="R129" s="6">
        <v>85</v>
      </c>
      <c r="S129" s="6">
        <v>0</v>
      </c>
      <c r="T129" s="6">
        <v>83</v>
      </c>
      <c r="U129" s="6">
        <v>80</v>
      </c>
      <c r="V129" s="6">
        <v>80</v>
      </c>
      <c r="W129" s="138">
        <v>1050010.2903843494</v>
      </c>
      <c r="X129">
        <f ca="1">IF(V129=0,0,OFFSET(CreditMetrics!$B$474,MATCH(RAND(),OFFSET(CreditMetrics!$C$474,1,MATCH(BDClientes!V129,CreditMetrics!$B$475:$B$491,0),COUNT(CreditMetrics!$B$475:$B$491),1),1),0,1,1))</f>
        <v>75</v>
      </c>
      <c r="Z129" s="79"/>
    </row>
    <row r="130" spans="1:26" x14ac:dyDescent="0.25">
      <c r="A130" s="4">
        <v>129</v>
      </c>
      <c r="B130" s="5" t="s">
        <v>131</v>
      </c>
      <c r="C130" s="6">
        <v>85</v>
      </c>
      <c r="D130" s="6">
        <v>87</v>
      </c>
      <c r="E130" s="6">
        <v>87</v>
      </c>
      <c r="F130" s="6">
        <v>87</v>
      </c>
      <c r="G130" s="6">
        <v>0</v>
      </c>
      <c r="H130" s="6">
        <v>87</v>
      </c>
      <c r="I130" s="6">
        <v>85</v>
      </c>
      <c r="J130" s="6">
        <v>85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85</v>
      </c>
      <c r="T130" s="6">
        <v>83</v>
      </c>
      <c r="U130" s="6">
        <v>83</v>
      </c>
      <c r="V130" s="6">
        <v>83</v>
      </c>
      <c r="W130" s="138">
        <v>193025.71829200225</v>
      </c>
      <c r="X130">
        <f ca="1">IF(V130=0,0,OFFSET(CreditMetrics!$B$474,MATCH(RAND(),OFFSET(CreditMetrics!$C$474,1,MATCH(BDClientes!V130,CreditMetrics!$B$475:$B$491,0),COUNT(CreditMetrics!$B$475:$B$491),1),1),0,1,1))</f>
        <v>85</v>
      </c>
      <c r="Z130" s="79"/>
    </row>
    <row r="131" spans="1:26" x14ac:dyDescent="0.25">
      <c r="A131" s="4">
        <v>130</v>
      </c>
      <c r="B131" s="5" t="s">
        <v>132</v>
      </c>
      <c r="C131" s="6">
        <v>73</v>
      </c>
      <c r="D131" s="6">
        <v>0</v>
      </c>
      <c r="E131" s="6">
        <v>0</v>
      </c>
      <c r="F131" s="6">
        <v>0</v>
      </c>
      <c r="G131" s="6">
        <v>0</v>
      </c>
      <c r="H131" s="6">
        <v>90</v>
      </c>
      <c r="I131" s="6">
        <v>87</v>
      </c>
      <c r="J131" s="6">
        <v>87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X131">
        <f ca="1">IF(V131=0,0,OFFSET(CreditMetrics!$B$474,MATCH(RAND(),OFFSET(CreditMetrics!$C$474,1,MATCH(BDClientes!V131,CreditMetrics!$B$475:$B$491,0),COUNT(CreditMetrics!$B$475:$B$491),1),1),0,1,1))</f>
        <v>0</v>
      </c>
      <c r="Z131" s="79"/>
    </row>
    <row r="132" spans="1:26" x14ac:dyDescent="0.25">
      <c r="A132" s="4">
        <v>131</v>
      </c>
      <c r="B132" s="5" t="s">
        <v>133</v>
      </c>
      <c r="C132" s="6">
        <v>85</v>
      </c>
      <c r="D132" s="6">
        <v>83</v>
      </c>
      <c r="E132" s="6">
        <v>85</v>
      </c>
      <c r="F132" s="6">
        <v>85</v>
      </c>
      <c r="G132" s="6">
        <v>80</v>
      </c>
      <c r="H132" s="6">
        <v>85</v>
      </c>
      <c r="I132" s="6">
        <v>85</v>
      </c>
      <c r="J132" s="6">
        <v>85</v>
      </c>
      <c r="K132" s="6">
        <v>85</v>
      </c>
      <c r="L132" s="6">
        <v>85</v>
      </c>
      <c r="M132" s="6">
        <v>85</v>
      </c>
      <c r="N132" s="6">
        <v>85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X132">
        <f ca="1">IF(V132=0,0,OFFSET(CreditMetrics!$B$474,MATCH(RAND(),OFFSET(CreditMetrics!$C$474,1,MATCH(BDClientes!V132,CreditMetrics!$B$475:$B$491,0),COUNT(CreditMetrics!$B$475:$B$491),1),1),0,1,1))</f>
        <v>0</v>
      </c>
      <c r="Z132" s="79"/>
    </row>
    <row r="133" spans="1:26" x14ac:dyDescent="0.25">
      <c r="A133" s="4">
        <v>132</v>
      </c>
      <c r="B133" s="5" t="s">
        <v>134</v>
      </c>
      <c r="C133" s="6">
        <v>87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X133">
        <f ca="1">IF(V133=0,0,OFFSET(CreditMetrics!$B$474,MATCH(RAND(),OFFSET(CreditMetrics!$C$474,1,MATCH(BDClientes!V133,CreditMetrics!$B$475:$B$491,0),COUNT(CreditMetrics!$B$475:$B$491),1),1),0,1,1))</f>
        <v>0</v>
      </c>
      <c r="Z133" s="79"/>
    </row>
    <row r="134" spans="1:26" x14ac:dyDescent="0.25">
      <c r="A134" s="4">
        <v>133</v>
      </c>
      <c r="B134" s="5" t="s">
        <v>135</v>
      </c>
      <c r="C134" s="6">
        <v>83</v>
      </c>
      <c r="D134" s="6">
        <v>83</v>
      </c>
      <c r="E134" s="6">
        <v>83</v>
      </c>
      <c r="F134" s="6">
        <v>83</v>
      </c>
      <c r="G134" s="6">
        <v>83</v>
      </c>
      <c r="H134" s="6">
        <v>83</v>
      </c>
      <c r="I134" s="6">
        <v>83</v>
      </c>
      <c r="J134" s="6">
        <v>83</v>
      </c>
      <c r="K134" s="6">
        <v>85</v>
      </c>
      <c r="L134" s="6">
        <v>85</v>
      </c>
      <c r="M134" s="6">
        <v>80</v>
      </c>
      <c r="N134" s="6">
        <v>83</v>
      </c>
      <c r="O134" s="6">
        <v>83</v>
      </c>
      <c r="P134" s="6">
        <v>85</v>
      </c>
      <c r="Q134" s="6">
        <v>83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X134">
        <f ca="1">IF(V134=0,0,OFFSET(CreditMetrics!$B$474,MATCH(RAND(),OFFSET(CreditMetrics!$C$474,1,MATCH(BDClientes!V134,CreditMetrics!$B$475:$B$491,0),COUNT(CreditMetrics!$B$475:$B$491),1),1),0,1,1))</f>
        <v>0</v>
      </c>
      <c r="Z134" s="79"/>
    </row>
    <row r="135" spans="1:26" x14ac:dyDescent="0.25">
      <c r="A135" s="4">
        <v>134</v>
      </c>
      <c r="B135" s="5" t="s">
        <v>136</v>
      </c>
      <c r="C135" s="6">
        <v>80</v>
      </c>
      <c r="D135" s="6">
        <v>83</v>
      </c>
      <c r="E135" s="6">
        <v>80</v>
      </c>
      <c r="F135" s="6">
        <v>80</v>
      </c>
      <c r="G135" s="6">
        <v>80</v>
      </c>
      <c r="H135" s="6">
        <v>77</v>
      </c>
      <c r="I135" s="6">
        <v>77</v>
      </c>
      <c r="J135" s="6">
        <v>77</v>
      </c>
      <c r="K135" s="6">
        <v>77</v>
      </c>
      <c r="L135" s="6">
        <v>80</v>
      </c>
      <c r="M135" s="6">
        <v>80</v>
      </c>
      <c r="N135" s="6">
        <v>80</v>
      </c>
      <c r="O135" s="6">
        <v>83</v>
      </c>
      <c r="P135" s="6">
        <v>80</v>
      </c>
      <c r="Q135" s="6">
        <v>83</v>
      </c>
      <c r="R135" s="6">
        <v>85</v>
      </c>
      <c r="S135" s="6">
        <v>85</v>
      </c>
      <c r="T135" s="6">
        <v>83</v>
      </c>
      <c r="U135" s="6">
        <v>83</v>
      </c>
      <c r="V135" s="6">
        <v>83</v>
      </c>
      <c r="W135" s="138">
        <v>342589.94511555915</v>
      </c>
      <c r="X135">
        <f ca="1">IF(V135=0,0,OFFSET(CreditMetrics!$B$474,MATCH(RAND(),OFFSET(CreditMetrics!$C$474,1,MATCH(BDClientes!V135,CreditMetrics!$B$475:$B$491,0),COUNT(CreditMetrics!$B$475:$B$491),1),1),0,1,1))</f>
        <v>83</v>
      </c>
      <c r="Z135" s="79"/>
    </row>
    <row r="136" spans="1:26" x14ac:dyDescent="0.25">
      <c r="A136" s="4">
        <v>135</v>
      </c>
      <c r="B136" s="5" t="s">
        <v>137</v>
      </c>
      <c r="C136" s="6">
        <v>87</v>
      </c>
      <c r="D136" s="6">
        <v>80</v>
      </c>
      <c r="E136" s="6">
        <v>80</v>
      </c>
      <c r="F136" s="6">
        <v>83</v>
      </c>
      <c r="G136" s="6">
        <v>80</v>
      </c>
      <c r="H136" s="6">
        <v>80</v>
      </c>
      <c r="I136" s="6">
        <v>80</v>
      </c>
      <c r="J136" s="6">
        <v>83</v>
      </c>
      <c r="K136" s="6">
        <v>83</v>
      </c>
      <c r="L136" s="6">
        <v>83</v>
      </c>
      <c r="M136" s="6">
        <v>83</v>
      </c>
      <c r="N136" s="6">
        <v>80</v>
      </c>
      <c r="O136" s="6">
        <v>83</v>
      </c>
      <c r="P136" s="6">
        <v>83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X136">
        <f ca="1">IF(V136=0,0,OFFSET(CreditMetrics!$B$474,MATCH(RAND(),OFFSET(CreditMetrics!$C$474,1,MATCH(BDClientes!V136,CreditMetrics!$B$475:$B$491,0),COUNT(CreditMetrics!$B$475:$B$491),1),1),0,1,1))</f>
        <v>0</v>
      </c>
      <c r="Z136" s="79"/>
    </row>
    <row r="137" spans="1:26" x14ac:dyDescent="0.25">
      <c r="A137" s="4">
        <v>136</v>
      </c>
      <c r="B137" s="5" t="s">
        <v>138</v>
      </c>
      <c r="C137" s="6">
        <v>85</v>
      </c>
      <c r="D137" s="6">
        <v>83</v>
      </c>
      <c r="E137" s="6">
        <v>83</v>
      </c>
      <c r="F137" s="6">
        <v>83</v>
      </c>
      <c r="G137" s="6">
        <v>83</v>
      </c>
      <c r="H137" s="6">
        <v>85</v>
      </c>
      <c r="I137" s="6">
        <v>85</v>
      </c>
      <c r="J137" s="6">
        <v>85</v>
      </c>
      <c r="K137" s="6">
        <v>83</v>
      </c>
      <c r="L137" s="6">
        <v>85</v>
      </c>
      <c r="M137" s="6">
        <v>83</v>
      </c>
      <c r="N137" s="6">
        <v>83</v>
      </c>
      <c r="O137" s="6">
        <v>83</v>
      </c>
      <c r="P137" s="6">
        <v>83</v>
      </c>
      <c r="Q137" s="6">
        <v>83</v>
      </c>
      <c r="R137" s="6">
        <v>83</v>
      </c>
      <c r="S137" s="6">
        <v>83</v>
      </c>
      <c r="T137" s="6">
        <v>83</v>
      </c>
      <c r="U137" s="6">
        <v>83</v>
      </c>
      <c r="V137" s="6">
        <v>83</v>
      </c>
      <c r="W137" s="138">
        <v>143699.84565567705</v>
      </c>
      <c r="X137">
        <f ca="1">IF(V137=0,0,OFFSET(CreditMetrics!$B$474,MATCH(RAND(),OFFSET(CreditMetrics!$C$474,1,MATCH(BDClientes!V137,CreditMetrics!$B$475:$B$491,0),COUNT(CreditMetrics!$B$475:$B$491),1),1),0,1,1))</f>
        <v>87</v>
      </c>
      <c r="Z137" s="79"/>
    </row>
    <row r="138" spans="1:26" x14ac:dyDescent="0.25">
      <c r="A138" s="4">
        <v>137</v>
      </c>
      <c r="B138" s="5" t="s">
        <v>139</v>
      </c>
      <c r="C138" s="6">
        <v>87</v>
      </c>
      <c r="D138" s="6">
        <v>85</v>
      </c>
      <c r="E138" s="6">
        <v>0</v>
      </c>
      <c r="F138" s="6">
        <v>0</v>
      </c>
      <c r="G138" s="6">
        <v>80</v>
      </c>
      <c r="H138" s="6">
        <v>75</v>
      </c>
      <c r="I138" s="6">
        <v>75</v>
      </c>
      <c r="J138" s="6">
        <v>77</v>
      </c>
      <c r="K138" s="6">
        <v>80</v>
      </c>
      <c r="L138" s="6">
        <v>80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X138">
        <f ca="1">IF(V138=0,0,OFFSET(CreditMetrics!$B$474,MATCH(RAND(),OFFSET(CreditMetrics!$C$474,1,MATCH(BDClientes!V138,CreditMetrics!$B$475:$B$491,0),COUNT(CreditMetrics!$B$475:$B$491),1),1),0,1,1))</f>
        <v>0</v>
      </c>
      <c r="Z138" s="79"/>
    </row>
    <row r="139" spans="1:26" x14ac:dyDescent="0.25">
      <c r="A139" s="4">
        <v>138</v>
      </c>
      <c r="B139" s="5" t="s">
        <v>140</v>
      </c>
      <c r="C139" s="6">
        <v>73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X139">
        <f ca="1">IF(V139=0,0,OFFSET(CreditMetrics!$B$474,MATCH(RAND(),OFFSET(CreditMetrics!$C$474,1,MATCH(BDClientes!V139,CreditMetrics!$B$475:$B$491,0),COUNT(CreditMetrics!$B$475:$B$491),1),1),0,1,1))</f>
        <v>0</v>
      </c>
      <c r="Z139" s="79"/>
    </row>
    <row r="140" spans="1:26" x14ac:dyDescent="0.25">
      <c r="A140" s="4">
        <v>139</v>
      </c>
      <c r="B140" s="5" t="s">
        <v>141</v>
      </c>
      <c r="C140" s="6">
        <v>77</v>
      </c>
      <c r="D140" s="6">
        <v>65</v>
      </c>
      <c r="E140" s="6">
        <v>70</v>
      </c>
      <c r="F140" s="6">
        <v>70</v>
      </c>
      <c r="G140" s="6">
        <v>73</v>
      </c>
      <c r="H140" s="6">
        <v>70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X140">
        <f ca="1">IF(V140=0,0,OFFSET(CreditMetrics!$B$474,MATCH(RAND(),OFFSET(CreditMetrics!$C$474,1,MATCH(BDClientes!V140,CreditMetrics!$B$475:$B$491,0),COUNT(CreditMetrics!$B$475:$B$491),1),1),0,1,1))</f>
        <v>0</v>
      </c>
      <c r="Z140" s="79"/>
    </row>
    <row r="141" spans="1:26" x14ac:dyDescent="0.25">
      <c r="A141" s="4">
        <v>140</v>
      </c>
      <c r="B141" s="5" t="s">
        <v>142</v>
      </c>
      <c r="C141" s="6">
        <v>65</v>
      </c>
      <c r="D141" s="6">
        <v>60</v>
      </c>
      <c r="E141" s="6">
        <v>40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X141">
        <f ca="1">IF(V141=0,0,OFFSET(CreditMetrics!$B$474,MATCH(RAND(),OFFSET(CreditMetrics!$C$474,1,MATCH(BDClientes!V141,CreditMetrics!$B$475:$B$491,0),COUNT(CreditMetrics!$B$475:$B$491),1),1),0,1,1))</f>
        <v>0</v>
      </c>
      <c r="Z141" s="79"/>
    </row>
    <row r="142" spans="1:26" x14ac:dyDescent="0.25">
      <c r="A142" s="4">
        <v>141</v>
      </c>
      <c r="B142" s="5" t="s">
        <v>143</v>
      </c>
      <c r="C142" s="6">
        <v>77</v>
      </c>
      <c r="D142" s="6">
        <v>80</v>
      </c>
      <c r="E142" s="6">
        <v>73</v>
      </c>
      <c r="F142" s="6">
        <v>73</v>
      </c>
      <c r="G142" s="6">
        <v>75</v>
      </c>
      <c r="H142" s="6">
        <v>73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X142">
        <f ca="1">IF(V142=0,0,OFFSET(CreditMetrics!$B$474,MATCH(RAND(),OFFSET(CreditMetrics!$C$474,1,MATCH(BDClientes!V142,CreditMetrics!$B$475:$B$491,0),COUNT(CreditMetrics!$B$475:$B$491),1),1),0,1,1))</f>
        <v>0</v>
      </c>
      <c r="Z142" s="79"/>
    </row>
    <row r="143" spans="1:26" x14ac:dyDescent="0.25">
      <c r="A143" s="4">
        <v>142</v>
      </c>
      <c r="B143" s="5" t="s">
        <v>144</v>
      </c>
      <c r="C143" s="6">
        <v>85</v>
      </c>
      <c r="D143" s="6">
        <v>85</v>
      </c>
      <c r="E143" s="6">
        <v>87</v>
      </c>
      <c r="F143" s="6">
        <v>87</v>
      </c>
      <c r="G143" s="6">
        <v>85</v>
      </c>
      <c r="H143" s="6">
        <v>87</v>
      </c>
      <c r="I143" s="6">
        <v>90</v>
      </c>
      <c r="J143" s="6">
        <v>90</v>
      </c>
      <c r="K143" s="6">
        <v>87</v>
      </c>
      <c r="L143" s="6">
        <v>90</v>
      </c>
      <c r="M143" s="6">
        <v>90</v>
      </c>
      <c r="N143" s="6">
        <v>87</v>
      </c>
      <c r="O143" s="6">
        <v>87</v>
      </c>
      <c r="P143" s="6">
        <v>90</v>
      </c>
      <c r="Q143" s="6">
        <v>85</v>
      </c>
      <c r="R143" s="6">
        <v>83</v>
      </c>
      <c r="S143" s="6">
        <v>83</v>
      </c>
      <c r="T143" s="6">
        <v>85</v>
      </c>
      <c r="U143" s="6">
        <v>83</v>
      </c>
      <c r="V143" s="6">
        <v>83</v>
      </c>
      <c r="W143" s="138">
        <v>334838.16574413481</v>
      </c>
      <c r="X143">
        <f ca="1">IF(V143=0,0,OFFSET(CreditMetrics!$B$474,MATCH(RAND(),OFFSET(CreditMetrics!$C$474,1,MATCH(BDClientes!V143,CreditMetrics!$B$475:$B$491,0),COUNT(CreditMetrics!$B$475:$B$491),1),1),0,1,1))</f>
        <v>83</v>
      </c>
      <c r="Z143" s="79"/>
    </row>
    <row r="144" spans="1:26" x14ac:dyDescent="0.25">
      <c r="A144" s="4">
        <v>143</v>
      </c>
      <c r="B144" s="5" t="s">
        <v>145</v>
      </c>
      <c r="C144" s="6">
        <v>75</v>
      </c>
      <c r="D144" s="6">
        <v>0</v>
      </c>
      <c r="E144" s="6">
        <v>83</v>
      </c>
      <c r="F144" s="6">
        <v>80</v>
      </c>
      <c r="G144" s="6">
        <v>80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X144">
        <f ca="1">IF(V144=0,0,OFFSET(CreditMetrics!$B$474,MATCH(RAND(),OFFSET(CreditMetrics!$C$474,1,MATCH(BDClientes!V144,CreditMetrics!$B$475:$B$491,0),COUNT(CreditMetrics!$B$475:$B$491),1),1),0,1,1))</f>
        <v>0</v>
      </c>
      <c r="Z144" s="79"/>
    </row>
    <row r="145" spans="1:26" x14ac:dyDescent="0.25">
      <c r="A145" s="4">
        <v>144</v>
      </c>
      <c r="B145" s="5" t="s">
        <v>146</v>
      </c>
      <c r="C145" s="6">
        <v>87</v>
      </c>
      <c r="D145" s="6">
        <v>85</v>
      </c>
      <c r="E145" s="6">
        <v>87</v>
      </c>
      <c r="F145" s="6">
        <v>87</v>
      </c>
      <c r="G145" s="6">
        <v>85</v>
      </c>
      <c r="H145" s="6">
        <v>87</v>
      </c>
      <c r="I145" s="6">
        <v>87</v>
      </c>
      <c r="J145" s="6">
        <v>87</v>
      </c>
      <c r="K145" s="6">
        <v>87</v>
      </c>
      <c r="L145" s="6">
        <v>87</v>
      </c>
      <c r="M145" s="6">
        <v>87</v>
      </c>
      <c r="N145" s="6">
        <v>83</v>
      </c>
      <c r="O145" s="6">
        <v>83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X145">
        <f ca="1">IF(V145=0,0,OFFSET(CreditMetrics!$B$474,MATCH(RAND(),OFFSET(CreditMetrics!$C$474,1,MATCH(BDClientes!V145,CreditMetrics!$B$475:$B$491,0),COUNT(CreditMetrics!$B$475:$B$491),1),1),0,1,1))</f>
        <v>0</v>
      </c>
      <c r="Z145" s="79"/>
    </row>
    <row r="146" spans="1:26" x14ac:dyDescent="0.25">
      <c r="A146" s="4">
        <v>145</v>
      </c>
      <c r="B146" s="5" t="s">
        <v>147</v>
      </c>
      <c r="C146" s="6">
        <v>0</v>
      </c>
      <c r="D146" s="6">
        <v>85</v>
      </c>
      <c r="E146" s="6">
        <v>77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X146">
        <f ca="1">IF(V146=0,0,OFFSET(CreditMetrics!$B$474,MATCH(RAND(),OFFSET(CreditMetrics!$C$474,1,MATCH(BDClientes!V146,CreditMetrics!$B$475:$B$491,0),COUNT(CreditMetrics!$B$475:$B$491),1),1),0,1,1))</f>
        <v>0</v>
      </c>
      <c r="Z146" s="79"/>
    </row>
    <row r="147" spans="1:26" x14ac:dyDescent="0.25">
      <c r="A147" s="4">
        <v>146</v>
      </c>
      <c r="B147" s="5" t="s">
        <v>148</v>
      </c>
      <c r="C147" s="6">
        <v>80</v>
      </c>
      <c r="D147" s="6">
        <v>80</v>
      </c>
      <c r="E147" s="6">
        <v>80</v>
      </c>
      <c r="F147" s="6">
        <v>80</v>
      </c>
      <c r="G147" s="6">
        <v>80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X147">
        <f ca="1">IF(V147=0,0,OFFSET(CreditMetrics!$B$474,MATCH(RAND(),OFFSET(CreditMetrics!$C$474,1,MATCH(BDClientes!V147,CreditMetrics!$B$475:$B$491,0),COUNT(CreditMetrics!$B$475:$B$491),1),1),0,1,1))</f>
        <v>0</v>
      </c>
      <c r="Z147" s="79"/>
    </row>
    <row r="148" spans="1:26" x14ac:dyDescent="0.25">
      <c r="A148" s="4">
        <v>147</v>
      </c>
      <c r="B148" s="5" t="s">
        <v>149</v>
      </c>
      <c r="C148" s="6">
        <v>85</v>
      </c>
      <c r="D148" s="6">
        <v>85</v>
      </c>
      <c r="E148" s="6">
        <v>83</v>
      </c>
      <c r="F148" s="6">
        <v>83</v>
      </c>
      <c r="G148" s="6">
        <v>77</v>
      </c>
      <c r="H148" s="6">
        <v>87</v>
      </c>
      <c r="I148" s="6">
        <v>87</v>
      </c>
      <c r="J148" s="6">
        <v>0</v>
      </c>
      <c r="K148" s="6">
        <v>83</v>
      </c>
      <c r="L148" s="6">
        <v>83</v>
      </c>
      <c r="M148" s="6">
        <v>40</v>
      </c>
      <c r="N148" s="6">
        <v>83</v>
      </c>
      <c r="O148" s="6">
        <v>83</v>
      </c>
      <c r="P148" s="6">
        <v>83</v>
      </c>
      <c r="Q148" s="6">
        <v>77</v>
      </c>
      <c r="R148" s="6">
        <v>77</v>
      </c>
      <c r="S148" s="6">
        <v>77</v>
      </c>
      <c r="T148" s="6">
        <v>80</v>
      </c>
      <c r="U148" s="6">
        <v>0</v>
      </c>
      <c r="V148" s="6">
        <v>0</v>
      </c>
      <c r="X148">
        <f ca="1">IF(V148=0,0,OFFSET(CreditMetrics!$B$474,MATCH(RAND(),OFFSET(CreditMetrics!$C$474,1,MATCH(BDClientes!V148,CreditMetrics!$B$475:$B$491,0),COUNT(CreditMetrics!$B$475:$B$491),1),1),0,1,1))</f>
        <v>0</v>
      </c>
      <c r="Z148" s="79"/>
    </row>
    <row r="149" spans="1:26" x14ac:dyDescent="0.25">
      <c r="A149" s="4">
        <v>148</v>
      </c>
      <c r="B149" s="5" t="s">
        <v>150</v>
      </c>
      <c r="C149" s="6">
        <v>85</v>
      </c>
      <c r="D149" s="6">
        <v>83</v>
      </c>
      <c r="E149" s="6">
        <v>80</v>
      </c>
      <c r="F149" s="6">
        <v>75</v>
      </c>
      <c r="G149" s="6">
        <v>65</v>
      </c>
      <c r="H149" s="6">
        <v>40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X149">
        <f ca="1">IF(V149=0,0,OFFSET(CreditMetrics!$B$474,MATCH(RAND(),OFFSET(CreditMetrics!$C$474,1,MATCH(BDClientes!V149,CreditMetrics!$B$475:$B$491,0),COUNT(CreditMetrics!$B$475:$B$491),1),1),0,1,1))</f>
        <v>0</v>
      </c>
      <c r="Z149" s="79"/>
    </row>
    <row r="150" spans="1:26" x14ac:dyDescent="0.25">
      <c r="A150" s="4">
        <v>149</v>
      </c>
      <c r="B150" s="5" t="s">
        <v>151</v>
      </c>
      <c r="C150" s="6">
        <v>85</v>
      </c>
      <c r="D150" s="6">
        <v>83</v>
      </c>
      <c r="E150" s="6">
        <v>87</v>
      </c>
      <c r="F150" s="6">
        <v>87</v>
      </c>
      <c r="G150" s="6">
        <v>87</v>
      </c>
      <c r="H150" s="6">
        <v>87</v>
      </c>
      <c r="I150" s="6">
        <v>0</v>
      </c>
      <c r="J150" s="6">
        <v>90</v>
      </c>
      <c r="K150" s="6">
        <v>90</v>
      </c>
      <c r="L150" s="6">
        <v>87</v>
      </c>
      <c r="M150" s="6">
        <v>0</v>
      </c>
      <c r="N150" s="6">
        <v>85</v>
      </c>
      <c r="O150" s="6">
        <v>0</v>
      </c>
      <c r="P150" s="6">
        <v>0</v>
      </c>
      <c r="Q150" s="6">
        <v>0</v>
      </c>
      <c r="R150" s="6">
        <v>0</v>
      </c>
      <c r="S150" s="6">
        <v>85</v>
      </c>
      <c r="T150" s="6">
        <v>0</v>
      </c>
      <c r="U150" s="6">
        <v>0</v>
      </c>
      <c r="V150" s="6">
        <v>0</v>
      </c>
      <c r="X150">
        <f ca="1">IF(V150=0,0,OFFSET(CreditMetrics!$B$474,MATCH(RAND(),OFFSET(CreditMetrics!$C$474,1,MATCH(BDClientes!V150,CreditMetrics!$B$475:$B$491,0),COUNT(CreditMetrics!$B$475:$B$491),1),1),0,1,1))</f>
        <v>0</v>
      </c>
      <c r="Z150" s="79"/>
    </row>
    <row r="151" spans="1:26" x14ac:dyDescent="0.25">
      <c r="A151" s="4">
        <v>150</v>
      </c>
      <c r="B151" s="5" t="s">
        <v>152</v>
      </c>
      <c r="C151" s="6">
        <v>87</v>
      </c>
      <c r="D151" s="6">
        <v>87</v>
      </c>
      <c r="E151" s="6">
        <v>87</v>
      </c>
      <c r="F151" s="6">
        <v>87</v>
      </c>
      <c r="G151" s="6">
        <v>80</v>
      </c>
      <c r="H151" s="6">
        <v>85</v>
      </c>
      <c r="I151" s="6">
        <v>0</v>
      </c>
      <c r="J151" s="6">
        <v>77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85</v>
      </c>
      <c r="S151" s="6">
        <v>85</v>
      </c>
      <c r="T151" s="6">
        <v>83</v>
      </c>
      <c r="U151" s="6">
        <v>0</v>
      </c>
      <c r="V151" s="6">
        <v>85</v>
      </c>
      <c r="W151" s="138">
        <v>1869100.0419152423</v>
      </c>
      <c r="X151">
        <f ca="1">IF(V151=0,0,OFFSET(CreditMetrics!$B$474,MATCH(RAND(),OFFSET(CreditMetrics!$C$474,1,MATCH(BDClientes!V151,CreditMetrics!$B$475:$B$491,0),COUNT(CreditMetrics!$B$475:$B$491),1),1),0,1,1))</f>
        <v>80</v>
      </c>
      <c r="Z151" s="79"/>
    </row>
    <row r="152" spans="1:26" x14ac:dyDescent="0.25">
      <c r="A152" s="4">
        <v>151</v>
      </c>
      <c r="B152" s="5" t="s">
        <v>153</v>
      </c>
      <c r="C152" s="6">
        <v>87</v>
      </c>
      <c r="D152" s="6">
        <v>87</v>
      </c>
      <c r="E152" s="6">
        <v>85</v>
      </c>
      <c r="F152" s="6">
        <v>85</v>
      </c>
      <c r="G152" s="6">
        <v>85</v>
      </c>
      <c r="H152" s="6">
        <v>85</v>
      </c>
      <c r="I152" s="6">
        <v>85</v>
      </c>
      <c r="J152" s="6">
        <v>85</v>
      </c>
      <c r="K152" s="6">
        <v>85</v>
      </c>
      <c r="L152" s="6">
        <v>87</v>
      </c>
      <c r="M152" s="6">
        <v>87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X152">
        <f ca="1">IF(V152=0,0,OFFSET(CreditMetrics!$B$474,MATCH(RAND(),OFFSET(CreditMetrics!$C$474,1,MATCH(BDClientes!V152,CreditMetrics!$B$475:$B$491,0),COUNT(CreditMetrics!$B$475:$B$491),1),1),0,1,1))</f>
        <v>0</v>
      </c>
      <c r="Z152" s="79"/>
    </row>
    <row r="153" spans="1:26" x14ac:dyDescent="0.25">
      <c r="A153" s="4">
        <v>152</v>
      </c>
      <c r="B153" s="5" t="s">
        <v>154</v>
      </c>
      <c r="C153" s="6">
        <v>87</v>
      </c>
      <c r="D153" s="6">
        <v>83</v>
      </c>
      <c r="E153" s="6">
        <v>0</v>
      </c>
      <c r="F153" s="6">
        <v>87</v>
      </c>
      <c r="G153" s="6">
        <v>85</v>
      </c>
      <c r="H153" s="6">
        <v>90</v>
      </c>
      <c r="I153" s="6">
        <v>90</v>
      </c>
      <c r="J153" s="6">
        <v>80</v>
      </c>
      <c r="K153" s="6">
        <v>80</v>
      </c>
      <c r="L153" s="6">
        <v>80</v>
      </c>
      <c r="M153" s="6">
        <v>80</v>
      </c>
      <c r="N153" s="6">
        <v>80</v>
      </c>
      <c r="O153" s="6">
        <v>85</v>
      </c>
      <c r="P153" s="6">
        <v>85</v>
      </c>
      <c r="Q153" s="6">
        <v>85</v>
      </c>
      <c r="R153" s="6">
        <v>83</v>
      </c>
      <c r="S153" s="6">
        <v>83</v>
      </c>
      <c r="T153" s="6">
        <v>85</v>
      </c>
      <c r="U153" s="6">
        <v>85</v>
      </c>
      <c r="V153" s="6">
        <v>85</v>
      </c>
      <c r="W153" s="138">
        <v>211494.30142322465</v>
      </c>
      <c r="X153">
        <f ca="1">IF(V153=0,0,OFFSET(CreditMetrics!$B$474,MATCH(RAND(),OFFSET(CreditMetrics!$C$474,1,MATCH(BDClientes!V153,CreditMetrics!$B$475:$B$491,0),COUNT(CreditMetrics!$B$475:$B$491),1),1),0,1,1))</f>
        <v>85</v>
      </c>
      <c r="Z153" s="79"/>
    </row>
    <row r="154" spans="1:26" x14ac:dyDescent="0.25">
      <c r="A154" s="4">
        <v>153</v>
      </c>
      <c r="B154" s="5" t="s">
        <v>155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83</v>
      </c>
      <c r="J154" s="6">
        <v>83</v>
      </c>
      <c r="K154" s="6">
        <v>85</v>
      </c>
      <c r="L154" s="6">
        <v>85</v>
      </c>
      <c r="M154" s="6">
        <v>85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X154">
        <f ca="1">IF(V154=0,0,OFFSET(CreditMetrics!$B$474,MATCH(RAND(),OFFSET(CreditMetrics!$C$474,1,MATCH(BDClientes!V154,CreditMetrics!$B$475:$B$491,0),COUNT(CreditMetrics!$B$475:$B$491),1),1),0,1,1))</f>
        <v>0</v>
      </c>
      <c r="Z154" s="79"/>
    </row>
    <row r="155" spans="1:26" x14ac:dyDescent="0.25">
      <c r="A155" s="4">
        <v>154</v>
      </c>
      <c r="B155" s="5" t="s">
        <v>156</v>
      </c>
      <c r="C155" s="6">
        <v>0</v>
      </c>
      <c r="D155" s="6">
        <v>0</v>
      </c>
      <c r="E155" s="6">
        <v>0</v>
      </c>
      <c r="F155" s="6">
        <v>83</v>
      </c>
      <c r="G155" s="6">
        <v>83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90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X155">
        <f ca="1">IF(V155=0,0,OFFSET(CreditMetrics!$B$474,MATCH(RAND(),OFFSET(CreditMetrics!$C$474,1,MATCH(BDClientes!V155,CreditMetrics!$B$475:$B$491,0),COUNT(CreditMetrics!$B$475:$B$491),1),1),0,1,1))</f>
        <v>0</v>
      </c>
      <c r="Z155" s="79"/>
    </row>
    <row r="156" spans="1:26" x14ac:dyDescent="0.25">
      <c r="A156" s="4">
        <v>155</v>
      </c>
      <c r="B156" s="5" t="s">
        <v>157</v>
      </c>
      <c r="C156" s="6">
        <v>75</v>
      </c>
      <c r="D156" s="6">
        <v>83</v>
      </c>
      <c r="E156" s="6">
        <v>80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X156">
        <f ca="1">IF(V156=0,0,OFFSET(CreditMetrics!$B$474,MATCH(RAND(),OFFSET(CreditMetrics!$C$474,1,MATCH(BDClientes!V156,CreditMetrics!$B$475:$B$491,0),COUNT(CreditMetrics!$B$475:$B$491),1),1),0,1,1))</f>
        <v>0</v>
      </c>
      <c r="Z156" s="79"/>
    </row>
    <row r="157" spans="1:26" x14ac:dyDescent="0.25">
      <c r="A157" s="4">
        <v>156</v>
      </c>
      <c r="B157" s="5" t="s">
        <v>158</v>
      </c>
      <c r="C157" s="6">
        <v>83</v>
      </c>
      <c r="D157" s="6">
        <v>80</v>
      </c>
      <c r="E157" s="6">
        <v>85</v>
      </c>
      <c r="F157" s="6">
        <v>85</v>
      </c>
      <c r="G157" s="6">
        <v>73</v>
      </c>
      <c r="H157" s="6">
        <v>77</v>
      </c>
      <c r="I157" s="6">
        <v>83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X157">
        <f ca="1">IF(V157=0,0,OFFSET(CreditMetrics!$B$474,MATCH(RAND(),OFFSET(CreditMetrics!$C$474,1,MATCH(BDClientes!V157,CreditMetrics!$B$475:$B$491,0),COUNT(CreditMetrics!$B$475:$B$491),1),1),0,1,1))</f>
        <v>0</v>
      </c>
      <c r="Z157" s="79"/>
    </row>
    <row r="158" spans="1:26" x14ac:dyDescent="0.25">
      <c r="A158" s="4">
        <v>157</v>
      </c>
      <c r="B158" s="5" t="s">
        <v>159</v>
      </c>
      <c r="C158" s="6">
        <v>0</v>
      </c>
      <c r="D158" s="6">
        <v>0</v>
      </c>
      <c r="E158" s="6">
        <v>73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X158">
        <f ca="1">IF(V158=0,0,OFFSET(CreditMetrics!$B$474,MATCH(RAND(),OFFSET(CreditMetrics!$C$474,1,MATCH(BDClientes!V158,CreditMetrics!$B$475:$B$491,0),COUNT(CreditMetrics!$B$475:$B$491),1),1),0,1,1))</f>
        <v>0</v>
      </c>
      <c r="Z158" s="79"/>
    </row>
    <row r="159" spans="1:26" x14ac:dyDescent="0.25">
      <c r="A159" s="4">
        <v>158</v>
      </c>
      <c r="B159" s="5" t="s">
        <v>160</v>
      </c>
      <c r="C159" s="6">
        <v>80</v>
      </c>
      <c r="D159" s="6">
        <v>83</v>
      </c>
      <c r="E159" s="6">
        <v>77</v>
      </c>
      <c r="F159" s="6">
        <v>77</v>
      </c>
      <c r="G159" s="6">
        <v>83</v>
      </c>
      <c r="H159" s="6">
        <v>85</v>
      </c>
      <c r="I159" s="6">
        <v>80</v>
      </c>
      <c r="J159" s="6">
        <v>83</v>
      </c>
      <c r="K159" s="6">
        <v>83</v>
      </c>
      <c r="L159" s="6">
        <v>77</v>
      </c>
      <c r="M159" s="6">
        <v>80</v>
      </c>
      <c r="N159" s="6">
        <v>77</v>
      </c>
      <c r="O159" s="6">
        <v>80</v>
      </c>
      <c r="P159" s="6">
        <v>77</v>
      </c>
      <c r="Q159" s="6">
        <v>80</v>
      </c>
      <c r="R159" s="6">
        <v>80</v>
      </c>
      <c r="S159" s="6">
        <v>75</v>
      </c>
      <c r="T159" s="6">
        <v>65</v>
      </c>
      <c r="U159" s="6">
        <v>65</v>
      </c>
      <c r="V159" s="6">
        <v>0</v>
      </c>
      <c r="X159">
        <f ca="1">IF(V159=0,0,OFFSET(CreditMetrics!$B$474,MATCH(RAND(),OFFSET(CreditMetrics!$C$474,1,MATCH(BDClientes!V159,CreditMetrics!$B$475:$B$491,0),COUNT(CreditMetrics!$B$475:$B$491),1),1),0,1,1))</f>
        <v>0</v>
      </c>
      <c r="Z159" s="79"/>
    </row>
    <row r="160" spans="1:26" x14ac:dyDescent="0.25">
      <c r="A160" s="4">
        <v>159</v>
      </c>
      <c r="B160" s="5" t="s">
        <v>161</v>
      </c>
      <c r="C160" s="6">
        <v>0</v>
      </c>
      <c r="D160" s="6">
        <v>0</v>
      </c>
      <c r="E160" s="6">
        <v>0</v>
      </c>
      <c r="F160" s="6">
        <v>83</v>
      </c>
      <c r="G160" s="6">
        <v>83</v>
      </c>
      <c r="H160" s="6">
        <v>83</v>
      </c>
      <c r="I160" s="6">
        <v>80</v>
      </c>
      <c r="J160" s="6">
        <v>80</v>
      </c>
      <c r="K160" s="6">
        <v>83</v>
      </c>
      <c r="L160" s="6">
        <v>83</v>
      </c>
      <c r="M160" s="6">
        <v>83</v>
      </c>
      <c r="N160" s="6">
        <v>83</v>
      </c>
      <c r="O160" s="6">
        <v>85</v>
      </c>
      <c r="P160" s="6">
        <v>80</v>
      </c>
      <c r="Q160" s="6">
        <v>77</v>
      </c>
      <c r="R160" s="6">
        <v>77</v>
      </c>
      <c r="S160" s="6">
        <v>77</v>
      </c>
      <c r="T160" s="6">
        <v>77</v>
      </c>
      <c r="U160" s="6">
        <v>77</v>
      </c>
      <c r="V160" s="6">
        <v>80</v>
      </c>
      <c r="W160" s="138">
        <v>112455.71634296617</v>
      </c>
      <c r="X160">
        <f ca="1">IF(V160=0,0,OFFSET(CreditMetrics!$B$474,MATCH(RAND(),OFFSET(CreditMetrics!$C$474,1,MATCH(BDClientes!V160,CreditMetrics!$B$475:$B$491,0),COUNT(CreditMetrics!$B$475:$B$491),1),1),0,1,1))</f>
        <v>83</v>
      </c>
      <c r="Z160" s="79"/>
    </row>
    <row r="161" spans="1:26" x14ac:dyDescent="0.25">
      <c r="A161" s="4">
        <v>160</v>
      </c>
      <c r="B161" s="5" t="s">
        <v>162</v>
      </c>
      <c r="C161" s="6">
        <v>90</v>
      </c>
      <c r="D161" s="6">
        <v>83</v>
      </c>
      <c r="E161" s="6">
        <v>83</v>
      </c>
      <c r="F161" s="6">
        <v>83</v>
      </c>
      <c r="G161" s="6">
        <v>83</v>
      </c>
      <c r="H161" s="6">
        <v>83</v>
      </c>
      <c r="I161" s="6">
        <v>77</v>
      </c>
      <c r="J161" s="6">
        <v>83</v>
      </c>
      <c r="K161" s="6">
        <v>77</v>
      </c>
      <c r="L161" s="6">
        <v>75</v>
      </c>
      <c r="M161" s="6">
        <v>73</v>
      </c>
      <c r="N161" s="6">
        <v>73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X161">
        <f ca="1">IF(V161=0,0,OFFSET(CreditMetrics!$B$474,MATCH(RAND(),OFFSET(CreditMetrics!$C$474,1,MATCH(BDClientes!V161,CreditMetrics!$B$475:$B$491,0),COUNT(CreditMetrics!$B$475:$B$491),1),1),0,1,1))</f>
        <v>0</v>
      </c>
      <c r="Z161" s="79"/>
    </row>
    <row r="162" spans="1:26" x14ac:dyDescent="0.25">
      <c r="A162" s="4">
        <v>161</v>
      </c>
      <c r="B162" s="5" t="s">
        <v>163</v>
      </c>
      <c r="C162" s="6">
        <v>87</v>
      </c>
      <c r="D162" s="6">
        <v>87</v>
      </c>
      <c r="E162" s="6">
        <v>87</v>
      </c>
      <c r="F162" s="6">
        <v>87</v>
      </c>
      <c r="G162" s="6">
        <v>85</v>
      </c>
      <c r="H162" s="6">
        <v>85</v>
      </c>
      <c r="I162" s="6">
        <v>80</v>
      </c>
      <c r="J162" s="6">
        <v>83</v>
      </c>
      <c r="K162" s="6">
        <v>80</v>
      </c>
      <c r="L162" s="6">
        <v>83</v>
      </c>
      <c r="M162" s="6">
        <v>83</v>
      </c>
      <c r="N162" s="6">
        <v>80</v>
      </c>
      <c r="O162" s="6">
        <v>70</v>
      </c>
      <c r="P162" s="6">
        <v>75</v>
      </c>
      <c r="Q162" s="6">
        <v>75</v>
      </c>
      <c r="R162" s="6">
        <v>75</v>
      </c>
      <c r="S162" s="6">
        <v>75</v>
      </c>
      <c r="T162" s="6">
        <v>73</v>
      </c>
      <c r="U162" s="6">
        <v>73</v>
      </c>
      <c r="V162" s="6">
        <v>75</v>
      </c>
      <c r="W162" s="138">
        <v>116093.01590387151</v>
      </c>
      <c r="X162">
        <f ca="1">IF(V162=0,0,OFFSET(CreditMetrics!$B$474,MATCH(RAND(),OFFSET(CreditMetrics!$C$474,1,MATCH(BDClientes!V162,CreditMetrics!$B$475:$B$491,0),COUNT(CreditMetrics!$B$475:$B$491),1),1),0,1,1))</f>
        <v>75</v>
      </c>
      <c r="Z162" s="79"/>
    </row>
    <row r="163" spans="1:26" x14ac:dyDescent="0.25">
      <c r="A163" s="4">
        <v>162</v>
      </c>
      <c r="B163" s="5" t="s">
        <v>164</v>
      </c>
      <c r="C163" s="6">
        <v>83</v>
      </c>
      <c r="D163" s="6">
        <v>87</v>
      </c>
      <c r="E163" s="6">
        <v>77</v>
      </c>
      <c r="F163" s="6">
        <v>77</v>
      </c>
      <c r="G163" s="6">
        <v>77</v>
      </c>
      <c r="H163" s="6">
        <v>85</v>
      </c>
      <c r="I163" s="6">
        <v>85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X163">
        <f ca="1">IF(V163=0,0,OFFSET(CreditMetrics!$B$474,MATCH(RAND(),OFFSET(CreditMetrics!$C$474,1,MATCH(BDClientes!V163,CreditMetrics!$B$475:$B$491,0),COUNT(CreditMetrics!$B$475:$B$491),1),1),0,1,1))</f>
        <v>0</v>
      </c>
      <c r="Z163" s="79"/>
    </row>
    <row r="164" spans="1:26" x14ac:dyDescent="0.25">
      <c r="A164" s="4">
        <v>163</v>
      </c>
      <c r="B164" s="5" t="s">
        <v>165</v>
      </c>
      <c r="C164" s="6">
        <v>87</v>
      </c>
      <c r="D164" s="6">
        <v>87</v>
      </c>
      <c r="E164" s="6">
        <v>85</v>
      </c>
      <c r="F164" s="6">
        <v>85</v>
      </c>
      <c r="G164" s="6">
        <v>0</v>
      </c>
      <c r="H164" s="6">
        <v>0</v>
      </c>
      <c r="I164" s="6">
        <v>0</v>
      </c>
      <c r="J164" s="6">
        <v>0</v>
      </c>
      <c r="K164" s="6">
        <v>83</v>
      </c>
      <c r="L164" s="6">
        <v>73</v>
      </c>
      <c r="M164" s="6">
        <v>73</v>
      </c>
      <c r="N164" s="6">
        <v>73</v>
      </c>
      <c r="O164" s="6">
        <v>70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X164">
        <f ca="1">IF(V164=0,0,OFFSET(CreditMetrics!$B$474,MATCH(RAND(),OFFSET(CreditMetrics!$C$474,1,MATCH(BDClientes!V164,CreditMetrics!$B$475:$B$491,0),COUNT(CreditMetrics!$B$475:$B$491),1),1),0,1,1))</f>
        <v>0</v>
      </c>
      <c r="Z164" s="79"/>
    </row>
    <row r="165" spans="1:26" x14ac:dyDescent="0.25">
      <c r="A165" s="4">
        <v>164</v>
      </c>
      <c r="B165" s="5" t="s">
        <v>166</v>
      </c>
      <c r="C165" s="6">
        <v>77</v>
      </c>
      <c r="D165" s="6">
        <v>73</v>
      </c>
      <c r="E165" s="6">
        <v>75</v>
      </c>
      <c r="F165" s="6">
        <v>75</v>
      </c>
      <c r="G165" s="6">
        <v>65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X165">
        <f ca="1">IF(V165=0,0,OFFSET(CreditMetrics!$B$474,MATCH(RAND(),OFFSET(CreditMetrics!$C$474,1,MATCH(BDClientes!V165,CreditMetrics!$B$475:$B$491,0),COUNT(CreditMetrics!$B$475:$B$491),1),1),0,1,1))</f>
        <v>0</v>
      </c>
      <c r="Z165" s="79"/>
    </row>
    <row r="166" spans="1:26" x14ac:dyDescent="0.25">
      <c r="A166" s="4">
        <v>165</v>
      </c>
      <c r="B166" s="5" t="s">
        <v>167</v>
      </c>
      <c r="C166" s="6">
        <v>83</v>
      </c>
      <c r="D166" s="6">
        <v>83</v>
      </c>
      <c r="E166" s="6">
        <v>40</v>
      </c>
      <c r="F166" s="6">
        <v>40</v>
      </c>
      <c r="G166" s="6">
        <v>22</v>
      </c>
      <c r="H166" s="6">
        <v>22</v>
      </c>
      <c r="I166" s="6">
        <v>22</v>
      </c>
      <c r="J166" s="6">
        <v>22</v>
      </c>
      <c r="K166" s="6">
        <v>22</v>
      </c>
      <c r="L166" s="6">
        <v>22</v>
      </c>
      <c r="M166" s="6">
        <v>22</v>
      </c>
      <c r="N166" s="6">
        <v>22</v>
      </c>
      <c r="O166" s="6">
        <v>22</v>
      </c>
      <c r="P166" s="6">
        <v>22</v>
      </c>
      <c r="Q166" s="6">
        <v>22</v>
      </c>
      <c r="R166" s="6">
        <v>22</v>
      </c>
      <c r="S166" s="6">
        <v>22</v>
      </c>
      <c r="T166" s="6">
        <v>22</v>
      </c>
      <c r="U166" s="6">
        <v>22</v>
      </c>
      <c r="V166" s="6">
        <v>22</v>
      </c>
      <c r="W166" s="138">
        <v>276820.82477667439</v>
      </c>
      <c r="X166">
        <f ca="1">IF(V166=0,0,OFFSET(CreditMetrics!$B$474,MATCH(RAND(),OFFSET(CreditMetrics!$C$474,1,MATCH(BDClientes!V166,CreditMetrics!$B$475:$B$491,0),COUNT(CreditMetrics!$B$475:$B$491),1),1),0,1,1))</f>
        <v>22</v>
      </c>
      <c r="Z166" s="79"/>
    </row>
    <row r="167" spans="1:26" x14ac:dyDescent="0.25">
      <c r="A167" s="4">
        <v>166</v>
      </c>
      <c r="B167" s="5" t="s">
        <v>168</v>
      </c>
      <c r="C167" s="6">
        <v>90</v>
      </c>
      <c r="D167" s="6">
        <v>87</v>
      </c>
      <c r="E167" s="6">
        <v>85</v>
      </c>
      <c r="F167" s="6">
        <v>85</v>
      </c>
      <c r="G167" s="6">
        <v>85</v>
      </c>
      <c r="H167" s="6">
        <v>87</v>
      </c>
      <c r="I167" s="6">
        <v>87</v>
      </c>
      <c r="J167" s="6">
        <v>85</v>
      </c>
      <c r="K167" s="6">
        <v>85</v>
      </c>
      <c r="L167" s="6">
        <v>85</v>
      </c>
      <c r="M167" s="6">
        <v>87</v>
      </c>
      <c r="N167" s="6">
        <v>85</v>
      </c>
      <c r="O167" s="6">
        <v>85</v>
      </c>
      <c r="P167" s="6">
        <v>80</v>
      </c>
      <c r="Q167" s="6">
        <v>77</v>
      </c>
      <c r="R167" s="6">
        <v>80</v>
      </c>
      <c r="S167" s="6">
        <v>80</v>
      </c>
      <c r="T167" s="6">
        <v>80</v>
      </c>
      <c r="U167" s="6">
        <v>80</v>
      </c>
      <c r="V167" s="6">
        <v>80</v>
      </c>
      <c r="W167" s="138">
        <v>165577.6714005692</v>
      </c>
      <c r="X167">
        <f ca="1">IF(V167=0,0,OFFSET(CreditMetrics!$B$474,MATCH(RAND(),OFFSET(CreditMetrics!$C$474,1,MATCH(BDClientes!V167,CreditMetrics!$B$475:$B$491,0),COUNT(CreditMetrics!$B$475:$B$491),1),1),0,1,1))</f>
        <v>80</v>
      </c>
      <c r="Z167" s="79"/>
    </row>
    <row r="168" spans="1:26" x14ac:dyDescent="0.25">
      <c r="A168" s="4">
        <v>167</v>
      </c>
      <c r="B168" s="5" t="s">
        <v>169</v>
      </c>
      <c r="C168" s="6">
        <v>83</v>
      </c>
      <c r="D168" s="6">
        <v>87</v>
      </c>
      <c r="E168" s="6">
        <v>73</v>
      </c>
      <c r="F168" s="6">
        <v>73</v>
      </c>
      <c r="G168" s="6">
        <v>70</v>
      </c>
      <c r="H168" s="6">
        <v>73</v>
      </c>
      <c r="I168" s="6">
        <v>77</v>
      </c>
      <c r="J168" s="6">
        <v>77</v>
      </c>
      <c r="K168" s="6">
        <v>77</v>
      </c>
      <c r="L168" s="6">
        <v>83</v>
      </c>
      <c r="M168" s="6">
        <v>83</v>
      </c>
      <c r="N168" s="6">
        <v>83</v>
      </c>
      <c r="O168" s="6">
        <v>83</v>
      </c>
      <c r="P168" s="6">
        <v>85</v>
      </c>
      <c r="Q168" s="6">
        <v>85</v>
      </c>
      <c r="R168" s="6">
        <v>87</v>
      </c>
      <c r="S168" s="6">
        <v>0</v>
      </c>
      <c r="T168" s="6">
        <v>0</v>
      </c>
      <c r="U168" s="6">
        <v>0</v>
      </c>
      <c r="V168" s="6">
        <v>0</v>
      </c>
      <c r="X168">
        <f ca="1">IF(V168=0,0,OFFSET(CreditMetrics!$B$474,MATCH(RAND(),OFFSET(CreditMetrics!$C$474,1,MATCH(BDClientes!V168,CreditMetrics!$B$475:$B$491,0),COUNT(CreditMetrics!$B$475:$B$491),1),1),0,1,1))</f>
        <v>0</v>
      </c>
      <c r="Z168" s="79"/>
    </row>
    <row r="169" spans="1:26" x14ac:dyDescent="0.25">
      <c r="A169" s="4">
        <v>168</v>
      </c>
      <c r="B169" s="5" t="s">
        <v>170</v>
      </c>
      <c r="C169" s="6">
        <v>85</v>
      </c>
      <c r="D169" s="6">
        <v>83</v>
      </c>
      <c r="E169" s="6">
        <v>85</v>
      </c>
      <c r="F169" s="6">
        <v>85</v>
      </c>
      <c r="G169" s="6">
        <v>83</v>
      </c>
      <c r="H169" s="6">
        <v>85</v>
      </c>
      <c r="I169" s="6">
        <v>85</v>
      </c>
      <c r="J169" s="6">
        <v>85</v>
      </c>
      <c r="K169" s="6">
        <v>87</v>
      </c>
      <c r="L169" s="6">
        <v>85</v>
      </c>
      <c r="M169" s="6">
        <v>0</v>
      </c>
      <c r="N169" s="6">
        <v>87</v>
      </c>
      <c r="O169" s="6">
        <v>85</v>
      </c>
      <c r="P169" s="6">
        <v>87</v>
      </c>
      <c r="Q169" s="6">
        <v>87</v>
      </c>
      <c r="R169" s="6">
        <v>87</v>
      </c>
      <c r="S169" s="6">
        <v>87</v>
      </c>
      <c r="T169" s="6">
        <v>87</v>
      </c>
      <c r="U169" s="6">
        <v>87</v>
      </c>
      <c r="V169" s="6">
        <v>85</v>
      </c>
      <c r="W169" s="138">
        <v>419853.2377272179</v>
      </c>
      <c r="X169">
        <f ca="1">IF(V169=0,0,OFFSET(CreditMetrics!$B$474,MATCH(RAND(),OFFSET(CreditMetrics!$C$474,1,MATCH(BDClientes!V169,CreditMetrics!$B$475:$B$491,0),COUNT(CreditMetrics!$B$475:$B$491),1),1),0,1,1))</f>
        <v>85</v>
      </c>
      <c r="Z169" s="79"/>
    </row>
    <row r="170" spans="1:26" x14ac:dyDescent="0.25">
      <c r="A170" s="4">
        <v>169</v>
      </c>
      <c r="B170" s="5" t="s">
        <v>171</v>
      </c>
      <c r="C170" s="6">
        <v>87</v>
      </c>
      <c r="D170" s="6">
        <v>0</v>
      </c>
      <c r="E170" s="6">
        <v>77</v>
      </c>
      <c r="F170" s="6">
        <v>80</v>
      </c>
      <c r="G170" s="6">
        <v>80</v>
      </c>
      <c r="H170" s="6">
        <v>83</v>
      </c>
      <c r="I170" s="6">
        <v>80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X170">
        <f ca="1">IF(V170=0,0,OFFSET(CreditMetrics!$B$474,MATCH(RAND(),OFFSET(CreditMetrics!$C$474,1,MATCH(BDClientes!V170,CreditMetrics!$B$475:$B$491,0),COUNT(CreditMetrics!$B$475:$B$491),1),1),0,1,1))</f>
        <v>0</v>
      </c>
      <c r="Z170" s="79"/>
    </row>
    <row r="171" spans="1:26" x14ac:dyDescent="0.25">
      <c r="A171" s="4">
        <v>170</v>
      </c>
      <c r="B171" s="5" t="s">
        <v>172</v>
      </c>
      <c r="C171" s="6">
        <v>0</v>
      </c>
      <c r="D171" s="6">
        <v>75</v>
      </c>
      <c r="E171" s="6">
        <v>77</v>
      </c>
      <c r="F171" s="6">
        <v>77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X171">
        <f ca="1">IF(V171=0,0,OFFSET(CreditMetrics!$B$474,MATCH(RAND(),OFFSET(CreditMetrics!$C$474,1,MATCH(BDClientes!V171,CreditMetrics!$B$475:$B$491,0),COUNT(CreditMetrics!$B$475:$B$491),1),1),0,1,1))</f>
        <v>0</v>
      </c>
      <c r="Z171" s="79"/>
    </row>
    <row r="172" spans="1:26" x14ac:dyDescent="0.25">
      <c r="A172" s="4">
        <v>171</v>
      </c>
      <c r="B172" s="5" t="s">
        <v>173</v>
      </c>
      <c r="C172" s="6">
        <v>0</v>
      </c>
      <c r="D172" s="6">
        <v>83</v>
      </c>
      <c r="E172" s="6">
        <v>83</v>
      </c>
      <c r="F172" s="6">
        <v>83</v>
      </c>
      <c r="G172" s="6">
        <v>83</v>
      </c>
      <c r="H172" s="6">
        <v>80</v>
      </c>
      <c r="I172" s="6">
        <v>83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X172">
        <f ca="1">IF(V172=0,0,OFFSET(CreditMetrics!$B$474,MATCH(RAND(),OFFSET(CreditMetrics!$C$474,1,MATCH(BDClientes!V172,CreditMetrics!$B$475:$B$491,0),COUNT(CreditMetrics!$B$475:$B$491),1),1),0,1,1))</f>
        <v>0</v>
      </c>
      <c r="Z172" s="79"/>
    </row>
    <row r="173" spans="1:26" x14ac:dyDescent="0.25">
      <c r="A173" s="4">
        <v>172</v>
      </c>
      <c r="B173" s="5" t="s">
        <v>174</v>
      </c>
      <c r="C173" s="6">
        <v>0</v>
      </c>
      <c r="D173" s="6">
        <v>83</v>
      </c>
      <c r="E173" s="6">
        <v>80</v>
      </c>
      <c r="F173" s="6">
        <v>80</v>
      </c>
      <c r="G173" s="6">
        <v>77</v>
      </c>
      <c r="H173" s="6">
        <v>80</v>
      </c>
      <c r="I173" s="6">
        <v>80</v>
      </c>
      <c r="J173" s="6">
        <v>80</v>
      </c>
      <c r="K173" s="6">
        <v>83</v>
      </c>
      <c r="L173" s="6">
        <v>80</v>
      </c>
      <c r="M173" s="6">
        <v>80</v>
      </c>
      <c r="N173" s="6">
        <v>83</v>
      </c>
      <c r="O173" s="6">
        <v>80</v>
      </c>
      <c r="P173" s="6">
        <v>83</v>
      </c>
      <c r="Q173" s="6">
        <v>80</v>
      </c>
      <c r="R173" s="6">
        <v>80</v>
      </c>
      <c r="S173" s="6">
        <v>83</v>
      </c>
      <c r="T173" s="6">
        <v>83</v>
      </c>
      <c r="U173" s="6">
        <v>80</v>
      </c>
      <c r="V173" s="6">
        <v>80</v>
      </c>
      <c r="W173" s="138">
        <v>346083.28602882795</v>
      </c>
      <c r="X173">
        <f ca="1">IF(V173=0,0,OFFSET(CreditMetrics!$B$474,MATCH(RAND(),OFFSET(CreditMetrics!$C$474,1,MATCH(BDClientes!V173,CreditMetrics!$B$475:$B$491,0),COUNT(CreditMetrics!$B$475:$B$491),1),1),0,1,1))</f>
        <v>77</v>
      </c>
      <c r="Z173" s="79"/>
    </row>
    <row r="174" spans="1:26" x14ac:dyDescent="0.25">
      <c r="A174" s="4">
        <v>173</v>
      </c>
      <c r="B174" s="5" t="s">
        <v>175</v>
      </c>
      <c r="C174" s="6">
        <v>0</v>
      </c>
      <c r="D174" s="6">
        <v>0</v>
      </c>
      <c r="E174" s="6">
        <v>0</v>
      </c>
      <c r="F174" s="6">
        <v>83</v>
      </c>
      <c r="G174" s="6">
        <v>83</v>
      </c>
      <c r="H174" s="6">
        <v>85</v>
      </c>
      <c r="I174" s="6">
        <v>83</v>
      </c>
      <c r="J174" s="6">
        <v>83</v>
      </c>
      <c r="K174" s="6">
        <v>83</v>
      </c>
      <c r="L174" s="6">
        <v>85</v>
      </c>
      <c r="M174" s="6">
        <v>85</v>
      </c>
      <c r="N174" s="6">
        <v>85</v>
      </c>
      <c r="O174" s="6">
        <v>85</v>
      </c>
      <c r="P174" s="6">
        <v>87</v>
      </c>
      <c r="Q174" s="6">
        <v>85</v>
      </c>
      <c r="R174" s="6">
        <v>87</v>
      </c>
      <c r="S174" s="6">
        <v>87</v>
      </c>
      <c r="T174" s="6">
        <v>0</v>
      </c>
      <c r="U174" s="6">
        <v>0</v>
      </c>
      <c r="V174" s="6">
        <v>0</v>
      </c>
      <c r="X174">
        <f ca="1">IF(V174=0,0,OFFSET(CreditMetrics!$B$474,MATCH(RAND(),OFFSET(CreditMetrics!$C$474,1,MATCH(BDClientes!V174,CreditMetrics!$B$475:$B$491,0),COUNT(CreditMetrics!$B$475:$B$491),1),1),0,1,1))</f>
        <v>0</v>
      </c>
      <c r="Z174" s="79"/>
    </row>
    <row r="175" spans="1:26" x14ac:dyDescent="0.25">
      <c r="A175" s="4">
        <v>174</v>
      </c>
      <c r="B175" s="5" t="s">
        <v>176</v>
      </c>
      <c r="C175" s="6">
        <v>0</v>
      </c>
      <c r="D175" s="6">
        <v>83</v>
      </c>
      <c r="E175" s="6">
        <v>80</v>
      </c>
      <c r="F175" s="6">
        <v>80</v>
      </c>
      <c r="G175" s="6">
        <v>77</v>
      </c>
      <c r="H175" s="6">
        <v>83</v>
      </c>
      <c r="I175" s="6">
        <v>83</v>
      </c>
      <c r="J175" s="6">
        <v>83</v>
      </c>
      <c r="K175" s="6">
        <v>85</v>
      </c>
      <c r="L175" s="6">
        <v>85</v>
      </c>
      <c r="M175" s="6">
        <v>85</v>
      </c>
      <c r="N175" s="6">
        <v>83</v>
      </c>
      <c r="O175" s="6">
        <v>83</v>
      </c>
      <c r="P175" s="6">
        <v>80</v>
      </c>
      <c r="Q175" s="6">
        <v>80</v>
      </c>
      <c r="R175" s="6">
        <v>77</v>
      </c>
      <c r="S175" s="6">
        <v>77</v>
      </c>
      <c r="T175" s="6">
        <v>77</v>
      </c>
      <c r="U175" s="6">
        <v>77</v>
      </c>
      <c r="V175" s="6">
        <v>77</v>
      </c>
      <c r="W175" s="138">
        <v>118162.88560900597</v>
      </c>
      <c r="X175">
        <f ca="1">IF(V175=0,0,OFFSET(CreditMetrics!$B$474,MATCH(RAND(),OFFSET(CreditMetrics!$C$474,1,MATCH(BDClientes!V175,CreditMetrics!$B$475:$B$491,0),COUNT(CreditMetrics!$B$475:$B$491),1),1),0,1,1))</f>
        <v>75</v>
      </c>
      <c r="Z175" s="79"/>
    </row>
    <row r="176" spans="1:26" x14ac:dyDescent="0.25">
      <c r="A176" s="4">
        <v>175</v>
      </c>
      <c r="B176" s="5" t="s">
        <v>177</v>
      </c>
      <c r="C176" s="6">
        <v>0</v>
      </c>
      <c r="D176" s="6">
        <v>85</v>
      </c>
      <c r="E176" s="6">
        <v>73</v>
      </c>
      <c r="F176" s="6">
        <v>73</v>
      </c>
      <c r="G176" s="6">
        <v>85</v>
      </c>
      <c r="H176" s="6">
        <v>83</v>
      </c>
      <c r="I176" s="6">
        <v>73</v>
      </c>
      <c r="J176" s="6">
        <v>73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X176">
        <f ca="1">IF(V176=0,0,OFFSET(CreditMetrics!$B$474,MATCH(RAND(),OFFSET(CreditMetrics!$C$474,1,MATCH(BDClientes!V176,CreditMetrics!$B$475:$B$491,0),COUNT(CreditMetrics!$B$475:$B$491),1),1),0,1,1))</f>
        <v>0</v>
      </c>
      <c r="Z176" s="79"/>
    </row>
    <row r="177" spans="1:26" x14ac:dyDescent="0.25">
      <c r="A177" s="4">
        <v>176</v>
      </c>
      <c r="B177" s="5" t="s">
        <v>178</v>
      </c>
      <c r="C177" s="6">
        <v>0</v>
      </c>
      <c r="D177" s="6">
        <v>87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X177">
        <f ca="1">IF(V177=0,0,OFFSET(CreditMetrics!$B$474,MATCH(RAND(),OFFSET(CreditMetrics!$C$474,1,MATCH(BDClientes!V177,CreditMetrics!$B$475:$B$491,0),COUNT(CreditMetrics!$B$475:$B$491),1),1),0,1,1))</f>
        <v>0</v>
      </c>
      <c r="Z177" s="79"/>
    </row>
    <row r="178" spans="1:26" x14ac:dyDescent="0.25">
      <c r="A178" s="4">
        <v>177</v>
      </c>
      <c r="B178" s="5" t="s">
        <v>179</v>
      </c>
      <c r="C178" s="6">
        <v>0</v>
      </c>
      <c r="D178" s="6">
        <v>87</v>
      </c>
      <c r="E178" s="6">
        <v>0</v>
      </c>
      <c r="F178" s="6">
        <v>0</v>
      </c>
      <c r="G178" s="6">
        <v>87</v>
      </c>
      <c r="H178" s="6">
        <v>87</v>
      </c>
      <c r="I178" s="6">
        <v>87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X178">
        <f ca="1">IF(V178=0,0,OFFSET(CreditMetrics!$B$474,MATCH(RAND(),OFFSET(CreditMetrics!$C$474,1,MATCH(BDClientes!V178,CreditMetrics!$B$475:$B$491,0),COUNT(CreditMetrics!$B$475:$B$491),1),1),0,1,1))</f>
        <v>0</v>
      </c>
      <c r="Z178" s="79"/>
    </row>
    <row r="179" spans="1:26" x14ac:dyDescent="0.25">
      <c r="A179" s="4">
        <v>178</v>
      </c>
      <c r="B179" s="5" t="s">
        <v>180</v>
      </c>
      <c r="C179" s="6">
        <v>0</v>
      </c>
      <c r="D179" s="6">
        <v>87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X179">
        <f ca="1">IF(V179=0,0,OFFSET(CreditMetrics!$B$474,MATCH(RAND(),OFFSET(CreditMetrics!$C$474,1,MATCH(BDClientes!V179,CreditMetrics!$B$475:$B$491,0),COUNT(CreditMetrics!$B$475:$B$491),1),1),0,1,1))</f>
        <v>0</v>
      </c>
      <c r="Z179" s="79"/>
    </row>
    <row r="180" spans="1:26" x14ac:dyDescent="0.25">
      <c r="A180" s="4">
        <v>179</v>
      </c>
      <c r="B180" s="5" t="s">
        <v>181</v>
      </c>
      <c r="C180" s="6">
        <v>0</v>
      </c>
      <c r="D180" s="6">
        <v>87</v>
      </c>
      <c r="E180" s="6">
        <v>0</v>
      </c>
      <c r="F180" s="6">
        <v>0</v>
      </c>
      <c r="G180" s="6">
        <v>87</v>
      </c>
      <c r="H180" s="6">
        <v>87</v>
      </c>
      <c r="I180" s="6">
        <v>87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X180">
        <f ca="1">IF(V180=0,0,OFFSET(CreditMetrics!$B$474,MATCH(RAND(),OFFSET(CreditMetrics!$C$474,1,MATCH(BDClientes!V180,CreditMetrics!$B$475:$B$491,0),COUNT(CreditMetrics!$B$475:$B$491),1),1),0,1,1))</f>
        <v>0</v>
      </c>
      <c r="Z180" s="79"/>
    </row>
    <row r="181" spans="1:26" x14ac:dyDescent="0.25">
      <c r="A181" s="4">
        <v>180</v>
      </c>
      <c r="B181" s="5" t="s">
        <v>182</v>
      </c>
      <c r="C181" s="6">
        <v>0</v>
      </c>
      <c r="D181" s="6">
        <v>87</v>
      </c>
      <c r="E181" s="6">
        <v>0</v>
      </c>
      <c r="F181" s="6">
        <v>0</v>
      </c>
      <c r="G181" s="6">
        <v>87</v>
      </c>
      <c r="H181" s="6">
        <v>85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X181">
        <f ca="1">IF(V181=0,0,OFFSET(CreditMetrics!$B$474,MATCH(RAND(),OFFSET(CreditMetrics!$C$474,1,MATCH(BDClientes!V181,CreditMetrics!$B$475:$B$491,0),COUNT(CreditMetrics!$B$475:$B$491),1),1),0,1,1))</f>
        <v>0</v>
      </c>
      <c r="Z181" s="79"/>
    </row>
    <row r="182" spans="1:26" x14ac:dyDescent="0.25">
      <c r="A182" s="4">
        <v>181</v>
      </c>
      <c r="B182" s="5" t="s">
        <v>183</v>
      </c>
      <c r="C182" s="6">
        <v>0</v>
      </c>
      <c r="D182" s="6">
        <v>0</v>
      </c>
      <c r="E182" s="6">
        <v>0</v>
      </c>
      <c r="F182" s="6">
        <v>0</v>
      </c>
      <c r="G182" s="6">
        <v>87</v>
      </c>
      <c r="H182" s="6">
        <v>77</v>
      </c>
      <c r="I182" s="6">
        <v>77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X182">
        <f ca="1">IF(V182=0,0,OFFSET(CreditMetrics!$B$474,MATCH(RAND(),OFFSET(CreditMetrics!$C$474,1,MATCH(BDClientes!V182,CreditMetrics!$B$475:$B$491,0),COUNT(CreditMetrics!$B$475:$B$491),1),1),0,1,1))</f>
        <v>0</v>
      </c>
      <c r="Z182" s="79"/>
    </row>
    <row r="183" spans="1:26" x14ac:dyDescent="0.25">
      <c r="A183" s="4">
        <v>182</v>
      </c>
      <c r="B183" s="5" t="s">
        <v>184</v>
      </c>
      <c r="C183" s="6">
        <v>0</v>
      </c>
      <c r="D183" s="6">
        <v>87</v>
      </c>
      <c r="E183" s="6">
        <v>0</v>
      </c>
      <c r="F183" s="6">
        <v>87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X183">
        <f ca="1">IF(V183=0,0,OFFSET(CreditMetrics!$B$474,MATCH(RAND(),OFFSET(CreditMetrics!$C$474,1,MATCH(BDClientes!V183,CreditMetrics!$B$475:$B$491,0),COUNT(CreditMetrics!$B$475:$B$491),1),1),0,1,1))</f>
        <v>0</v>
      </c>
      <c r="Z183" s="79"/>
    </row>
    <row r="184" spans="1:26" x14ac:dyDescent="0.25">
      <c r="A184" s="4">
        <v>183</v>
      </c>
      <c r="B184" s="5" t="s">
        <v>185</v>
      </c>
      <c r="C184" s="6">
        <v>0</v>
      </c>
      <c r="D184" s="6">
        <v>87</v>
      </c>
      <c r="E184" s="6">
        <v>0</v>
      </c>
      <c r="F184" s="6">
        <v>87</v>
      </c>
      <c r="G184" s="6">
        <v>85</v>
      </c>
      <c r="H184" s="6">
        <v>85</v>
      </c>
      <c r="I184" s="6">
        <v>85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X184">
        <f ca="1">IF(V184=0,0,OFFSET(CreditMetrics!$B$474,MATCH(RAND(),OFFSET(CreditMetrics!$C$474,1,MATCH(BDClientes!V184,CreditMetrics!$B$475:$B$491,0),COUNT(CreditMetrics!$B$475:$B$491),1),1),0,1,1))</f>
        <v>0</v>
      </c>
      <c r="Z184" s="79"/>
    </row>
    <row r="185" spans="1:26" x14ac:dyDescent="0.25">
      <c r="A185" s="4">
        <v>184</v>
      </c>
      <c r="B185" s="5" t="s">
        <v>186</v>
      </c>
      <c r="C185" s="6">
        <v>0</v>
      </c>
      <c r="D185" s="6">
        <v>87</v>
      </c>
      <c r="E185" s="6">
        <v>0</v>
      </c>
      <c r="F185" s="6">
        <v>0</v>
      </c>
      <c r="G185" s="6">
        <v>87</v>
      </c>
      <c r="H185" s="6">
        <v>85</v>
      </c>
      <c r="I185" s="6">
        <v>85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X185">
        <f ca="1">IF(V185=0,0,OFFSET(CreditMetrics!$B$474,MATCH(RAND(),OFFSET(CreditMetrics!$C$474,1,MATCH(BDClientes!V185,CreditMetrics!$B$475:$B$491,0),COUNT(CreditMetrics!$B$475:$B$491),1),1),0,1,1))</f>
        <v>0</v>
      </c>
      <c r="Z185" s="79"/>
    </row>
    <row r="186" spans="1:26" x14ac:dyDescent="0.25">
      <c r="A186" s="4">
        <v>185</v>
      </c>
      <c r="B186" s="5" t="s">
        <v>187</v>
      </c>
      <c r="C186" s="6">
        <v>0</v>
      </c>
      <c r="D186" s="6">
        <v>0</v>
      </c>
      <c r="E186" s="6">
        <v>0</v>
      </c>
      <c r="F186" s="6">
        <v>0</v>
      </c>
      <c r="G186" s="6">
        <v>87</v>
      </c>
      <c r="H186" s="6">
        <v>83</v>
      </c>
      <c r="I186" s="6">
        <v>83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X186">
        <f ca="1">IF(V186=0,0,OFFSET(CreditMetrics!$B$474,MATCH(RAND(),OFFSET(CreditMetrics!$C$474,1,MATCH(BDClientes!V186,CreditMetrics!$B$475:$B$491,0),COUNT(CreditMetrics!$B$475:$B$491),1),1),0,1,1))</f>
        <v>0</v>
      </c>
      <c r="Z186" s="79"/>
    </row>
    <row r="187" spans="1:26" x14ac:dyDescent="0.25">
      <c r="A187" s="4">
        <v>186</v>
      </c>
      <c r="B187" s="5" t="s">
        <v>188</v>
      </c>
      <c r="C187" s="6">
        <v>0</v>
      </c>
      <c r="D187" s="6">
        <v>87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X187">
        <f ca="1">IF(V187=0,0,OFFSET(CreditMetrics!$B$474,MATCH(RAND(),OFFSET(CreditMetrics!$C$474,1,MATCH(BDClientes!V187,CreditMetrics!$B$475:$B$491,0),COUNT(CreditMetrics!$B$475:$B$491),1),1),0,1,1))</f>
        <v>0</v>
      </c>
      <c r="Z187" s="79"/>
    </row>
    <row r="188" spans="1:26" x14ac:dyDescent="0.25">
      <c r="A188" s="4">
        <v>187</v>
      </c>
      <c r="B188" s="5" t="s">
        <v>189</v>
      </c>
      <c r="C188" s="6">
        <v>0</v>
      </c>
      <c r="D188" s="6">
        <v>80</v>
      </c>
      <c r="E188" s="6">
        <v>80</v>
      </c>
      <c r="F188" s="6">
        <v>80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X188">
        <f ca="1">IF(V188=0,0,OFFSET(CreditMetrics!$B$474,MATCH(RAND(),OFFSET(CreditMetrics!$C$474,1,MATCH(BDClientes!V188,CreditMetrics!$B$475:$B$491,0),COUNT(CreditMetrics!$B$475:$B$491),1),1),0,1,1))</f>
        <v>0</v>
      </c>
      <c r="Z188" s="79"/>
    </row>
    <row r="189" spans="1:26" x14ac:dyDescent="0.25">
      <c r="A189" s="4">
        <v>188</v>
      </c>
      <c r="B189" s="5" t="s">
        <v>190</v>
      </c>
      <c r="C189" s="6">
        <v>0</v>
      </c>
      <c r="D189" s="6">
        <v>0</v>
      </c>
      <c r="E189" s="6">
        <v>83</v>
      </c>
      <c r="F189" s="6">
        <v>0</v>
      </c>
      <c r="G189" s="6">
        <v>0</v>
      </c>
      <c r="H189" s="6">
        <v>87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X189">
        <f ca="1">IF(V189=0,0,OFFSET(CreditMetrics!$B$474,MATCH(RAND(),OFFSET(CreditMetrics!$C$474,1,MATCH(BDClientes!V189,CreditMetrics!$B$475:$B$491,0),COUNT(CreditMetrics!$B$475:$B$491),1),1),0,1,1))</f>
        <v>0</v>
      </c>
      <c r="Z189" s="79"/>
    </row>
    <row r="190" spans="1:26" x14ac:dyDescent="0.25">
      <c r="A190" s="4">
        <v>189</v>
      </c>
      <c r="B190" s="5" t="s">
        <v>191</v>
      </c>
      <c r="C190" s="6">
        <v>0</v>
      </c>
      <c r="D190" s="6">
        <v>85</v>
      </c>
      <c r="E190" s="6">
        <v>83</v>
      </c>
      <c r="F190" s="6">
        <v>83</v>
      </c>
      <c r="G190" s="6">
        <v>83</v>
      </c>
      <c r="H190" s="6">
        <v>85</v>
      </c>
      <c r="I190" s="6">
        <v>85</v>
      </c>
      <c r="J190" s="6">
        <v>85</v>
      </c>
      <c r="K190" s="6">
        <v>87</v>
      </c>
      <c r="L190" s="6">
        <v>87</v>
      </c>
      <c r="M190" s="6">
        <v>87</v>
      </c>
      <c r="N190" s="6">
        <v>87</v>
      </c>
      <c r="O190" s="6">
        <v>87</v>
      </c>
      <c r="P190" s="6">
        <v>87</v>
      </c>
      <c r="Q190" s="6">
        <v>90</v>
      </c>
      <c r="R190" s="6">
        <v>90</v>
      </c>
      <c r="S190" s="6">
        <v>87</v>
      </c>
      <c r="T190" s="6">
        <v>87</v>
      </c>
      <c r="U190" s="6">
        <v>87</v>
      </c>
      <c r="V190" s="6">
        <v>85</v>
      </c>
      <c r="W190" s="138">
        <v>161162.64646927049</v>
      </c>
      <c r="X190">
        <f ca="1">IF(V190=0,0,OFFSET(CreditMetrics!$B$474,MATCH(RAND(),OFFSET(CreditMetrics!$C$474,1,MATCH(BDClientes!V190,CreditMetrics!$B$475:$B$491,0),COUNT(CreditMetrics!$B$475:$B$491),1),1),0,1,1))</f>
        <v>83</v>
      </c>
      <c r="Z190" s="79"/>
    </row>
    <row r="191" spans="1:26" x14ac:dyDescent="0.25">
      <c r="A191" s="4">
        <v>190</v>
      </c>
      <c r="B191" s="5" t="s">
        <v>192</v>
      </c>
      <c r="C191" s="6">
        <v>0</v>
      </c>
      <c r="D191" s="6">
        <v>83</v>
      </c>
      <c r="E191" s="6">
        <v>83</v>
      </c>
      <c r="F191" s="6">
        <v>83</v>
      </c>
      <c r="G191" s="6">
        <v>83</v>
      </c>
      <c r="H191" s="6">
        <v>85</v>
      </c>
      <c r="I191" s="6">
        <v>85</v>
      </c>
      <c r="J191" s="6">
        <v>87</v>
      </c>
      <c r="K191" s="6">
        <v>85</v>
      </c>
      <c r="L191" s="6">
        <v>77</v>
      </c>
      <c r="M191" s="6">
        <v>80</v>
      </c>
      <c r="N191" s="6">
        <v>80</v>
      </c>
      <c r="O191" s="6">
        <v>80</v>
      </c>
      <c r="P191" s="6">
        <v>80</v>
      </c>
      <c r="Q191" s="6">
        <v>80</v>
      </c>
      <c r="R191" s="6">
        <v>83</v>
      </c>
      <c r="S191" s="6">
        <v>83</v>
      </c>
      <c r="T191" s="6">
        <v>83</v>
      </c>
      <c r="U191" s="6">
        <v>85</v>
      </c>
      <c r="V191" s="6">
        <v>83</v>
      </c>
      <c r="W191" s="138">
        <v>382419.23771066545</v>
      </c>
      <c r="X191">
        <f ca="1">IF(V191=0,0,OFFSET(CreditMetrics!$B$474,MATCH(RAND(),OFFSET(CreditMetrics!$C$474,1,MATCH(BDClientes!V191,CreditMetrics!$B$475:$B$491,0),COUNT(CreditMetrics!$B$475:$B$491),1),1),0,1,1))</f>
        <v>83</v>
      </c>
      <c r="Z191" s="79"/>
    </row>
    <row r="192" spans="1:26" x14ac:dyDescent="0.25">
      <c r="A192" s="4">
        <v>191</v>
      </c>
      <c r="B192" s="5" t="s">
        <v>193</v>
      </c>
      <c r="C192" s="6">
        <v>0</v>
      </c>
      <c r="D192" s="6">
        <v>85</v>
      </c>
      <c r="E192" s="6">
        <v>83</v>
      </c>
      <c r="F192" s="6">
        <v>83</v>
      </c>
      <c r="G192" s="6">
        <v>85</v>
      </c>
      <c r="H192" s="6">
        <v>83</v>
      </c>
      <c r="I192" s="6">
        <v>85</v>
      </c>
      <c r="J192" s="6">
        <v>85</v>
      </c>
      <c r="K192" s="6">
        <v>87</v>
      </c>
      <c r="L192" s="6">
        <v>85</v>
      </c>
      <c r="M192" s="6">
        <v>87</v>
      </c>
      <c r="N192" s="6">
        <v>83</v>
      </c>
      <c r="O192" s="6">
        <v>80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X192">
        <f ca="1">IF(V192=0,0,OFFSET(CreditMetrics!$B$474,MATCH(RAND(),OFFSET(CreditMetrics!$C$474,1,MATCH(BDClientes!V192,CreditMetrics!$B$475:$B$491,0),COUNT(CreditMetrics!$B$475:$B$491),1),1),0,1,1))</f>
        <v>0</v>
      </c>
      <c r="Z192" s="79"/>
    </row>
    <row r="193" spans="1:26" x14ac:dyDescent="0.25">
      <c r="A193" s="4">
        <v>192</v>
      </c>
      <c r="B193" s="5" t="s">
        <v>194</v>
      </c>
      <c r="C193" s="6">
        <v>0</v>
      </c>
      <c r="D193" s="6">
        <v>80</v>
      </c>
      <c r="E193" s="6">
        <v>83</v>
      </c>
      <c r="F193" s="6">
        <v>83</v>
      </c>
      <c r="G193" s="6">
        <v>75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X193">
        <f ca="1">IF(V193=0,0,OFFSET(CreditMetrics!$B$474,MATCH(RAND(),OFFSET(CreditMetrics!$C$474,1,MATCH(BDClientes!V193,CreditMetrics!$B$475:$B$491,0),COUNT(CreditMetrics!$B$475:$B$491),1),1),0,1,1))</f>
        <v>0</v>
      </c>
      <c r="Z193" s="79"/>
    </row>
    <row r="194" spans="1:26" x14ac:dyDescent="0.25">
      <c r="A194" s="4">
        <v>193</v>
      </c>
      <c r="B194" s="5" t="s">
        <v>195</v>
      </c>
      <c r="C194" s="6">
        <v>0</v>
      </c>
      <c r="D194" s="6">
        <v>80</v>
      </c>
      <c r="E194" s="6">
        <v>80</v>
      </c>
      <c r="F194" s="6">
        <v>80</v>
      </c>
      <c r="G194" s="6">
        <v>83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87</v>
      </c>
      <c r="N194" s="6">
        <v>87</v>
      </c>
      <c r="O194" s="6">
        <v>85</v>
      </c>
      <c r="P194" s="6">
        <v>0</v>
      </c>
      <c r="Q194" s="6">
        <v>85</v>
      </c>
      <c r="R194" s="6">
        <v>85</v>
      </c>
      <c r="S194" s="6">
        <v>80</v>
      </c>
      <c r="T194" s="6">
        <v>77</v>
      </c>
      <c r="U194" s="6">
        <v>77</v>
      </c>
      <c r="V194" s="6">
        <v>77</v>
      </c>
      <c r="W194" s="138">
        <v>159953.99913889274</v>
      </c>
      <c r="X194">
        <f ca="1">IF(V194=0,0,OFFSET(CreditMetrics!$B$474,MATCH(RAND(),OFFSET(CreditMetrics!$C$474,1,MATCH(BDClientes!V194,CreditMetrics!$B$475:$B$491,0),COUNT(CreditMetrics!$B$475:$B$491),1),1),0,1,1))</f>
        <v>70</v>
      </c>
      <c r="Z194" s="79"/>
    </row>
    <row r="195" spans="1:26" x14ac:dyDescent="0.25">
      <c r="A195" s="4">
        <v>194</v>
      </c>
      <c r="B195" s="5" t="s">
        <v>196</v>
      </c>
      <c r="C195" s="6">
        <v>0</v>
      </c>
      <c r="D195" s="6">
        <v>87</v>
      </c>
      <c r="E195" s="6">
        <v>85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X195">
        <f ca="1">IF(V195=0,0,OFFSET(CreditMetrics!$B$474,MATCH(RAND(),OFFSET(CreditMetrics!$C$474,1,MATCH(BDClientes!V195,CreditMetrics!$B$475:$B$491,0),COUNT(CreditMetrics!$B$475:$B$491),1),1),0,1,1))</f>
        <v>0</v>
      </c>
      <c r="Z195" s="79"/>
    </row>
    <row r="196" spans="1:26" x14ac:dyDescent="0.25">
      <c r="A196" s="4">
        <v>195</v>
      </c>
      <c r="B196" s="5" t="s">
        <v>197</v>
      </c>
      <c r="C196" s="6">
        <v>0</v>
      </c>
      <c r="D196" s="6">
        <v>83</v>
      </c>
      <c r="E196" s="6">
        <v>80</v>
      </c>
      <c r="F196" s="6">
        <v>80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X196">
        <f ca="1">IF(V196=0,0,OFFSET(CreditMetrics!$B$474,MATCH(RAND(),OFFSET(CreditMetrics!$C$474,1,MATCH(BDClientes!V196,CreditMetrics!$B$475:$B$491,0),COUNT(CreditMetrics!$B$475:$B$491),1),1),0,1,1))</f>
        <v>0</v>
      </c>
      <c r="Z196" s="79"/>
    </row>
    <row r="197" spans="1:26" x14ac:dyDescent="0.25">
      <c r="A197" s="4">
        <v>196</v>
      </c>
      <c r="B197" s="5" t="s">
        <v>198</v>
      </c>
      <c r="C197" s="6">
        <v>0</v>
      </c>
      <c r="D197" s="6">
        <v>83</v>
      </c>
      <c r="E197" s="6">
        <v>80</v>
      </c>
      <c r="F197" s="6">
        <v>80</v>
      </c>
      <c r="G197" s="6">
        <v>80</v>
      </c>
      <c r="H197" s="6">
        <v>83</v>
      </c>
      <c r="I197" s="6">
        <v>83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X197">
        <f ca="1">IF(V197=0,0,OFFSET(CreditMetrics!$B$474,MATCH(RAND(),OFFSET(CreditMetrics!$C$474,1,MATCH(BDClientes!V197,CreditMetrics!$B$475:$B$491,0),COUNT(CreditMetrics!$B$475:$B$491),1),1),0,1,1))</f>
        <v>0</v>
      </c>
      <c r="Z197" s="79"/>
    </row>
    <row r="198" spans="1:26" x14ac:dyDescent="0.25">
      <c r="A198" s="4">
        <v>197</v>
      </c>
      <c r="B198" s="5" t="s">
        <v>199</v>
      </c>
      <c r="C198" s="6">
        <v>0</v>
      </c>
      <c r="D198" s="6">
        <v>85</v>
      </c>
      <c r="E198" s="6">
        <v>83</v>
      </c>
      <c r="F198" s="6">
        <v>83</v>
      </c>
      <c r="G198" s="6">
        <v>85</v>
      </c>
      <c r="H198" s="6">
        <v>85</v>
      </c>
      <c r="I198" s="6">
        <v>83</v>
      </c>
      <c r="J198" s="6">
        <v>83</v>
      </c>
      <c r="K198" s="6">
        <v>83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X198">
        <f ca="1">IF(V198=0,0,OFFSET(CreditMetrics!$B$474,MATCH(RAND(),OFFSET(CreditMetrics!$C$474,1,MATCH(BDClientes!V198,CreditMetrics!$B$475:$B$491,0),COUNT(CreditMetrics!$B$475:$B$491),1),1),0,1,1))</f>
        <v>0</v>
      </c>
      <c r="Z198" s="79"/>
    </row>
    <row r="199" spans="1:26" x14ac:dyDescent="0.25">
      <c r="A199" s="4">
        <v>198</v>
      </c>
      <c r="B199" s="5" t="s">
        <v>200</v>
      </c>
      <c r="C199" s="6">
        <v>0</v>
      </c>
      <c r="D199" s="6">
        <v>0</v>
      </c>
      <c r="E199" s="6">
        <v>85</v>
      </c>
      <c r="F199" s="6">
        <v>85</v>
      </c>
      <c r="G199" s="6">
        <v>85</v>
      </c>
      <c r="H199" s="6">
        <v>85</v>
      </c>
      <c r="I199" s="6">
        <v>85</v>
      </c>
      <c r="J199" s="6">
        <v>85</v>
      </c>
      <c r="K199" s="6">
        <v>87</v>
      </c>
      <c r="L199" s="6">
        <v>87</v>
      </c>
      <c r="M199" s="6">
        <v>85</v>
      </c>
      <c r="N199" s="6">
        <v>87</v>
      </c>
      <c r="O199" s="6">
        <v>87</v>
      </c>
      <c r="P199" s="6">
        <v>85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X199">
        <f ca="1">IF(V199=0,0,OFFSET(CreditMetrics!$B$474,MATCH(RAND(),OFFSET(CreditMetrics!$C$474,1,MATCH(BDClientes!V199,CreditMetrics!$B$475:$B$491,0),COUNT(CreditMetrics!$B$475:$B$491),1),1),0,1,1))</f>
        <v>0</v>
      </c>
      <c r="Z199" s="79"/>
    </row>
    <row r="200" spans="1:26" x14ac:dyDescent="0.25">
      <c r="A200" s="4">
        <v>199</v>
      </c>
      <c r="B200" s="5" t="s">
        <v>201</v>
      </c>
      <c r="C200" s="6">
        <v>0</v>
      </c>
      <c r="D200" s="6">
        <v>0</v>
      </c>
      <c r="E200" s="6">
        <v>83</v>
      </c>
      <c r="F200" s="6">
        <v>83</v>
      </c>
      <c r="G200" s="6">
        <v>85</v>
      </c>
      <c r="H200" s="6">
        <v>83</v>
      </c>
      <c r="I200" s="6">
        <v>83</v>
      </c>
      <c r="J200" s="6">
        <v>83</v>
      </c>
      <c r="K200" s="6">
        <v>80</v>
      </c>
      <c r="L200" s="6">
        <v>85</v>
      </c>
      <c r="M200" s="6">
        <v>85</v>
      </c>
      <c r="N200" s="6">
        <v>83</v>
      </c>
      <c r="O200" s="6">
        <v>83</v>
      </c>
      <c r="P200" s="6">
        <v>83</v>
      </c>
      <c r="Q200" s="6">
        <v>83</v>
      </c>
      <c r="R200" s="6">
        <v>83</v>
      </c>
      <c r="S200" s="6">
        <v>83</v>
      </c>
      <c r="T200" s="6">
        <v>83</v>
      </c>
      <c r="U200" s="6">
        <v>85</v>
      </c>
      <c r="V200" s="6">
        <v>87</v>
      </c>
      <c r="W200" s="138">
        <v>148266.93378840157</v>
      </c>
      <c r="X200">
        <f ca="1">IF(V200=0,0,OFFSET(CreditMetrics!$B$474,MATCH(RAND(),OFFSET(CreditMetrics!$C$474,1,MATCH(BDClientes!V200,CreditMetrics!$B$475:$B$491,0),COUNT(CreditMetrics!$B$475:$B$491),1),1),0,1,1))</f>
        <v>80</v>
      </c>
      <c r="Z200" s="79"/>
    </row>
    <row r="201" spans="1:26" x14ac:dyDescent="0.25">
      <c r="A201" s="4">
        <v>200</v>
      </c>
      <c r="B201" s="5" t="s">
        <v>202</v>
      </c>
      <c r="C201" s="6">
        <v>0</v>
      </c>
      <c r="D201" s="6">
        <v>0</v>
      </c>
      <c r="E201" s="6">
        <v>85</v>
      </c>
      <c r="F201" s="6">
        <v>85</v>
      </c>
      <c r="G201" s="6">
        <v>85</v>
      </c>
      <c r="H201" s="6">
        <v>75</v>
      </c>
      <c r="I201" s="6">
        <v>85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X201">
        <f ca="1">IF(V201=0,0,OFFSET(CreditMetrics!$B$474,MATCH(RAND(),OFFSET(CreditMetrics!$C$474,1,MATCH(BDClientes!V201,CreditMetrics!$B$475:$B$491,0),COUNT(CreditMetrics!$B$475:$B$491),1),1),0,1,1))</f>
        <v>0</v>
      </c>
      <c r="Z201" s="79"/>
    </row>
    <row r="202" spans="1:26" x14ac:dyDescent="0.25">
      <c r="A202" s="4">
        <v>201</v>
      </c>
      <c r="B202" s="5" t="s">
        <v>203</v>
      </c>
      <c r="C202" s="6">
        <v>0</v>
      </c>
      <c r="D202" s="6">
        <v>0</v>
      </c>
      <c r="E202" s="6">
        <v>0</v>
      </c>
      <c r="F202" s="6">
        <v>83</v>
      </c>
      <c r="G202" s="6">
        <v>85</v>
      </c>
      <c r="H202" s="6">
        <v>85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X202">
        <f ca="1">IF(V202=0,0,OFFSET(CreditMetrics!$B$474,MATCH(RAND(),OFFSET(CreditMetrics!$C$474,1,MATCH(BDClientes!V202,CreditMetrics!$B$475:$B$491,0),COUNT(CreditMetrics!$B$475:$B$491),1),1),0,1,1))</f>
        <v>0</v>
      </c>
      <c r="Z202" s="79"/>
    </row>
    <row r="203" spans="1:26" x14ac:dyDescent="0.25">
      <c r="A203" s="4">
        <v>202</v>
      </c>
      <c r="B203" s="5" t="s">
        <v>204</v>
      </c>
      <c r="C203" s="6">
        <v>0</v>
      </c>
      <c r="D203" s="6">
        <v>0</v>
      </c>
      <c r="E203" s="6">
        <v>83</v>
      </c>
      <c r="F203" s="6">
        <v>83</v>
      </c>
      <c r="G203" s="6">
        <v>80</v>
      </c>
      <c r="H203" s="6">
        <v>85</v>
      </c>
      <c r="I203" s="6">
        <v>85</v>
      </c>
      <c r="J203" s="6">
        <v>85</v>
      </c>
      <c r="K203" s="6">
        <v>85</v>
      </c>
      <c r="L203" s="6">
        <v>80</v>
      </c>
      <c r="M203" s="6">
        <v>85</v>
      </c>
      <c r="N203" s="6">
        <v>83</v>
      </c>
      <c r="O203" s="6">
        <v>85</v>
      </c>
      <c r="P203" s="6">
        <v>87</v>
      </c>
      <c r="Q203" s="6">
        <v>87</v>
      </c>
      <c r="R203" s="6">
        <v>85</v>
      </c>
      <c r="S203" s="6">
        <v>80</v>
      </c>
      <c r="T203" s="6">
        <v>80</v>
      </c>
      <c r="U203" s="6">
        <v>77</v>
      </c>
      <c r="V203" s="6">
        <v>80</v>
      </c>
      <c r="W203" s="138">
        <v>169253.06665606488</v>
      </c>
      <c r="X203">
        <f ca="1">IF(V203=0,0,OFFSET(CreditMetrics!$B$474,MATCH(RAND(),OFFSET(CreditMetrics!$C$474,1,MATCH(BDClientes!V203,CreditMetrics!$B$475:$B$491,0),COUNT(CreditMetrics!$B$475:$B$491),1),1),0,1,1))</f>
        <v>80</v>
      </c>
      <c r="Z203" s="79"/>
    </row>
    <row r="204" spans="1:26" x14ac:dyDescent="0.25">
      <c r="A204" s="4">
        <v>203</v>
      </c>
      <c r="B204" s="5" t="s">
        <v>205</v>
      </c>
      <c r="C204" s="6">
        <v>0</v>
      </c>
      <c r="D204" s="6">
        <v>0</v>
      </c>
      <c r="E204" s="6">
        <v>83</v>
      </c>
      <c r="F204" s="6">
        <v>83</v>
      </c>
      <c r="G204" s="6">
        <v>85</v>
      </c>
      <c r="H204" s="6">
        <v>87</v>
      </c>
      <c r="I204" s="6">
        <v>87</v>
      </c>
      <c r="J204" s="6">
        <v>87</v>
      </c>
      <c r="K204" s="6">
        <v>85</v>
      </c>
      <c r="L204" s="6">
        <v>85</v>
      </c>
      <c r="M204" s="6">
        <v>85</v>
      </c>
      <c r="N204" s="6">
        <v>85</v>
      </c>
      <c r="O204" s="6">
        <v>85</v>
      </c>
      <c r="P204" s="6">
        <v>87</v>
      </c>
      <c r="Q204" s="6">
        <v>85</v>
      </c>
      <c r="R204" s="6">
        <v>85</v>
      </c>
      <c r="S204" s="6">
        <v>85</v>
      </c>
      <c r="T204" s="6">
        <v>87</v>
      </c>
      <c r="U204" s="6">
        <v>87</v>
      </c>
      <c r="V204" s="6">
        <v>87</v>
      </c>
      <c r="W204" s="138">
        <v>139950.50063911665</v>
      </c>
      <c r="X204">
        <f ca="1">IF(V204=0,0,OFFSET(CreditMetrics!$B$474,MATCH(RAND(),OFFSET(CreditMetrics!$C$474,1,MATCH(BDClientes!V204,CreditMetrics!$B$475:$B$491,0),COUNT(CreditMetrics!$B$475:$B$491),1),1),0,1,1))</f>
        <v>87</v>
      </c>
      <c r="Z204" s="79"/>
    </row>
    <row r="205" spans="1:26" x14ac:dyDescent="0.25">
      <c r="A205" s="4">
        <v>204</v>
      </c>
      <c r="B205" s="5" t="s">
        <v>206</v>
      </c>
      <c r="C205" s="6">
        <v>0</v>
      </c>
      <c r="D205" s="6">
        <v>0</v>
      </c>
      <c r="E205" s="6">
        <v>75</v>
      </c>
      <c r="F205" s="6">
        <v>75</v>
      </c>
      <c r="G205" s="6">
        <v>75</v>
      </c>
      <c r="H205" s="6">
        <v>83</v>
      </c>
      <c r="I205" s="6">
        <v>83</v>
      </c>
      <c r="J205" s="6">
        <v>85</v>
      </c>
      <c r="K205" s="6">
        <v>85</v>
      </c>
      <c r="L205" s="6">
        <v>87</v>
      </c>
      <c r="M205" s="6">
        <v>85</v>
      </c>
      <c r="N205" s="6">
        <v>85</v>
      </c>
      <c r="O205" s="6">
        <v>85</v>
      </c>
      <c r="P205" s="6">
        <v>85</v>
      </c>
      <c r="Q205" s="6">
        <v>85</v>
      </c>
      <c r="R205" s="6">
        <v>87</v>
      </c>
      <c r="S205" s="6">
        <v>0</v>
      </c>
      <c r="T205" s="6">
        <v>0</v>
      </c>
      <c r="U205" s="6">
        <v>0</v>
      </c>
      <c r="V205" s="6">
        <v>0</v>
      </c>
      <c r="X205">
        <f ca="1">IF(V205=0,0,OFFSET(CreditMetrics!$B$474,MATCH(RAND(),OFFSET(CreditMetrics!$C$474,1,MATCH(BDClientes!V205,CreditMetrics!$B$475:$B$491,0),COUNT(CreditMetrics!$B$475:$B$491),1),1),0,1,1))</f>
        <v>0</v>
      </c>
      <c r="Z205" s="79"/>
    </row>
    <row r="206" spans="1:26" x14ac:dyDescent="0.25">
      <c r="A206" s="4">
        <v>205</v>
      </c>
      <c r="B206" s="5" t="s">
        <v>207</v>
      </c>
      <c r="C206" s="6">
        <v>0</v>
      </c>
      <c r="D206" s="6">
        <v>0</v>
      </c>
      <c r="E206" s="6">
        <v>77</v>
      </c>
      <c r="F206" s="6">
        <v>77</v>
      </c>
      <c r="G206" s="6">
        <v>80</v>
      </c>
      <c r="H206" s="6">
        <v>83</v>
      </c>
      <c r="I206" s="6">
        <v>80</v>
      </c>
      <c r="J206" s="6">
        <v>80</v>
      </c>
      <c r="K206" s="6">
        <v>83</v>
      </c>
      <c r="L206" s="6">
        <v>80</v>
      </c>
      <c r="M206" s="6">
        <v>80</v>
      </c>
      <c r="N206" s="6">
        <v>75</v>
      </c>
      <c r="O206" s="6">
        <v>73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X206">
        <f ca="1">IF(V206=0,0,OFFSET(CreditMetrics!$B$474,MATCH(RAND(),OFFSET(CreditMetrics!$C$474,1,MATCH(BDClientes!V206,CreditMetrics!$B$475:$B$491,0),COUNT(CreditMetrics!$B$475:$B$491),1),1),0,1,1))</f>
        <v>0</v>
      </c>
      <c r="Z206" s="79"/>
    </row>
    <row r="207" spans="1:26" x14ac:dyDescent="0.25">
      <c r="A207" s="4">
        <v>206</v>
      </c>
      <c r="B207" s="5" t="s">
        <v>208</v>
      </c>
      <c r="C207" s="6">
        <v>0</v>
      </c>
      <c r="D207" s="6">
        <v>0</v>
      </c>
      <c r="E207" s="6">
        <v>0</v>
      </c>
      <c r="F207" s="6">
        <v>0</v>
      </c>
      <c r="G207" s="6">
        <v>0</v>
      </c>
      <c r="H207" s="6">
        <v>80</v>
      </c>
      <c r="I207" s="6">
        <v>0</v>
      </c>
      <c r="J207" s="6">
        <v>83</v>
      </c>
      <c r="K207" s="6">
        <v>83</v>
      </c>
      <c r="L207" s="6">
        <v>80</v>
      </c>
      <c r="M207" s="6">
        <v>80</v>
      </c>
      <c r="N207" s="6">
        <v>83</v>
      </c>
      <c r="O207" s="6">
        <v>80</v>
      </c>
      <c r="P207" s="6">
        <v>83</v>
      </c>
      <c r="Q207" s="6">
        <v>83</v>
      </c>
      <c r="R207" s="6">
        <v>85</v>
      </c>
      <c r="S207" s="6">
        <v>0</v>
      </c>
      <c r="T207" s="6">
        <v>0</v>
      </c>
      <c r="U207" s="6">
        <v>85</v>
      </c>
      <c r="V207" s="6">
        <v>85</v>
      </c>
      <c r="W207" s="138">
        <v>137660.11674912751</v>
      </c>
      <c r="X207">
        <f ca="1">IF(V207=0,0,OFFSET(CreditMetrics!$B$474,MATCH(RAND(),OFFSET(CreditMetrics!$C$474,1,MATCH(BDClientes!V207,CreditMetrics!$B$475:$B$491,0),COUNT(CreditMetrics!$B$475:$B$491),1),1),0,1,1))</f>
        <v>83</v>
      </c>
      <c r="Z207" s="79"/>
    </row>
    <row r="208" spans="1:26" x14ac:dyDescent="0.25">
      <c r="A208" s="4">
        <v>207</v>
      </c>
      <c r="B208" s="5" t="s">
        <v>209</v>
      </c>
      <c r="C208" s="6">
        <v>0</v>
      </c>
      <c r="D208" s="6">
        <v>0</v>
      </c>
      <c r="E208" s="6">
        <v>83</v>
      </c>
      <c r="F208" s="6">
        <v>83</v>
      </c>
      <c r="G208" s="6">
        <v>83</v>
      </c>
      <c r="H208" s="6">
        <v>83</v>
      </c>
      <c r="I208" s="6">
        <v>83</v>
      </c>
      <c r="J208" s="6">
        <v>83</v>
      </c>
      <c r="K208" s="6">
        <v>85</v>
      </c>
      <c r="L208" s="6">
        <v>85</v>
      </c>
      <c r="M208" s="6">
        <v>85</v>
      </c>
      <c r="N208" s="6">
        <v>87</v>
      </c>
      <c r="O208" s="6">
        <v>87</v>
      </c>
      <c r="P208" s="6">
        <v>87</v>
      </c>
      <c r="Q208" s="6">
        <v>87</v>
      </c>
      <c r="R208" s="6">
        <v>87</v>
      </c>
      <c r="S208" s="6">
        <v>85</v>
      </c>
      <c r="T208" s="6">
        <v>87</v>
      </c>
      <c r="U208" s="6">
        <v>87</v>
      </c>
      <c r="V208" s="6">
        <v>87</v>
      </c>
      <c r="W208" s="138">
        <v>192439.16573999412</v>
      </c>
      <c r="X208">
        <f ca="1">IF(V208=0,0,OFFSET(CreditMetrics!$B$474,MATCH(RAND(),OFFSET(CreditMetrics!$C$474,1,MATCH(BDClientes!V208,CreditMetrics!$B$475:$B$491,0),COUNT(CreditMetrics!$B$475:$B$491),1),1),0,1,1))</f>
        <v>87</v>
      </c>
      <c r="Z208" s="79"/>
    </row>
    <row r="209" spans="1:26" x14ac:dyDescent="0.25">
      <c r="A209" s="4">
        <v>208</v>
      </c>
      <c r="B209" s="5" t="s">
        <v>210</v>
      </c>
      <c r="C209" s="6">
        <v>0</v>
      </c>
      <c r="D209" s="6">
        <v>0</v>
      </c>
      <c r="E209" s="6">
        <v>75</v>
      </c>
      <c r="F209" s="6">
        <v>75</v>
      </c>
      <c r="G209" s="6">
        <v>75</v>
      </c>
      <c r="H209" s="6">
        <v>73</v>
      </c>
      <c r="I209" s="6">
        <v>73</v>
      </c>
      <c r="J209" s="6">
        <v>73</v>
      </c>
      <c r="K209" s="6">
        <v>77</v>
      </c>
      <c r="L209" s="6">
        <v>73</v>
      </c>
      <c r="M209" s="6">
        <v>75</v>
      </c>
      <c r="N209" s="6">
        <v>77</v>
      </c>
      <c r="O209" s="6">
        <v>80</v>
      </c>
      <c r="P209" s="6">
        <v>77</v>
      </c>
      <c r="Q209" s="6">
        <v>80</v>
      </c>
      <c r="R209" s="6">
        <v>83</v>
      </c>
      <c r="S209" s="6">
        <v>83</v>
      </c>
      <c r="T209" s="6">
        <v>80</v>
      </c>
      <c r="U209" s="6">
        <v>83</v>
      </c>
      <c r="V209" s="6">
        <v>80</v>
      </c>
      <c r="W209" s="138">
        <v>115245.73391442419</v>
      </c>
      <c r="X209">
        <f ca="1">IF(V209=0,0,OFFSET(CreditMetrics!$B$474,MATCH(RAND(),OFFSET(CreditMetrics!$C$474,1,MATCH(BDClientes!V209,CreditMetrics!$B$475:$B$491,0),COUNT(CreditMetrics!$B$475:$B$491),1),1),0,1,1))</f>
        <v>80</v>
      </c>
      <c r="Z209" s="79"/>
    </row>
    <row r="210" spans="1:26" x14ac:dyDescent="0.25">
      <c r="A210" s="4">
        <v>209</v>
      </c>
      <c r="B210" s="5" t="s">
        <v>211</v>
      </c>
      <c r="C210" s="6">
        <v>0</v>
      </c>
      <c r="D210" s="6">
        <v>0</v>
      </c>
      <c r="E210" s="6">
        <v>85</v>
      </c>
      <c r="F210" s="6">
        <v>85</v>
      </c>
      <c r="G210" s="6">
        <v>85</v>
      </c>
      <c r="H210" s="6">
        <v>85</v>
      </c>
      <c r="I210" s="6">
        <v>85</v>
      </c>
      <c r="J210" s="6">
        <v>83</v>
      </c>
      <c r="K210" s="6">
        <v>83</v>
      </c>
      <c r="L210" s="6">
        <v>83</v>
      </c>
      <c r="M210" s="6">
        <v>0</v>
      </c>
      <c r="N210" s="6">
        <v>0</v>
      </c>
      <c r="O210" s="6">
        <v>75</v>
      </c>
      <c r="P210" s="6">
        <v>77</v>
      </c>
      <c r="Q210" s="6">
        <v>77</v>
      </c>
      <c r="R210" s="6">
        <v>85</v>
      </c>
      <c r="S210" s="6">
        <v>80</v>
      </c>
      <c r="T210" s="6">
        <v>83</v>
      </c>
      <c r="U210" s="6">
        <v>83</v>
      </c>
      <c r="V210" s="6">
        <v>83</v>
      </c>
      <c r="W210" s="138">
        <v>168037.52724375762</v>
      </c>
      <c r="X210">
        <f ca="1">IF(V210=0,0,OFFSET(CreditMetrics!$B$474,MATCH(RAND(),OFFSET(CreditMetrics!$C$474,1,MATCH(BDClientes!V210,CreditMetrics!$B$475:$B$491,0),COUNT(CreditMetrics!$B$475:$B$491),1),1),0,1,1))</f>
        <v>83</v>
      </c>
      <c r="Z210" s="79"/>
    </row>
    <row r="211" spans="1:26" x14ac:dyDescent="0.25">
      <c r="A211" s="4">
        <v>210</v>
      </c>
      <c r="B211" s="5" t="s">
        <v>212</v>
      </c>
      <c r="C211" s="6">
        <v>0</v>
      </c>
      <c r="D211" s="6">
        <v>0</v>
      </c>
      <c r="E211" s="6">
        <v>83</v>
      </c>
      <c r="F211" s="6">
        <v>83</v>
      </c>
      <c r="G211" s="6">
        <v>83</v>
      </c>
      <c r="H211" s="6">
        <v>83</v>
      </c>
      <c r="I211" s="6">
        <v>80</v>
      </c>
      <c r="J211" s="6">
        <v>83</v>
      </c>
      <c r="K211" s="6">
        <v>85</v>
      </c>
      <c r="L211" s="6">
        <v>87</v>
      </c>
      <c r="M211" s="6">
        <v>85</v>
      </c>
      <c r="N211" s="6">
        <v>83</v>
      </c>
      <c r="O211" s="6">
        <v>83</v>
      </c>
      <c r="P211" s="6">
        <v>87</v>
      </c>
      <c r="Q211" s="6">
        <v>85</v>
      </c>
      <c r="R211" s="6">
        <v>85</v>
      </c>
      <c r="S211" s="6">
        <v>85</v>
      </c>
      <c r="T211" s="6">
        <v>87</v>
      </c>
      <c r="U211" s="6">
        <v>85</v>
      </c>
      <c r="V211" s="6">
        <v>85</v>
      </c>
      <c r="W211" s="138">
        <v>261307.22567898213</v>
      </c>
      <c r="X211">
        <f ca="1">IF(V211=0,0,OFFSET(CreditMetrics!$B$474,MATCH(RAND(),OFFSET(CreditMetrics!$C$474,1,MATCH(BDClientes!V211,CreditMetrics!$B$475:$B$491,0),COUNT(CreditMetrics!$B$475:$B$491),1),1),0,1,1))</f>
        <v>87</v>
      </c>
      <c r="Z211" s="79"/>
    </row>
    <row r="212" spans="1:26" x14ac:dyDescent="0.25">
      <c r="A212" s="4">
        <v>211</v>
      </c>
      <c r="B212" s="5" t="s">
        <v>213</v>
      </c>
      <c r="C212" s="6">
        <v>0</v>
      </c>
      <c r="D212" s="6">
        <v>0</v>
      </c>
      <c r="E212" s="6">
        <v>83</v>
      </c>
      <c r="F212" s="6">
        <v>83</v>
      </c>
      <c r="G212" s="6">
        <v>85</v>
      </c>
      <c r="H212" s="6">
        <v>87</v>
      </c>
      <c r="I212" s="6">
        <v>0</v>
      </c>
      <c r="J212" s="6">
        <v>87</v>
      </c>
      <c r="K212" s="6">
        <v>87</v>
      </c>
      <c r="L212" s="6">
        <v>90</v>
      </c>
      <c r="M212" s="6">
        <v>87</v>
      </c>
      <c r="N212" s="6">
        <v>87</v>
      </c>
      <c r="O212" s="6">
        <v>87</v>
      </c>
      <c r="P212" s="6">
        <v>87</v>
      </c>
      <c r="Q212" s="6">
        <v>87</v>
      </c>
      <c r="R212" s="6">
        <v>87</v>
      </c>
      <c r="S212" s="6">
        <v>87</v>
      </c>
      <c r="T212" s="6">
        <v>87</v>
      </c>
      <c r="U212" s="6">
        <v>87</v>
      </c>
      <c r="V212" s="6">
        <v>87</v>
      </c>
      <c r="W212" s="138">
        <v>204515.26200769609</v>
      </c>
      <c r="X212">
        <f ca="1">IF(V212=0,0,OFFSET(CreditMetrics!$B$474,MATCH(RAND(),OFFSET(CreditMetrics!$C$474,1,MATCH(BDClientes!V212,CreditMetrics!$B$475:$B$491,0),COUNT(CreditMetrics!$B$475:$B$491),1),1),0,1,1))</f>
        <v>80</v>
      </c>
      <c r="Z212" s="79"/>
    </row>
    <row r="213" spans="1:26" x14ac:dyDescent="0.25">
      <c r="A213" s="4">
        <v>212</v>
      </c>
      <c r="B213" s="5" t="s">
        <v>214</v>
      </c>
      <c r="C213" s="6">
        <v>0</v>
      </c>
      <c r="D213" s="6">
        <v>0</v>
      </c>
      <c r="E213" s="6">
        <v>83</v>
      </c>
      <c r="F213" s="6">
        <v>83</v>
      </c>
      <c r="G213" s="6">
        <v>83</v>
      </c>
      <c r="H213" s="6">
        <v>80</v>
      </c>
      <c r="I213" s="6">
        <v>85</v>
      </c>
      <c r="J213" s="6">
        <v>85</v>
      </c>
      <c r="K213" s="6">
        <v>83</v>
      </c>
      <c r="L213" s="6">
        <v>83</v>
      </c>
      <c r="M213" s="6">
        <v>80</v>
      </c>
      <c r="N213" s="6">
        <v>83</v>
      </c>
      <c r="O213" s="6">
        <v>77</v>
      </c>
      <c r="P213" s="6">
        <v>83</v>
      </c>
      <c r="Q213" s="6">
        <v>80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X213">
        <f ca="1">IF(V213=0,0,OFFSET(CreditMetrics!$B$474,MATCH(RAND(),OFFSET(CreditMetrics!$C$474,1,MATCH(BDClientes!V213,CreditMetrics!$B$475:$B$491,0),COUNT(CreditMetrics!$B$475:$B$491),1),1),0,1,1))</f>
        <v>0</v>
      </c>
      <c r="Z213" s="79"/>
    </row>
    <row r="214" spans="1:26" x14ac:dyDescent="0.25">
      <c r="A214" s="4">
        <v>213</v>
      </c>
      <c r="B214" s="5" t="s">
        <v>215</v>
      </c>
      <c r="C214" s="6">
        <v>0</v>
      </c>
      <c r="D214" s="6">
        <v>0</v>
      </c>
      <c r="E214" s="6">
        <v>83</v>
      </c>
      <c r="F214" s="6">
        <v>83</v>
      </c>
      <c r="G214" s="6">
        <v>77</v>
      </c>
      <c r="H214" s="6">
        <v>70</v>
      </c>
      <c r="I214" s="6">
        <v>70</v>
      </c>
      <c r="J214" s="6">
        <v>65</v>
      </c>
      <c r="K214" s="6">
        <v>65</v>
      </c>
      <c r="L214" s="6">
        <v>70</v>
      </c>
      <c r="M214" s="6">
        <v>70</v>
      </c>
      <c r="N214" s="6">
        <v>70</v>
      </c>
      <c r="O214" s="6">
        <v>75</v>
      </c>
      <c r="P214" s="6">
        <v>83</v>
      </c>
      <c r="Q214" s="6">
        <v>83</v>
      </c>
      <c r="R214" s="6">
        <v>85</v>
      </c>
      <c r="S214" s="6">
        <v>83</v>
      </c>
      <c r="T214" s="6">
        <v>85</v>
      </c>
      <c r="U214" s="6">
        <v>85</v>
      </c>
      <c r="V214" s="6">
        <v>85</v>
      </c>
      <c r="W214" s="138">
        <v>176737.66117794023</v>
      </c>
      <c r="X214">
        <f ca="1">IF(V214=0,0,OFFSET(CreditMetrics!$B$474,MATCH(RAND(),OFFSET(CreditMetrics!$C$474,1,MATCH(BDClientes!V214,CreditMetrics!$B$475:$B$491,0),COUNT(CreditMetrics!$B$475:$B$491),1),1),0,1,1))</f>
        <v>87</v>
      </c>
      <c r="Z214" s="79"/>
    </row>
    <row r="215" spans="1:26" x14ac:dyDescent="0.25">
      <c r="A215" s="4">
        <v>214</v>
      </c>
      <c r="B215" s="5" t="s">
        <v>216</v>
      </c>
      <c r="C215" s="6">
        <v>0</v>
      </c>
      <c r="D215" s="6">
        <v>0</v>
      </c>
      <c r="E215" s="6">
        <v>83</v>
      </c>
      <c r="F215" s="6">
        <v>83</v>
      </c>
      <c r="G215" s="6">
        <v>85</v>
      </c>
      <c r="H215" s="6">
        <v>80</v>
      </c>
      <c r="I215" s="6">
        <v>83</v>
      </c>
      <c r="J215" s="6">
        <v>83</v>
      </c>
      <c r="K215" s="6">
        <v>83</v>
      </c>
      <c r="L215" s="6">
        <v>80</v>
      </c>
      <c r="M215" s="6">
        <v>77</v>
      </c>
      <c r="N215" s="6">
        <v>75</v>
      </c>
      <c r="O215" s="6">
        <v>77</v>
      </c>
      <c r="P215" s="6">
        <v>75</v>
      </c>
      <c r="Q215" s="6">
        <v>80</v>
      </c>
      <c r="R215" s="6">
        <v>83</v>
      </c>
      <c r="S215" s="6">
        <v>83</v>
      </c>
      <c r="T215" s="6">
        <v>83</v>
      </c>
      <c r="U215" s="6">
        <v>83</v>
      </c>
      <c r="V215" s="6">
        <v>83</v>
      </c>
      <c r="W215" s="138">
        <v>578257.04425213218</v>
      </c>
      <c r="X215">
        <f ca="1">IF(V215=0,0,OFFSET(CreditMetrics!$B$474,MATCH(RAND(),OFFSET(CreditMetrics!$C$474,1,MATCH(BDClientes!V215,CreditMetrics!$B$475:$B$491,0),COUNT(CreditMetrics!$B$475:$B$491),1),1),0,1,1))</f>
        <v>85</v>
      </c>
      <c r="Z215" s="79"/>
    </row>
    <row r="216" spans="1:26" x14ac:dyDescent="0.25">
      <c r="A216" s="4">
        <v>215</v>
      </c>
      <c r="B216" s="5" t="s">
        <v>217</v>
      </c>
      <c r="C216" s="6">
        <v>0</v>
      </c>
      <c r="D216" s="6">
        <v>0</v>
      </c>
      <c r="E216" s="6">
        <v>83</v>
      </c>
      <c r="F216" s="6">
        <v>83</v>
      </c>
      <c r="G216" s="6">
        <v>83</v>
      </c>
      <c r="H216" s="6">
        <v>83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X216">
        <f ca="1">IF(V216=0,0,OFFSET(CreditMetrics!$B$474,MATCH(RAND(),OFFSET(CreditMetrics!$C$474,1,MATCH(BDClientes!V216,CreditMetrics!$B$475:$B$491,0),COUNT(CreditMetrics!$B$475:$B$491),1),1),0,1,1))</f>
        <v>0</v>
      </c>
      <c r="Z216" s="79"/>
    </row>
    <row r="217" spans="1:26" x14ac:dyDescent="0.25">
      <c r="A217" s="4">
        <v>216</v>
      </c>
      <c r="B217" s="5" t="s">
        <v>218</v>
      </c>
      <c r="C217" s="6">
        <v>0</v>
      </c>
      <c r="D217" s="6">
        <v>0</v>
      </c>
      <c r="E217" s="6">
        <v>85</v>
      </c>
      <c r="F217" s="6">
        <v>85</v>
      </c>
      <c r="G217" s="6">
        <v>22</v>
      </c>
      <c r="H217" s="6">
        <v>22</v>
      </c>
      <c r="I217" s="6">
        <v>22</v>
      </c>
      <c r="J217" s="6">
        <v>22</v>
      </c>
      <c r="K217" s="6">
        <v>22</v>
      </c>
      <c r="L217" s="6">
        <v>22</v>
      </c>
      <c r="M217" s="6">
        <v>22</v>
      </c>
      <c r="N217" s="6">
        <v>22</v>
      </c>
      <c r="O217" s="6">
        <v>22</v>
      </c>
      <c r="P217" s="6">
        <v>22</v>
      </c>
      <c r="Q217" s="6">
        <v>22</v>
      </c>
      <c r="R217" s="6">
        <v>22</v>
      </c>
      <c r="S217" s="6">
        <v>22</v>
      </c>
      <c r="T217" s="6">
        <v>22</v>
      </c>
      <c r="U217" s="6">
        <v>22</v>
      </c>
      <c r="V217" s="6">
        <v>22</v>
      </c>
      <c r="W217" s="138">
        <v>135730.27082463674</v>
      </c>
      <c r="X217">
        <f ca="1">IF(V217=0,0,OFFSET(CreditMetrics!$B$474,MATCH(RAND(),OFFSET(CreditMetrics!$C$474,1,MATCH(BDClientes!V217,CreditMetrics!$B$475:$B$491,0),COUNT(CreditMetrics!$B$475:$B$491),1),1),0,1,1))</f>
        <v>22</v>
      </c>
      <c r="Z217" s="79"/>
    </row>
    <row r="218" spans="1:26" x14ac:dyDescent="0.25">
      <c r="A218" s="4">
        <v>217</v>
      </c>
      <c r="B218" s="5" t="s">
        <v>219</v>
      </c>
      <c r="C218" s="6">
        <v>0</v>
      </c>
      <c r="D218" s="6">
        <v>0</v>
      </c>
      <c r="E218" s="6">
        <v>77</v>
      </c>
      <c r="F218" s="6">
        <v>77</v>
      </c>
      <c r="G218" s="6">
        <v>73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X218">
        <f ca="1">IF(V218=0,0,OFFSET(CreditMetrics!$B$474,MATCH(RAND(),OFFSET(CreditMetrics!$C$474,1,MATCH(BDClientes!V218,CreditMetrics!$B$475:$B$491,0),COUNT(CreditMetrics!$B$475:$B$491),1),1),0,1,1))</f>
        <v>0</v>
      </c>
      <c r="Z218" s="79"/>
    </row>
    <row r="219" spans="1:26" x14ac:dyDescent="0.25">
      <c r="A219" s="4">
        <v>218</v>
      </c>
      <c r="B219" s="5" t="s">
        <v>220</v>
      </c>
      <c r="C219" s="6">
        <v>0</v>
      </c>
      <c r="D219" s="6">
        <v>0</v>
      </c>
      <c r="E219" s="6">
        <v>85</v>
      </c>
      <c r="F219" s="6">
        <v>85</v>
      </c>
      <c r="G219" s="6">
        <v>80</v>
      </c>
      <c r="H219" s="6">
        <v>73</v>
      </c>
      <c r="I219" s="6">
        <v>73</v>
      </c>
      <c r="J219" s="6">
        <v>70</v>
      </c>
      <c r="K219" s="6">
        <v>83</v>
      </c>
      <c r="L219" s="6">
        <v>73</v>
      </c>
      <c r="M219" s="6">
        <v>80</v>
      </c>
      <c r="N219" s="6">
        <v>77</v>
      </c>
      <c r="O219" s="6">
        <v>75</v>
      </c>
      <c r="P219" s="6">
        <v>75</v>
      </c>
      <c r="Q219" s="6">
        <v>75</v>
      </c>
      <c r="R219" s="6">
        <v>75</v>
      </c>
      <c r="S219" s="6">
        <v>77</v>
      </c>
      <c r="T219" s="6">
        <v>77</v>
      </c>
      <c r="U219" s="6">
        <v>77</v>
      </c>
      <c r="V219" s="6">
        <v>0</v>
      </c>
      <c r="X219">
        <f ca="1">IF(V219=0,0,OFFSET(CreditMetrics!$B$474,MATCH(RAND(),OFFSET(CreditMetrics!$C$474,1,MATCH(BDClientes!V219,CreditMetrics!$B$475:$B$491,0),COUNT(CreditMetrics!$B$475:$B$491),1),1),0,1,1))</f>
        <v>0</v>
      </c>
      <c r="Z219" s="79"/>
    </row>
    <row r="220" spans="1:26" x14ac:dyDescent="0.25">
      <c r="A220" s="4">
        <v>219</v>
      </c>
      <c r="B220" s="5" t="s">
        <v>221</v>
      </c>
      <c r="C220" s="6">
        <v>0</v>
      </c>
      <c r="D220" s="6">
        <v>0</v>
      </c>
      <c r="E220" s="6">
        <v>83</v>
      </c>
      <c r="F220" s="6">
        <v>83</v>
      </c>
      <c r="G220" s="6">
        <v>83</v>
      </c>
      <c r="H220" s="6">
        <v>83</v>
      </c>
      <c r="I220" s="6">
        <v>83</v>
      </c>
      <c r="J220" s="6">
        <v>83</v>
      </c>
      <c r="K220" s="6">
        <v>83</v>
      </c>
      <c r="L220" s="6">
        <v>83</v>
      </c>
      <c r="M220" s="6">
        <v>80</v>
      </c>
      <c r="N220" s="6">
        <v>80</v>
      </c>
      <c r="O220" s="6">
        <v>80</v>
      </c>
      <c r="P220" s="6">
        <v>80</v>
      </c>
      <c r="Q220" s="6">
        <v>80</v>
      </c>
      <c r="R220" s="6">
        <v>83</v>
      </c>
      <c r="S220" s="6">
        <v>83</v>
      </c>
      <c r="T220" s="6">
        <v>83</v>
      </c>
      <c r="U220" s="6">
        <v>77</v>
      </c>
      <c r="V220" s="6">
        <v>75</v>
      </c>
      <c r="W220" s="138">
        <v>926114.0433361649</v>
      </c>
      <c r="X220">
        <f ca="1">IF(V220=0,0,OFFSET(CreditMetrics!$B$474,MATCH(RAND(),OFFSET(CreditMetrics!$C$474,1,MATCH(BDClientes!V220,CreditMetrics!$B$475:$B$491,0),COUNT(CreditMetrics!$B$475:$B$491),1),1),0,1,1))</f>
        <v>75</v>
      </c>
      <c r="Z220" s="79"/>
    </row>
    <row r="221" spans="1:26" x14ac:dyDescent="0.25">
      <c r="A221" s="4">
        <v>220</v>
      </c>
      <c r="B221" s="5" t="s">
        <v>222</v>
      </c>
      <c r="C221" s="6">
        <v>0</v>
      </c>
      <c r="D221" s="6">
        <v>0</v>
      </c>
      <c r="E221" s="6">
        <v>95</v>
      </c>
      <c r="F221" s="6">
        <v>95</v>
      </c>
      <c r="G221" s="6">
        <v>90</v>
      </c>
      <c r="H221" s="6">
        <v>90</v>
      </c>
      <c r="I221" s="6">
        <v>90</v>
      </c>
      <c r="J221" s="6">
        <v>90</v>
      </c>
      <c r="K221" s="6">
        <v>90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77</v>
      </c>
      <c r="U221" s="6">
        <v>77</v>
      </c>
      <c r="V221" s="6">
        <v>77</v>
      </c>
      <c r="W221" s="138">
        <v>137865.28556784408</v>
      </c>
      <c r="X221">
        <f ca="1">IF(V221=0,0,OFFSET(CreditMetrics!$B$474,MATCH(RAND(),OFFSET(CreditMetrics!$C$474,1,MATCH(BDClientes!V221,CreditMetrics!$B$475:$B$491,0),COUNT(CreditMetrics!$B$475:$B$491),1),1),0,1,1))</f>
        <v>77</v>
      </c>
      <c r="Z221" s="79"/>
    </row>
    <row r="222" spans="1:26" x14ac:dyDescent="0.25">
      <c r="A222" s="4">
        <v>221</v>
      </c>
      <c r="B222" s="5" t="s">
        <v>223</v>
      </c>
      <c r="C222" s="6">
        <v>0</v>
      </c>
      <c r="D222" s="6">
        <v>0</v>
      </c>
      <c r="E222" s="6">
        <v>85</v>
      </c>
      <c r="F222" s="6">
        <v>85</v>
      </c>
      <c r="G222" s="6">
        <v>85</v>
      </c>
      <c r="H222" s="6">
        <v>87</v>
      </c>
      <c r="I222" s="6">
        <v>87</v>
      </c>
      <c r="J222" s="6">
        <v>87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X222">
        <f ca="1">IF(V222=0,0,OFFSET(CreditMetrics!$B$474,MATCH(RAND(),OFFSET(CreditMetrics!$C$474,1,MATCH(BDClientes!V222,CreditMetrics!$B$475:$B$491,0),COUNT(CreditMetrics!$B$475:$B$491),1),1),0,1,1))</f>
        <v>0</v>
      </c>
      <c r="Z222" s="79"/>
    </row>
    <row r="223" spans="1:26" x14ac:dyDescent="0.25">
      <c r="A223" s="4">
        <v>222</v>
      </c>
      <c r="B223" s="5" t="s">
        <v>224</v>
      </c>
      <c r="C223" s="6">
        <v>0</v>
      </c>
      <c r="D223" s="6">
        <v>0</v>
      </c>
      <c r="E223" s="6">
        <v>83</v>
      </c>
      <c r="F223" s="6">
        <v>83</v>
      </c>
      <c r="G223" s="6">
        <v>83</v>
      </c>
      <c r="H223" s="6">
        <v>85</v>
      </c>
      <c r="I223" s="6">
        <v>85</v>
      </c>
      <c r="J223" s="6">
        <v>77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X223">
        <f ca="1">IF(V223=0,0,OFFSET(CreditMetrics!$B$474,MATCH(RAND(),OFFSET(CreditMetrics!$C$474,1,MATCH(BDClientes!V223,CreditMetrics!$B$475:$B$491,0),COUNT(CreditMetrics!$B$475:$B$491),1),1),0,1,1))</f>
        <v>0</v>
      </c>
      <c r="Z223" s="79"/>
    </row>
    <row r="224" spans="1:26" x14ac:dyDescent="0.25">
      <c r="A224" s="4">
        <v>223</v>
      </c>
      <c r="B224" s="5" t="s">
        <v>225</v>
      </c>
      <c r="C224" s="6">
        <v>0</v>
      </c>
      <c r="D224" s="6">
        <v>0</v>
      </c>
      <c r="E224" s="6">
        <v>83</v>
      </c>
      <c r="F224" s="6">
        <v>83</v>
      </c>
      <c r="G224" s="6">
        <v>75</v>
      </c>
      <c r="H224" s="6">
        <v>80</v>
      </c>
      <c r="I224" s="6">
        <v>80</v>
      </c>
      <c r="J224" s="6">
        <v>80</v>
      </c>
      <c r="K224" s="6">
        <v>0</v>
      </c>
      <c r="L224" s="6">
        <v>83</v>
      </c>
      <c r="M224" s="6">
        <v>0</v>
      </c>
      <c r="N224" s="6">
        <v>0</v>
      </c>
      <c r="O224" s="6">
        <v>83</v>
      </c>
      <c r="P224" s="6">
        <v>85</v>
      </c>
      <c r="Q224" s="6">
        <v>85</v>
      </c>
      <c r="R224" s="6">
        <v>85</v>
      </c>
      <c r="S224" s="6">
        <v>85</v>
      </c>
      <c r="T224" s="6">
        <v>85</v>
      </c>
      <c r="U224" s="6">
        <v>85</v>
      </c>
      <c r="V224" s="6">
        <v>0</v>
      </c>
      <c r="X224">
        <f ca="1">IF(V224=0,0,OFFSET(CreditMetrics!$B$474,MATCH(RAND(),OFFSET(CreditMetrics!$C$474,1,MATCH(BDClientes!V224,CreditMetrics!$B$475:$B$491,0),COUNT(CreditMetrics!$B$475:$B$491),1),1),0,1,1))</f>
        <v>0</v>
      </c>
      <c r="Z224" s="79"/>
    </row>
    <row r="225" spans="1:26" x14ac:dyDescent="0.25">
      <c r="A225" s="4">
        <v>224</v>
      </c>
      <c r="B225" s="5" t="s">
        <v>226</v>
      </c>
      <c r="C225" s="6">
        <v>0</v>
      </c>
      <c r="D225" s="6">
        <v>0</v>
      </c>
      <c r="E225" s="6">
        <v>80</v>
      </c>
      <c r="F225" s="6">
        <v>80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X225">
        <f ca="1">IF(V225=0,0,OFFSET(CreditMetrics!$B$474,MATCH(RAND(),OFFSET(CreditMetrics!$C$474,1,MATCH(BDClientes!V225,CreditMetrics!$B$475:$B$491,0),COUNT(CreditMetrics!$B$475:$B$491),1),1),0,1,1))</f>
        <v>0</v>
      </c>
      <c r="Z225" s="79"/>
    </row>
    <row r="226" spans="1:26" x14ac:dyDescent="0.25">
      <c r="A226" s="4">
        <v>225</v>
      </c>
      <c r="B226" s="5" t="s">
        <v>227</v>
      </c>
      <c r="C226" s="6">
        <v>0</v>
      </c>
      <c r="D226" s="6">
        <v>0</v>
      </c>
      <c r="E226" s="6">
        <v>83</v>
      </c>
      <c r="F226" s="6">
        <v>85</v>
      </c>
      <c r="G226" s="6">
        <v>85</v>
      </c>
      <c r="H226" s="6">
        <v>83</v>
      </c>
      <c r="I226" s="6">
        <v>87</v>
      </c>
      <c r="J226" s="6">
        <v>85</v>
      </c>
      <c r="K226" s="6">
        <v>87</v>
      </c>
      <c r="L226" s="6">
        <v>77</v>
      </c>
      <c r="M226" s="6">
        <v>83</v>
      </c>
      <c r="N226" s="6">
        <v>85</v>
      </c>
      <c r="O226" s="6">
        <v>77</v>
      </c>
      <c r="P226" s="6">
        <v>80</v>
      </c>
      <c r="Q226" s="6">
        <v>77</v>
      </c>
      <c r="R226" s="6">
        <v>77</v>
      </c>
      <c r="S226" s="6">
        <v>77</v>
      </c>
      <c r="T226" s="6">
        <v>80</v>
      </c>
      <c r="U226" s="6">
        <v>83</v>
      </c>
      <c r="V226" s="6">
        <v>83</v>
      </c>
      <c r="W226" s="138">
        <v>309323.39001765306</v>
      </c>
      <c r="X226">
        <f ca="1">IF(V226=0,0,OFFSET(CreditMetrics!$B$474,MATCH(RAND(),OFFSET(CreditMetrics!$C$474,1,MATCH(BDClientes!V226,CreditMetrics!$B$475:$B$491,0),COUNT(CreditMetrics!$B$475:$B$491),1),1),0,1,1))</f>
        <v>83</v>
      </c>
      <c r="Z226" s="79"/>
    </row>
    <row r="227" spans="1:26" x14ac:dyDescent="0.25">
      <c r="A227" s="4">
        <v>226</v>
      </c>
      <c r="B227" s="5" t="s">
        <v>228</v>
      </c>
      <c r="C227" s="6">
        <v>0</v>
      </c>
      <c r="D227" s="6">
        <v>0</v>
      </c>
      <c r="E227" s="6">
        <v>85</v>
      </c>
      <c r="F227" s="6">
        <v>85</v>
      </c>
      <c r="G227" s="6">
        <v>85</v>
      </c>
      <c r="H227" s="6">
        <v>87</v>
      </c>
      <c r="I227" s="6">
        <v>87</v>
      </c>
      <c r="J227" s="6">
        <v>85</v>
      </c>
      <c r="K227" s="6">
        <v>85</v>
      </c>
      <c r="L227" s="6">
        <v>80</v>
      </c>
      <c r="M227" s="6">
        <v>80</v>
      </c>
      <c r="N227" s="6">
        <v>85</v>
      </c>
      <c r="O227" s="6">
        <v>85</v>
      </c>
      <c r="P227" s="6">
        <v>83</v>
      </c>
      <c r="Q227" s="6">
        <v>83</v>
      </c>
      <c r="R227" s="6">
        <v>83</v>
      </c>
      <c r="S227" s="6">
        <v>83</v>
      </c>
      <c r="T227" s="6">
        <v>83</v>
      </c>
      <c r="U227" s="6">
        <v>83</v>
      </c>
      <c r="V227" s="6">
        <v>83</v>
      </c>
      <c r="W227" s="138">
        <v>2687843.4383520251</v>
      </c>
      <c r="X227">
        <f ca="1">IF(V227=0,0,OFFSET(CreditMetrics!$B$474,MATCH(RAND(),OFFSET(CreditMetrics!$C$474,1,MATCH(BDClientes!V227,CreditMetrics!$B$475:$B$491,0),COUNT(CreditMetrics!$B$475:$B$491),1),1),0,1,1))</f>
        <v>83</v>
      </c>
      <c r="Z227" s="79"/>
    </row>
    <row r="228" spans="1:26" x14ac:dyDescent="0.25">
      <c r="A228" s="4">
        <v>227</v>
      </c>
      <c r="B228" s="5" t="s">
        <v>229</v>
      </c>
      <c r="C228" s="6">
        <v>0</v>
      </c>
      <c r="D228" s="6">
        <v>0</v>
      </c>
      <c r="E228" s="6">
        <v>80</v>
      </c>
      <c r="F228" s="6">
        <v>80</v>
      </c>
      <c r="G228" s="6">
        <v>75</v>
      </c>
      <c r="H228" s="6">
        <v>75</v>
      </c>
      <c r="I228" s="6">
        <v>77</v>
      </c>
      <c r="J228" s="6">
        <v>77</v>
      </c>
      <c r="K228" s="6">
        <v>83</v>
      </c>
      <c r="L228" s="6">
        <v>80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85</v>
      </c>
      <c r="T228" s="6">
        <v>83</v>
      </c>
      <c r="U228" s="6">
        <v>80</v>
      </c>
      <c r="V228" s="6">
        <v>77</v>
      </c>
      <c r="W228" s="138">
        <v>600335.58677953039</v>
      </c>
      <c r="X228">
        <f ca="1">IF(V228=0,0,OFFSET(CreditMetrics!$B$474,MATCH(RAND(),OFFSET(CreditMetrics!$C$474,1,MATCH(BDClientes!V228,CreditMetrics!$B$475:$B$491,0),COUNT(CreditMetrics!$B$475:$B$491),1),1),0,1,1))</f>
        <v>77</v>
      </c>
      <c r="Z228" s="79"/>
    </row>
    <row r="229" spans="1:26" x14ac:dyDescent="0.25">
      <c r="A229" s="4">
        <v>228</v>
      </c>
      <c r="B229" s="5" t="s">
        <v>230</v>
      </c>
      <c r="C229" s="6">
        <v>0</v>
      </c>
      <c r="D229" s="6">
        <v>0</v>
      </c>
      <c r="E229" s="6">
        <v>0</v>
      </c>
      <c r="F229" s="6">
        <v>83</v>
      </c>
      <c r="G229" s="6">
        <v>85</v>
      </c>
      <c r="H229" s="6">
        <v>87</v>
      </c>
      <c r="I229" s="6">
        <v>87</v>
      </c>
      <c r="J229" s="6">
        <v>90</v>
      </c>
      <c r="K229" s="6">
        <v>0</v>
      </c>
      <c r="L229" s="6">
        <v>87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X229">
        <f ca="1">IF(V229=0,0,OFFSET(CreditMetrics!$B$474,MATCH(RAND(),OFFSET(CreditMetrics!$C$474,1,MATCH(BDClientes!V229,CreditMetrics!$B$475:$B$491,0),COUNT(CreditMetrics!$B$475:$B$491),1),1),0,1,1))</f>
        <v>0</v>
      </c>
      <c r="Z229" s="79"/>
    </row>
    <row r="230" spans="1:26" x14ac:dyDescent="0.25">
      <c r="A230" s="4">
        <v>229</v>
      </c>
      <c r="B230" s="5" t="s">
        <v>231</v>
      </c>
      <c r="C230" s="6">
        <v>0</v>
      </c>
      <c r="D230" s="6">
        <v>0</v>
      </c>
      <c r="E230" s="6">
        <v>0</v>
      </c>
      <c r="F230" s="6">
        <v>85</v>
      </c>
      <c r="G230" s="6">
        <v>87</v>
      </c>
      <c r="H230" s="6">
        <v>0</v>
      </c>
      <c r="I230" s="6">
        <v>0</v>
      </c>
      <c r="J230" s="6">
        <v>83</v>
      </c>
      <c r="K230" s="6">
        <v>0</v>
      </c>
      <c r="L230" s="6">
        <v>83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X230">
        <f ca="1">IF(V230=0,0,OFFSET(CreditMetrics!$B$474,MATCH(RAND(),OFFSET(CreditMetrics!$C$474,1,MATCH(BDClientes!V230,CreditMetrics!$B$475:$B$491,0),COUNT(CreditMetrics!$B$475:$B$491),1),1),0,1,1))</f>
        <v>0</v>
      </c>
      <c r="Z230" s="79"/>
    </row>
    <row r="231" spans="1:26" x14ac:dyDescent="0.25">
      <c r="A231" s="4">
        <v>230</v>
      </c>
      <c r="B231" s="5" t="s">
        <v>232</v>
      </c>
      <c r="C231" s="6">
        <v>0</v>
      </c>
      <c r="D231" s="6">
        <v>0</v>
      </c>
      <c r="E231" s="6">
        <v>0</v>
      </c>
      <c r="F231" s="6">
        <v>87</v>
      </c>
      <c r="G231" s="6">
        <v>0</v>
      </c>
      <c r="H231" s="6">
        <v>87</v>
      </c>
      <c r="I231" s="6">
        <v>0</v>
      </c>
      <c r="J231" s="6">
        <v>85</v>
      </c>
      <c r="K231" s="6">
        <v>0</v>
      </c>
      <c r="L231" s="6">
        <v>85</v>
      </c>
      <c r="M231" s="6">
        <v>85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X231">
        <f ca="1">IF(V231=0,0,OFFSET(CreditMetrics!$B$474,MATCH(RAND(),OFFSET(CreditMetrics!$C$474,1,MATCH(BDClientes!V231,CreditMetrics!$B$475:$B$491,0),COUNT(CreditMetrics!$B$475:$B$491),1),1),0,1,1))</f>
        <v>0</v>
      </c>
      <c r="Z231" s="79"/>
    </row>
    <row r="232" spans="1:26" x14ac:dyDescent="0.25">
      <c r="A232" s="4">
        <v>231</v>
      </c>
      <c r="B232" s="5" t="s">
        <v>233</v>
      </c>
      <c r="C232" s="6">
        <v>0</v>
      </c>
      <c r="D232" s="6">
        <v>0</v>
      </c>
      <c r="E232" s="6">
        <v>0</v>
      </c>
      <c r="F232" s="6">
        <v>85</v>
      </c>
      <c r="G232" s="6">
        <v>85</v>
      </c>
      <c r="H232" s="6">
        <v>87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X232">
        <f ca="1">IF(V232=0,0,OFFSET(CreditMetrics!$B$474,MATCH(RAND(),OFFSET(CreditMetrics!$C$474,1,MATCH(BDClientes!V232,CreditMetrics!$B$475:$B$491,0),COUNT(CreditMetrics!$B$475:$B$491),1),1),0,1,1))</f>
        <v>0</v>
      </c>
      <c r="Z232" s="79"/>
    </row>
    <row r="233" spans="1:26" x14ac:dyDescent="0.25">
      <c r="A233" s="4">
        <v>232</v>
      </c>
      <c r="B233" s="5" t="s">
        <v>234</v>
      </c>
      <c r="C233" s="6">
        <v>0</v>
      </c>
      <c r="D233" s="6">
        <v>0</v>
      </c>
      <c r="E233" s="6">
        <v>0</v>
      </c>
      <c r="F233" s="6">
        <v>83</v>
      </c>
      <c r="G233" s="6">
        <v>83</v>
      </c>
      <c r="H233" s="6">
        <v>83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X233">
        <f ca="1">IF(V233=0,0,OFFSET(CreditMetrics!$B$474,MATCH(RAND(),OFFSET(CreditMetrics!$C$474,1,MATCH(BDClientes!V233,CreditMetrics!$B$475:$B$491,0),COUNT(CreditMetrics!$B$475:$B$491),1),1),0,1,1))</f>
        <v>0</v>
      </c>
      <c r="Z233" s="79"/>
    </row>
    <row r="234" spans="1:26" x14ac:dyDescent="0.25">
      <c r="A234" s="4">
        <v>233</v>
      </c>
      <c r="B234" s="5" t="s">
        <v>235</v>
      </c>
      <c r="C234" s="6">
        <v>0</v>
      </c>
      <c r="D234" s="6">
        <v>0</v>
      </c>
      <c r="E234" s="6">
        <v>0</v>
      </c>
      <c r="F234" s="6">
        <v>85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X234">
        <f ca="1">IF(V234=0,0,OFFSET(CreditMetrics!$B$474,MATCH(RAND(),OFFSET(CreditMetrics!$C$474,1,MATCH(BDClientes!V234,CreditMetrics!$B$475:$B$491,0),COUNT(CreditMetrics!$B$475:$B$491),1),1),0,1,1))</f>
        <v>0</v>
      </c>
      <c r="Z234" s="79"/>
    </row>
    <row r="235" spans="1:26" x14ac:dyDescent="0.25">
      <c r="A235" s="4">
        <v>234</v>
      </c>
      <c r="B235" s="5" t="s">
        <v>236</v>
      </c>
      <c r="C235" s="6">
        <v>0</v>
      </c>
      <c r="D235" s="6">
        <v>0</v>
      </c>
      <c r="E235" s="6">
        <v>0</v>
      </c>
      <c r="F235" s="6">
        <v>83</v>
      </c>
      <c r="G235" s="6">
        <v>85</v>
      </c>
      <c r="H235" s="6">
        <v>87</v>
      </c>
      <c r="I235" s="6">
        <v>85</v>
      </c>
      <c r="J235" s="6">
        <v>75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X235">
        <f ca="1">IF(V235=0,0,OFFSET(CreditMetrics!$B$474,MATCH(RAND(),OFFSET(CreditMetrics!$C$474,1,MATCH(BDClientes!V235,CreditMetrics!$B$475:$B$491,0),COUNT(CreditMetrics!$B$475:$B$491),1),1),0,1,1))</f>
        <v>0</v>
      </c>
      <c r="Z235" s="79"/>
    </row>
    <row r="236" spans="1:26" x14ac:dyDescent="0.25">
      <c r="A236" s="4">
        <v>235</v>
      </c>
      <c r="B236" s="5" t="s">
        <v>237</v>
      </c>
      <c r="C236" s="6">
        <v>0</v>
      </c>
      <c r="D236" s="6">
        <v>0</v>
      </c>
      <c r="E236" s="6">
        <v>0</v>
      </c>
      <c r="F236" s="6">
        <v>0</v>
      </c>
      <c r="G236" s="6">
        <v>83</v>
      </c>
      <c r="H236" s="6">
        <v>85</v>
      </c>
      <c r="I236" s="6">
        <v>0</v>
      </c>
      <c r="J236" s="6">
        <v>90</v>
      </c>
      <c r="K236" s="6">
        <v>90</v>
      </c>
      <c r="L236" s="6">
        <v>87</v>
      </c>
      <c r="M236" s="6">
        <v>87</v>
      </c>
      <c r="N236" s="6">
        <v>87</v>
      </c>
      <c r="O236" s="6">
        <v>87</v>
      </c>
      <c r="P236" s="6">
        <v>90</v>
      </c>
      <c r="Q236" s="6">
        <v>90</v>
      </c>
      <c r="R236" s="6">
        <v>85</v>
      </c>
      <c r="S236" s="6">
        <v>85</v>
      </c>
      <c r="T236" s="6">
        <v>85</v>
      </c>
      <c r="U236" s="6">
        <v>85</v>
      </c>
      <c r="V236" s="6">
        <v>0</v>
      </c>
      <c r="X236">
        <f ca="1">IF(V236=0,0,OFFSET(CreditMetrics!$B$474,MATCH(RAND(),OFFSET(CreditMetrics!$C$474,1,MATCH(BDClientes!V236,CreditMetrics!$B$475:$B$491,0),COUNT(CreditMetrics!$B$475:$B$491),1),1),0,1,1))</f>
        <v>0</v>
      </c>
      <c r="Z236" s="79"/>
    </row>
    <row r="237" spans="1:26" x14ac:dyDescent="0.25">
      <c r="A237" s="4">
        <v>236</v>
      </c>
      <c r="B237" s="5" t="s">
        <v>238</v>
      </c>
      <c r="C237" s="6">
        <v>0</v>
      </c>
      <c r="D237" s="6">
        <v>0</v>
      </c>
      <c r="E237" s="6">
        <v>0</v>
      </c>
      <c r="F237" s="6">
        <v>0</v>
      </c>
      <c r="G237" s="6">
        <v>87</v>
      </c>
      <c r="H237" s="6">
        <v>80</v>
      </c>
      <c r="I237" s="6">
        <v>75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X237">
        <f ca="1">IF(V237=0,0,OFFSET(CreditMetrics!$B$474,MATCH(RAND(),OFFSET(CreditMetrics!$C$474,1,MATCH(BDClientes!V237,CreditMetrics!$B$475:$B$491,0),COUNT(CreditMetrics!$B$475:$B$491),1),1),0,1,1))</f>
        <v>0</v>
      </c>
      <c r="Z237" s="79"/>
    </row>
    <row r="238" spans="1:26" x14ac:dyDescent="0.25">
      <c r="A238" s="4">
        <v>237</v>
      </c>
      <c r="B238" s="5" t="s">
        <v>239</v>
      </c>
      <c r="C238" s="6">
        <v>0</v>
      </c>
      <c r="D238" s="6">
        <v>0</v>
      </c>
      <c r="E238" s="6">
        <v>0</v>
      </c>
      <c r="F238" s="6">
        <v>87</v>
      </c>
      <c r="G238" s="6">
        <v>0</v>
      </c>
      <c r="H238" s="6">
        <v>87</v>
      </c>
      <c r="I238" s="6">
        <v>0</v>
      </c>
      <c r="J238" s="6">
        <v>0</v>
      </c>
      <c r="K238" s="6">
        <v>85</v>
      </c>
      <c r="L238" s="6">
        <v>85</v>
      </c>
      <c r="M238" s="6">
        <v>85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X238">
        <f ca="1">IF(V238=0,0,OFFSET(CreditMetrics!$B$474,MATCH(RAND(),OFFSET(CreditMetrics!$C$474,1,MATCH(BDClientes!V238,CreditMetrics!$B$475:$B$491,0),COUNT(CreditMetrics!$B$475:$B$491),1),1),0,1,1))</f>
        <v>0</v>
      </c>
      <c r="Z238" s="79"/>
    </row>
    <row r="239" spans="1:26" x14ac:dyDescent="0.25">
      <c r="A239" s="4">
        <v>238</v>
      </c>
      <c r="B239" s="5" t="s">
        <v>240</v>
      </c>
      <c r="C239" s="6">
        <v>0</v>
      </c>
      <c r="D239" s="6">
        <v>0</v>
      </c>
      <c r="E239" s="6">
        <v>0</v>
      </c>
      <c r="F239" s="6">
        <v>83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X239">
        <f ca="1">IF(V239=0,0,OFFSET(CreditMetrics!$B$474,MATCH(RAND(),OFFSET(CreditMetrics!$C$474,1,MATCH(BDClientes!V239,CreditMetrics!$B$475:$B$491,0),COUNT(CreditMetrics!$B$475:$B$491),1),1),0,1,1))</f>
        <v>0</v>
      </c>
      <c r="Z239" s="79"/>
    </row>
    <row r="240" spans="1:26" x14ac:dyDescent="0.25">
      <c r="A240" s="4">
        <v>239</v>
      </c>
      <c r="B240" s="5" t="s">
        <v>241</v>
      </c>
      <c r="C240" s="6">
        <v>0</v>
      </c>
      <c r="D240" s="6">
        <v>0</v>
      </c>
      <c r="E240" s="6">
        <v>0</v>
      </c>
      <c r="F240" s="6">
        <v>0</v>
      </c>
      <c r="G240" s="6">
        <v>83</v>
      </c>
      <c r="H240" s="6">
        <v>85</v>
      </c>
      <c r="I240" s="6">
        <v>85</v>
      </c>
      <c r="J240" s="6">
        <v>85</v>
      </c>
      <c r="K240" s="6">
        <v>85</v>
      </c>
      <c r="L240" s="6">
        <v>83</v>
      </c>
      <c r="M240" s="6">
        <v>83</v>
      </c>
      <c r="N240" s="6">
        <v>85</v>
      </c>
      <c r="O240" s="6">
        <v>85</v>
      </c>
      <c r="P240" s="6">
        <v>85</v>
      </c>
      <c r="Q240" s="6">
        <v>85</v>
      </c>
      <c r="R240" s="6">
        <v>87</v>
      </c>
      <c r="S240" s="6">
        <v>87</v>
      </c>
      <c r="T240" s="6">
        <v>85</v>
      </c>
      <c r="U240" s="6">
        <v>87</v>
      </c>
      <c r="V240" s="6">
        <v>0</v>
      </c>
      <c r="X240">
        <f ca="1">IF(V240=0,0,OFFSET(CreditMetrics!$B$474,MATCH(RAND(),OFFSET(CreditMetrics!$C$474,1,MATCH(BDClientes!V240,CreditMetrics!$B$475:$B$491,0),COUNT(CreditMetrics!$B$475:$B$491),1),1),0,1,1))</f>
        <v>0</v>
      </c>
      <c r="Z240" s="79"/>
    </row>
    <row r="241" spans="1:26" x14ac:dyDescent="0.25">
      <c r="A241" s="4">
        <v>240</v>
      </c>
      <c r="B241" s="5" t="s">
        <v>242</v>
      </c>
      <c r="C241" s="6">
        <v>0</v>
      </c>
      <c r="D241" s="6">
        <v>0</v>
      </c>
      <c r="E241" s="6">
        <v>0</v>
      </c>
      <c r="F241" s="6">
        <v>83</v>
      </c>
      <c r="G241" s="6">
        <v>80</v>
      </c>
      <c r="H241" s="6">
        <v>77</v>
      </c>
      <c r="I241" s="6">
        <v>83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X241">
        <f ca="1">IF(V241=0,0,OFFSET(CreditMetrics!$B$474,MATCH(RAND(),OFFSET(CreditMetrics!$C$474,1,MATCH(BDClientes!V241,CreditMetrics!$B$475:$B$491,0),COUNT(CreditMetrics!$B$475:$B$491),1),1),0,1,1))</f>
        <v>0</v>
      </c>
      <c r="Z241" s="79"/>
    </row>
    <row r="242" spans="1:26" x14ac:dyDescent="0.25">
      <c r="A242" s="4">
        <v>241</v>
      </c>
      <c r="B242" s="5" t="s">
        <v>243</v>
      </c>
      <c r="C242" s="6">
        <v>0</v>
      </c>
      <c r="D242" s="6">
        <v>0</v>
      </c>
      <c r="E242" s="6">
        <v>0</v>
      </c>
      <c r="F242" s="6">
        <v>83</v>
      </c>
      <c r="G242" s="6">
        <v>83</v>
      </c>
      <c r="H242" s="6">
        <v>83</v>
      </c>
      <c r="I242" s="6">
        <v>80</v>
      </c>
      <c r="J242" s="6">
        <v>77</v>
      </c>
      <c r="K242" s="6">
        <v>80</v>
      </c>
      <c r="L242" s="6">
        <v>75</v>
      </c>
      <c r="M242" s="6">
        <v>75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X242">
        <f ca="1">IF(V242=0,0,OFFSET(CreditMetrics!$B$474,MATCH(RAND(),OFFSET(CreditMetrics!$C$474,1,MATCH(BDClientes!V242,CreditMetrics!$B$475:$B$491,0),COUNT(CreditMetrics!$B$475:$B$491),1),1),0,1,1))</f>
        <v>0</v>
      </c>
      <c r="Z242" s="79"/>
    </row>
    <row r="243" spans="1:26" x14ac:dyDescent="0.25">
      <c r="A243" s="4">
        <v>242</v>
      </c>
      <c r="B243" s="5" t="s">
        <v>244</v>
      </c>
      <c r="C243" s="6">
        <v>0</v>
      </c>
      <c r="D243" s="6">
        <v>0</v>
      </c>
      <c r="E243" s="6">
        <v>0</v>
      </c>
      <c r="F243" s="6">
        <v>80</v>
      </c>
      <c r="G243" s="6">
        <v>80</v>
      </c>
      <c r="H243" s="6">
        <v>77</v>
      </c>
      <c r="I243" s="6">
        <v>77</v>
      </c>
      <c r="J243" s="6">
        <v>80</v>
      </c>
      <c r="K243" s="6">
        <v>80</v>
      </c>
      <c r="L243" s="6">
        <v>85</v>
      </c>
      <c r="M243" s="6">
        <v>83</v>
      </c>
      <c r="N243" s="6">
        <v>83</v>
      </c>
      <c r="O243" s="6">
        <v>83</v>
      </c>
      <c r="P243" s="6">
        <v>83</v>
      </c>
      <c r="Q243" s="6">
        <v>83</v>
      </c>
      <c r="R243" s="6">
        <v>85</v>
      </c>
      <c r="S243" s="6">
        <v>85</v>
      </c>
      <c r="T243" s="6">
        <v>85</v>
      </c>
      <c r="U243" s="6">
        <v>85</v>
      </c>
      <c r="V243" s="6">
        <v>83</v>
      </c>
      <c r="W243" s="138">
        <v>165015.30256284392</v>
      </c>
      <c r="X243">
        <f ca="1">IF(V243=0,0,OFFSET(CreditMetrics!$B$474,MATCH(RAND(),OFFSET(CreditMetrics!$C$474,1,MATCH(BDClientes!V243,CreditMetrics!$B$475:$B$491,0),COUNT(CreditMetrics!$B$475:$B$491),1),1),0,1,1))</f>
        <v>80</v>
      </c>
      <c r="Z243" s="79"/>
    </row>
    <row r="244" spans="1:26" x14ac:dyDescent="0.25">
      <c r="A244" s="4">
        <v>243</v>
      </c>
      <c r="B244" s="5" t="s">
        <v>245</v>
      </c>
      <c r="C244" s="6">
        <v>0</v>
      </c>
      <c r="D244" s="6">
        <v>0</v>
      </c>
      <c r="E244" s="6">
        <v>0</v>
      </c>
      <c r="F244" s="6">
        <v>77</v>
      </c>
      <c r="G244" s="6">
        <v>77</v>
      </c>
      <c r="H244" s="6">
        <v>77</v>
      </c>
      <c r="I244" s="6">
        <v>80</v>
      </c>
      <c r="J244" s="6">
        <v>80</v>
      </c>
      <c r="K244" s="6">
        <v>77</v>
      </c>
      <c r="L244" s="6">
        <v>70</v>
      </c>
      <c r="M244" s="6">
        <v>70</v>
      </c>
      <c r="N244" s="6">
        <v>65</v>
      </c>
      <c r="O244" s="6">
        <v>70</v>
      </c>
      <c r="P244" s="6">
        <v>75</v>
      </c>
      <c r="Q244" s="6">
        <v>75</v>
      </c>
      <c r="R244" s="6">
        <v>75</v>
      </c>
      <c r="S244" s="6">
        <v>75</v>
      </c>
      <c r="T244" s="6">
        <v>0</v>
      </c>
      <c r="U244" s="6">
        <v>0</v>
      </c>
      <c r="V244" s="6">
        <v>0</v>
      </c>
      <c r="X244">
        <f ca="1">IF(V244=0,0,OFFSET(CreditMetrics!$B$474,MATCH(RAND(),OFFSET(CreditMetrics!$C$474,1,MATCH(BDClientes!V244,CreditMetrics!$B$475:$B$491,0),COUNT(CreditMetrics!$B$475:$B$491),1),1),0,1,1))</f>
        <v>0</v>
      </c>
      <c r="Z244" s="79"/>
    </row>
    <row r="245" spans="1:26" x14ac:dyDescent="0.25">
      <c r="A245" s="4">
        <v>244</v>
      </c>
      <c r="B245" s="5" t="s">
        <v>246</v>
      </c>
      <c r="C245" s="6">
        <v>0</v>
      </c>
      <c r="D245" s="6">
        <v>0</v>
      </c>
      <c r="E245" s="6">
        <v>0</v>
      </c>
      <c r="F245" s="6">
        <v>85</v>
      </c>
      <c r="G245" s="6">
        <v>85</v>
      </c>
      <c r="H245" s="6">
        <v>83</v>
      </c>
      <c r="I245" s="6">
        <v>85</v>
      </c>
      <c r="J245" s="6">
        <v>0</v>
      </c>
      <c r="K245" s="6">
        <v>87</v>
      </c>
      <c r="L245" s="6">
        <v>87</v>
      </c>
      <c r="M245" s="6">
        <v>87</v>
      </c>
      <c r="N245" s="6">
        <v>87</v>
      </c>
      <c r="O245" s="6">
        <v>90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X245">
        <f ca="1">IF(V245=0,0,OFFSET(CreditMetrics!$B$474,MATCH(RAND(),OFFSET(CreditMetrics!$C$474,1,MATCH(BDClientes!V245,CreditMetrics!$B$475:$B$491,0),COUNT(CreditMetrics!$B$475:$B$491),1),1),0,1,1))</f>
        <v>0</v>
      </c>
      <c r="Z245" s="79"/>
    </row>
    <row r="246" spans="1:26" x14ac:dyDescent="0.25">
      <c r="A246" s="4">
        <v>245</v>
      </c>
      <c r="B246" s="5" t="s">
        <v>247</v>
      </c>
      <c r="C246" s="6">
        <v>0</v>
      </c>
      <c r="D246" s="6">
        <v>0</v>
      </c>
      <c r="E246" s="6">
        <v>0</v>
      </c>
      <c r="F246" s="6">
        <v>77</v>
      </c>
      <c r="G246" s="6">
        <v>80</v>
      </c>
      <c r="H246" s="6">
        <v>83</v>
      </c>
      <c r="I246" s="6">
        <v>83</v>
      </c>
      <c r="J246" s="6">
        <v>83</v>
      </c>
      <c r="K246" s="6">
        <v>83</v>
      </c>
      <c r="L246" s="6">
        <v>85</v>
      </c>
      <c r="M246" s="6">
        <v>83</v>
      </c>
      <c r="N246" s="6">
        <v>83</v>
      </c>
      <c r="O246" s="6">
        <v>83</v>
      </c>
      <c r="P246" s="6">
        <v>85</v>
      </c>
      <c r="Q246" s="6">
        <v>83</v>
      </c>
      <c r="R246" s="6">
        <v>85</v>
      </c>
      <c r="S246" s="6">
        <v>83</v>
      </c>
      <c r="T246" s="6">
        <v>85</v>
      </c>
      <c r="U246" s="6">
        <v>85</v>
      </c>
      <c r="V246" s="6">
        <v>85</v>
      </c>
      <c r="W246" s="138">
        <v>109092.93496124816</v>
      </c>
      <c r="X246">
        <f ca="1">IF(V246=0,0,OFFSET(CreditMetrics!$B$474,MATCH(RAND(),OFFSET(CreditMetrics!$C$474,1,MATCH(BDClientes!V246,CreditMetrics!$B$475:$B$491,0),COUNT(CreditMetrics!$B$475:$B$491),1),1),0,1,1))</f>
        <v>70</v>
      </c>
      <c r="Z246" s="79"/>
    </row>
    <row r="247" spans="1:26" x14ac:dyDescent="0.25">
      <c r="A247" s="4">
        <v>246</v>
      </c>
      <c r="B247" s="5" t="s">
        <v>248</v>
      </c>
      <c r="C247" s="6">
        <v>0</v>
      </c>
      <c r="D247" s="6">
        <v>0</v>
      </c>
      <c r="E247" s="6">
        <v>0</v>
      </c>
      <c r="F247" s="6">
        <v>83</v>
      </c>
      <c r="G247" s="6">
        <v>85</v>
      </c>
      <c r="H247" s="6">
        <v>0</v>
      </c>
      <c r="I247" s="6">
        <v>85</v>
      </c>
      <c r="J247" s="6">
        <v>85</v>
      </c>
      <c r="K247" s="6">
        <v>85</v>
      </c>
      <c r="L247" s="6">
        <v>90</v>
      </c>
      <c r="M247" s="6">
        <v>87</v>
      </c>
      <c r="N247" s="6">
        <v>87</v>
      </c>
      <c r="O247" s="6">
        <v>85</v>
      </c>
      <c r="P247" s="6">
        <v>87</v>
      </c>
      <c r="Q247" s="6">
        <v>85</v>
      </c>
      <c r="R247" s="6">
        <v>87</v>
      </c>
      <c r="S247" s="6">
        <v>87</v>
      </c>
      <c r="T247" s="6">
        <v>87</v>
      </c>
      <c r="U247" s="6">
        <v>87</v>
      </c>
      <c r="V247" s="6">
        <v>87</v>
      </c>
      <c r="W247" s="138">
        <v>447998.250512055</v>
      </c>
      <c r="X247">
        <f ca="1">IF(V247=0,0,OFFSET(CreditMetrics!$B$474,MATCH(RAND(),OFFSET(CreditMetrics!$C$474,1,MATCH(BDClientes!V247,CreditMetrics!$B$475:$B$491,0),COUNT(CreditMetrics!$B$475:$B$491),1),1),0,1,1))</f>
        <v>87</v>
      </c>
      <c r="Z247" s="79"/>
    </row>
    <row r="248" spans="1:26" x14ac:dyDescent="0.25">
      <c r="A248" s="4">
        <v>247</v>
      </c>
      <c r="B248" s="5" t="s">
        <v>249</v>
      </c>
      <c r="C248" s="6">
        <v>0</v>
      </c>
      <c r="D248" s="6">
        <v>0</v>
      </c>
      <c r="E248" s="6">
        <v>0</v>
      </c>
      <c r="F248" s="6">
        <v>85</v>
      </c>
      <c r="G248" s="6">
        <v>87</v>
      </c>
      <c r="H248" s="6">
        <v>87</v>
      </c>
      <c r="I248" s="6">
        <v>0</v>
      </c>
      <c r="J248" s="6">
        <v>87</v>
      </c>
      <c r="K248" s="6">
        <v>87</v>
      </c>
      <c r="L248" s="6">
        <v>87</v>
      </c>
      <c r="M248" s="6">
        <v>90</v>
      </c>
      <c r="N248" s="6">
        <v>85</v>
      </c>
      <c r="O248" s="6">
        <v>87</v>
      </c>
      <c r="P248" s="6">
        <v>87</v>
      </c>
      <c r="Q248" s="6">
        <v>87</v>
      </c>
      <c r="R248" s="6">
        <v>87</v>
      </c>
      <c r="S248" s="6">
        <v>87</v>
      </c>
      <c r="T248" s="6">
        <v>87</v>
      </c>
      <c r="U248" s="6">
        <v>87</v>
      </c>
      <c r="V248" s="6">
        <v>87</v>
      </c>
      <c r="W248" s="138">
        <v>517272.17725114315</v>
      </c>
      <c r="X248">
        <f ca="1">IF(V248=0,0,OFFSET(CreditMetrics!$B$474,MATCH(RAND(),OFFSET(CreditMetrics!$C$474,1,MATCH(BDClientes!V248,CreditMetrics!$B$475:$B$491,0),COUNT(CreditMetrics!$B$475:$B$491),1),1),0,1,1))</f>
        <v>85</v>
      </c>
      <c r="Z248" s="79"/>
    </row>
    <row r="249" spans="1:26" x14ac:dyDescent="0.25">
      <c r="A249" s="4">
        <v>248</v>
      </c>
      <c r="B249" s="5" t="s">
        <v>250</v>
      </c>
      <c r="C249" s="6">
        <v>0</v>
      </c>
      <c r="D249" s="6">
        <v>0</v>
      </c>
      <c r="E249" s="6">
        <v>0</v>
      </c>
      <c r="F249" s="6">
        <v>83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X249">
        <f ca="1">IF(V249=0,0,OFFSET(CreditMetrics!$B$474,MATCH(RAND(),OFFSET(CreditMetrics!$C$474,1,MATCH(BDClientes!V249,CreditMetrics!$B$475:$B$491,0),COUNT(CreditMetrics!$B$475:$B$491),1),1),0,1,1))</f>
        <v>0</v>
      </c>
      <c r="Z249" s="79"/>
    </row>
    <row r="250" spans="1:26" x14ac:dyDescent="0.25">
      <c r="A250" s="4">
        <v>249</v>
      </c>
      <c r="B250" s="5" t="s">
        <v>251</v>
      </c>
      <c r="C250" s="6">
        <v>0</v>
      </c>
      <c r="D250" s="6">
        <v>0</v>
      </c>
      <c r="E250" s="6">
        <v>0</v>
      </c>
      <c r="F250" s="6">
        <v>83</v>
      </c>
      <c r="G250" s="6">
        <v>75</v>
      </c>
      <c r="H250" s="6">
        <v>87</v>
      </c>
      <c r="I250" s="6">
        <v>87</v>
      </c>
      <c r="J250" s="6">
        <v>85</v>
      </c>
      <c r="K250" s="6">
        <v>85</v>
      </c>
      <c r="L250" s="6">
        <v>80</v>
      </c>
      <c r="M250" s="6">
        <v>80</v>
      </c>
      <c r="N250" s="6">
        <v>83</v>
      </c>
      <c r="O250" s="6">
        <v>83</v>
      </c>
      <c r="P250" s="6">
        <v>83</v>
      </c>
      <c r="Q250" s="6">
        <v>83</v>
      </c>
      <c r="R250" s="6">
        <v>87</v>
      </c>
      <c r="S250" s="6">
        <v>85</v>
      </c>
      <c r="T250" s="6">
        <v>85</v>
      </c>
      <c r="U250" s="6">
        <v>85</v>
      </c>
      <c r="V250" s="6">
        <v>85</v>
      </c>
      <c r="W250" s="138">
        <v>112109.9937617078</v>
      </c>
      <c r="X250">
        <f ca="1">IF(V250=0,0,OFFSET(CreditMetrics!$B$474,MATCH(RAND(),OFFSET(CreditMetrics!$C$474,1,MATCH(BDClientes!V250,CreditMetrics!$B$475:$B$491,0),COUNT(CreditMetrics!$B$475:$B$491),1),1),0,1,1))</f>
        <v>83</v>
      </c>
      <c r="Z250" s="79"/>
    </row>
    <row r="251" spans="1:26" x14ac:dyDescent="0.25">
      <c r="A251" s="4">
        <v>250</v>
      </c>
      <c r="B251" s="5" t="s">
        <v>252</v>
      </c>
      <c r="C251" s="6">
        <v>0</v>
      </c>
      <c r="D251" s="6">
        <v>0</v>
      </c>
      <c r="E251" s="6">
        <v>0</v>
      </c>
      <c r="F251" s="6">
        <v>77</v>
      </c>
      <c r="G251" s="6">
        <v>77</v>
      </c>
      <c r="H251" s="6">
        <v>83</v>
      </c>
      <c r="I251" s="6">
        <v>83</v>
      </c>
      <c r="J251" s="6">
        <v>85</v>
      </c>
      <c r="K251" s="6">
        <v>80</v>
      </c>
      <c r="L251" s="6">
        <v>77</v>
      </c>
      <c r="M251" s="6">
        <v>83</v>
      </c>
      <c r="N251" s="6">
        <v>83</v>
      </c>
      <c r="O251" s="6">
        <v>77</v>
      </c>
      <c r="P251" s="6">
        <v>77</v>
      </c>
      <c r="Q251" s="6">
        <v>83</v>
      </c>
      <c r="R251" s="6">
        <v>83</v>
      </c>
      <c r="S251" s="6">
        <v>83</v>
      </c>
      <c r="T251" s="6">
        <v>83</v>
      </c>
      <c r="U251" s="6">
        <v>83</v>
      </c>
      <c r="V251" s="6">
        <v>83</v>
      </c>
      <c r="W251" s="138">
        <v>227980.72619857971</v>
      </c>
      <c r="X251">
        <f ca="1">IF(V251=0,0,OFFSET(CreditMetrics!$B$474,MATCH(RAND(),OFFSET(CreditMetrics!$C$474,1,MATCH(BDClientes!V251,CreditMetrics!$B$475:$B$491,0),COUNT(CreditMetrics!$B$475:$B$491),1),1),0,1,1))</f>
        <v>83</v>
      </c>
      <c r="Z251" s="79"/>
    </row>
    <row r="252" spans="1:26" x14ac:dyDescent="0.25">
      <c r="A252" s="4">
        <v>251</v>
      </c>
      <c r="B252" s="5" t="s">
        <v>253</v>
      </c>
      <c r="C252" s="6">
        <v>0</v>
      </c>
      <c r="D252" s="6">
        <v>0</v>
      </c>
      <c r="E252" s="6">
        <v>0</v>
      </c>
      <c r="F252" s="6">
        <v>83</v>
      </c>
      <c r="G252" s="6">
        <v>83</v>
      </c>
      <c r="H252" s="6">
        <v>83</v>
      </c>
      <c r="I252" s="6">
        <v>75</v>
      </c>
      <c r="J252" s="6">
        <v>75</v>
      </c>
      <c r="K252" s="6">
        <v>75</v>
      </c>
      <c r="L252" s="6">
        <v>77</v>
      </c>
      <c r="M252" s="6">
        <v>83</v>
      </c>
      <c r="N252" s="6">
        <v>83</v>
      </c>
      <c r="O252" s="6">
        <v>77</v>
      </c>
      <c r="P252" s="6">
        <v>77</v>
      </c>
      <c r="Q252" s="6">
        <v>80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X252">
        <f ca="1">IF(V252=0,0,OFFSET(CreditMetrics!$B$474,MATCH(RAND(),OFFSET(CreditMetrics!$C$474,1,MATCH(BDClientes!V252,CreditMetrics!$B$475:$B$491,0),COUNT(CreditMetrics!$B$475:$B$491),1),1),0,1,1))</f>
        <v>0</v>
      </c>
      <c r="Z252" s="79"/>
    </row>
    <row r="253" spans="1:26" x14ac:dyDescent="0.25">
      <c r="A253" s="4">
        <v>252</v>
      </c>
      <c r="B253" s="5" t="s">
        <v>254</v>
      </c>
      <c r="C253" s="6">
        <v>0</v>
      </c>
      <c r="D253" s="6">
        <v>0</v>
      </c>
      <c r="E253" s="6">
        <v>0</v>
      </c>
      <c r="F253" s="6">
        <v>77</v>
      </c>
      <c r="G253" s="6">
        <v>75</v>
      </c>
      <c r="H253" s="6">
        <v>77</v>
      </c>
      <c r="I253" s="6">
        <v>80</v>
      </c>
      <c r="J253" s="6">
        <v>77</v>
      </c>
      <c r="K253" s="6">
        <v>75</v>
      </c>
      <c r="L253" s="6">
        <v>77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X253">
        <f ca="1">IF(V253=0,0,OFFSET(CreditMetrics!$B$474,MATCH(RAND(),OFFSET(CreditMetrics!$C$474,1,MATCH(BDClientes!V253,CreditMetrics!$B$475:$B$491,0),COUNT(CreditMetrics!$B$475:$B$491),1),1),0,1,1))</f>
        <v>0</v>
      </c>
      <c r="Z253" s="79"/>
    </row>
    <row r="254" spans="1:26" x14ac:dyDescent="0.25">
      <c r="A254" s="4">
        <v>253</v>
      </c>
      <c r="B254" s="5" t="s">
        <v>255</v>
      </c>
      <c r="C254" s="6">
        <v>0</v>
      </c>
      <c r="D254" s="6">
        <v>0</v>
      </c>
      <c r="E254" s="6">
        <v>0</v>
      </c>
      <c r="F254" s="6">
        <v>77</v>
      </c>
      <c r="G254" s="6">
        <v>77</v>
      </c>
      <c r="H254" s="6">
        <v>85</v>
      </c>
      <c r="I254" s="6">
        <v>83</v>
      </c>
      <c r="J254" s="6">
        <v>83</v>
      </c>
      <c r="K254" s="6">
        <v>85</v>
      </c>
      <c r="L254" s="6">
        <v>85</v>
      </c>
      <c r="M254" s="6">
        <v>83</v>
      </c>
      <c r="N254" s="6">
        <v>85</v>
      </c>
      <c r="O254" s="6">
        <v>83</v>
      </c>
      <c r="P254" s="6">
        <v>83</v>
      </c>
      <c r="Q254" s="6">
        <v>85</v>
      </c>
      <c r="R254" s="6">
        <v>83</v>
      </c>
      <c r="S254" s="6">
        <v>83</v>
      </c>
      <c r="T254" s="6">
        <v>83</v>
      </c>
      <c r="U254" s="6">
        <v>85</v>
      </c>
      <c r="V254" s="6">
        <v>87</v>
      </c>
      <c r="W254" s="138">
        <v>1164845.373217786</v>
      </c>
      <c r="X254">
        <f ca="1">IF(V254=0,0,OFFSET(CreditMetrics!$B$474,MATCH(RAND(),OFFSET(CreditMetrics!$C$474,1,MATCH(BDClientes!V254,CreditMetrics!$B$475:$B$491,0),COUNT(CreditMetrics!$B$475:$B$491),1),1),0,1,1))</f>
        <v>85</v>
      </c>
      <c r="Z254" s="79"/>
    </row>
    <row r="255" spans="1:26" x14ac:dyDescent="0.25">
      <c r="A255" s="4">
        <v>254</v>
      </c>
      <c r="B255" s="5" t="s">
        <v>256</v>
      </c>
      <c r="C255" s="6">
        <v>0</v>
      </c>
      <c r="D255" s="6">
        <v>0</v>
      </c>
      <c r="E255" s="6">
        <v>0</v>
      </c>
      <c r="F255" s="6">
        <v>0</v>
      </c>
      <c r="G255" s="6">
        <v>85</v>
      </c>
      <c r="H255" s="6">
        <v>87</v>
      </c>
      <c r="I255" s="6">
        <v>87</v>
      </c>
      <c r="J255" s="6">
        <v>87</v>
      </c>
      <c r="K255" s="6">
        <v>85</v>
      </c>
      <c r="L255" s="6">
        <v>85</v>
      </c>
      <c r="M255" s="6">
        <v>85</v>
      </c>
      <c r="N255" s="6">
        <v>85</v>
      </c>
      <c r="O255" s="6">
        <v>85</v>
      </c>
      <c r="P255" s="6">
        <v>85</v>
      </c>
      <c r="Q255" s="6">
        <v>85</v>
      </c>
      <c r="R255" s="6">
        <v>85</v>
      </c>
      <c r="S255" s="6">
        <v>83</v>
      </c>
      <c r="T255" s="6">
        <v>85</v>
      </c>
      <c r="U255" s="6">
        <v>87</v>
      </c>
      <c r="V255" s="6">
        <v>87</v>
      </c>
      <c r="W255" s="138">
        <v>113665.04269655797</v>
      </c>
      <c r="X255">
        <f ca="1">IF(V255=0,0,OFFSET(CreditMetrics!$B$474,MATCH(RAND(),OFFSET(CreditMetrics!$C$474,1,MATCH(BDClientes!V255,CreditMetrics!$B$475:$B$491,0),COUNT(CreditMetrics!$B$475:$B$491),1),1),0,1,1))</f>
        <v>77</v>
      </c>
      <c r="Z255" s="79"/>
    </row>
    <row r="256" spans="1:26" x14ac:dyDescent="0.25">
      <c r="A256" s="4">
        <v>255</v>
      </c>
      <c r="B256" s="5" t="s">
        <v>257</v>
      </c>
      <c r="C256" s="6">
        <v>0</v>
      </c>
      <c r="D256" s="6">
        <v>0</v>
      </c>
      <c r="E256" s="6">
        <v>0</v>
      </c>
      <c r="F256" s="6">
        <v>0</v>
      </c>
      <c r="G256" s="6">
        <v>85</v>
      </c>
      <c r="H256" s="6">
        <v>85</v>
      </c>
      <c r="I256" s="6">
        <v>85</v>
      </c>
      <c r="J256" s="6">
        <v>83</v>
      </c>
      <c r="K256" s="6">
        <v>85</v>
      </c>
      <c r="L256" s="6">
        <v>85</v>
      </c>
      <c r="M256" s="6">
        <v>83</v>
      </c>
      <c r="N256" s="6">
        <v>85</v>
      </c>
      <c r="O256" s="6">
        <v>85</v>
      </c>
      <c r="P256" s="6">
        <v>85</v>
      </c>
      <c r="Q256" s="6">
        <v>85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X256">
        <f ca="1">IF(V256=0,0,OFFSET(CreditMetrics!$B$474,MATCH(RAND(),OFFSET(CreditMetrics!$C$474,1,MATCH(BDClientes!V256,CreditMetrics!$B$475:$B$491,0),COUNT(CreditMetrics!$B$475:$B$491),1),1),0,1,1))</f>
        <v>0</v>
      </c>
      <c r="Z256" s="79"/>
    </row>
    <row r="257" spans="1:26" x14ac:dyDescent="0.25">
      <c r="A257" s="4">
        <v>256</v>
      </c>
      <c r="B257" s="5" t="s">
        <v>258</v>
      </c>
      <c r="C257" s="6">
        <v>0</v>
      </c>
      <c r="D257" s="6">
        <v>0</v>
      </c>
      <c r="E257" s="6">
        <v>0</v>
      </c>
      <c r="F257" s="6">
        <v>0</v>
      </c>
      <c r="G257" s="6">
        <v>80</v>
      </c>
      <c r="H257" s="6">
        <v>87</v>
      </c>
      <c r="I257" s="6">
        <v>85</v>
      </c>
      <c r="J257" s="6">
        <v>85</v>
      </c>
      <c r="K257" s="6">
        <v>83</v>
      </c>
      <c r="L257" s="6">
        <v>85</v>
      </c>
      <c r="M257" s="6">
        <v>83</v>
      </c>
      <c r="N257" s="6">
        <v>80</v>
      </c>
      <c r="O257" s="6">
        <v>83</v>
      </c>
      <c r="P257" s="6">
        <v>83</v>
      </c>
      <c r="Q257" s="6">
        <v>83</v>
      </c>
      <c r="R257" s="6">
        <v>85</v>
      </c>
      <c r="S257" s="6">
        <v>85</v>
      </c>
      <c r="T257" s="6">
        <v>85</v>
      </c>
      <c r="U257" s="6">
        <v>85</v>
      </c>
      <c r="V257" s="6">
        <v>83</v>
      </c>
      <c r="W257" s="138">
        <v>282679.03111010313</v>
      </c>
      <c r="X257">
        <f ca="1">IF(V257=0,0,OFFSET(CreditMetrics!$B$474,MATCH(RAND(),OFFSET(CreditMetrics!$C$474,1,MATCH(BDClientes!V257,CreditMetrics!$B$475:$B$491,0),COUNT(CreditMetrics!$B$475:$B$491),1),1),0,1,1))</f>
        <v>73</v>
      </c>
      <c r="Z257" s="79"/>
    </row>
    <row r="258" spans="1:26" x14ac:dyDescent="0.25">
      <c r="A258" s="4">
        <v>257</v>
      </c>
      <c r="B258" s="5" t="s">
        <v>259</v>
      </c>
      <c r="C258" s="6">
        <v>0</v>
      </c>
      <c r="D258" s="6">
        <v>0</v>
      </c>
      <c r="E258" s="6">
        <v>0</v>
      </c>
      <c r="F258" s="6">
        <v>0</v>
      </c>
      <c r="G258" s="6">
        <v>83</v>
      </c>
      <c r="H258" s="6">
        <v>85</v>
      </c>
      <c r="I258" s="6">
        <v>83</v>
      </c>
      <c r="J258" s="6">
        <v>83</v>
      </c>
      <c r="K258" s="6">
        <v>83</v>
      </c>
      <c r="L258" s="6">
        <v>85</v>
      </c>
      <c r="M258" s="6">
        <v>85</v>
      </c>
      <c r="N258" s="6">
        <v>85</v>
      </c>
      <c r="O258" s="6">
        <v>85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X258">
        <f ca="1">IF(V258=0,0,OFFSET(CreditMetrics!$B$474,MATCH(RAND(),OFFSET(CreditMetrics!$C$474,1,MATCH(BDClientes!V258,CreditMetrics!$B$475:$B$491,0),COUNT(CreditMetrics!$B$475:$B$491),1),1),0,1,1))</f>
        <v>0</v>
      </c>
      <c r="Z258" s="79"/>
    </row>
    <row r="259" spans="1:26" x14ac:dyDescent="0.25">
      <c r="A259" s="4">
        <v>258</v>
      </c>
      <c r="B259" s="5" t="s">
        <v>260</v>
      </c>
      <c r="C259" s="6">
        <v>0</v>
      </c>
      <c r="D259" s="6">
        <v>0</v>
      </c>
      <c r="E259" s="6">
        <v>0</v>
      </c>
      <c r="F259" s="6">
        <v>0</v>
      </c>
      <c r="G259" s="6">
        <v>83</v>
      </c>
      <c r="H259" s="6">
        <v>83</v>
      </c>
      <c r="I259" s="6">
        <v>85</v>
      </c>
      <c r="J259" s="6">
        <v>87</v>
      </c>
      <c r="K259" s="6">
        <v>83</v>
      </c>
      <c r="L259" s="6">
        <v>70</v>
      </c>
      <c r="M259" s="6">
        <v>70</v>
      </c>
      <c r="N259" s="6">
        <v>77</v>
      </c>
      <c r="O259" s="6">
        <v>80</v>
      </c>
      <c r="P259" s="6">
        <v>80</v>
      </c>
      <c r="Q259" s="6">
        <v>80</v>
      </c>
      <c r="R259" s="6">
        <v>83</v>
      </c>
      <c r="S259" s="6">
        <v>83</v>
      </c>
      <c r="T259" s="6">
        <v>85</v>
      </c>
      <c r="U259" s="6">
        <v>87</v>
      </c>
      <c r="V259" s="6">
        <v>83</v>
      </c>
      <c r="W259" s="138">
        <v>190356.2692985723</v>
      </c>
      <c r="X259">
        <f ca="1">IF(V259=0,0,OFFSET(CreditMetrics!$B$474,MATCH(RAND(),OFFSET(CreditMetrics!$C$474,1,MATCH(BDClientes!V259,CreditMetrics!$B$475:$B$491,0),COUNT(CreditMetrics!$B$475:$B$491),1),1),0,1,1))</f>
        <v>83</v>
      </c>
      <c r="Z259" s="79"/>
    </row>
    <row r="260" spans="1:26" x14ac:dyDescent="0.25">
      <c r="A260" s="4">
        <v>259</v>
      </c>
      <c r="B260" s="5" t="s">
        <v>261</v>
      </c>
      <c r="C260" s="6">
        <v>0</v>
      </c>
      <c r="D260" s="6">
        <v>0</v>
      </c>
      <c r="E260" s="6">
        <v>0</v>
      </c>
      <c r="F260" s="6">
        <v>0</v>
      </c>
      <c r="G260" s="6">
        <v>87</v>
      </c>
      <c r="H260" s="6">
        <v>87</v>
      </c>
      <c r="I260" s="6">
        <v>87</v>
      </c>
      <c r="J260" s="6">
        <v>85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X260">
        <f ca="1">IF(V260=0,0,OFFSET(CreditMetrics!$B$474,MATCH(RAND(),OFFSET(CreditMetrics!$C$474,1,MATCH(BDClientes!V260,CreditMetrics!$B$475:$B$491,0),COUNT(CreditMetrics!$B$475:$B$491),1),1),0,1,1))</f>
        <v>0</v>
      </c>
      <c r="Z260" s="79"/>
    </row>
    <row r="261" spans="1:26" x14ac:dyDescent="0.25">
      <c r="A261" s="4">
        <v>260</v>
      </c>
      <c r="B261" s="5" t="s">
        <v>262</v>
      </c>
      <c r="C261" s="6">
        <v>0</v>
      </c>
      <c r="D261" s="6">
        <v>0</v>
      </c>
      <c r="E261" s="6">
        <v>0</v>
      </c>
      <c r="F261" s="6">
        <v>0</v>
      </c>
      <c r="G261" s="6">
        <v>77</v>
      </c>
      <c r="H261" s="6">
        <v>75</v>
      </c>
      <c r="I261" s="6">
        <v>73</v>
      </c>
      <c r="J261" s="6">
        <v>73</v>
      </c>
      <c r="K261" s="6">
        <v>73</v>
      </c>
      <c r="L261" s="6">
        <v>65</v>
      </c>
      <c r="M261" s="6">
        <v>70</v>
      </c>
      <c r="N261" s="6">
        <v>70</v>
      </c>
      <c r="O261" s="6">
        <v>70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X261">
        <f ca="1">IF(V261=0,0,OFFSET(CreditMetrics!$B$474,MATCH(RAND(),OFFSET(CreditMetrics!$C$474,1,MATCH(BDClientes!V261,CreditMetrics!$B$475:$B$491,0),COUNT(CreditMetrics!$B$475:$B$491),1),1),0,1,1))</f>
        <v>0</v>
      </c>
      <c r="Z261" s="79"/>
    </row>
    <row r="262" spans="1:26" x14ac:dyDescent="0.25">
      <c r="A262" s="4">
        <v>261</v>
      </c>
      <c r="B262" s="5" t="s">
        <v>263</v>
      </c>
      <c r="C262" s="6">
        <v>0</v>
      </c>
      <c r="D262" s="6">
        <v>0</v>
      </c>
      <c r="E262" s="6">
        <v>0</v>
      </c>
      <c r="F262" s="6">
        <v>0</v>
      </c>
      <c r="G262" s="6">
        <v>83</v>
      </c>
      <c r="H262" s="6">
        <v>85</v>
      </c>
      <c r="I262" s="6">
        <v>85</v>
      </c>
      <c r="J262" s="6">
        <v>85</v>
      </c>
      <c r="K262" s="6">
        <v>87</v>
      </c>
      <c r="L262" s="6">
        <v>85</v>
      </c>
      <c r="M262" s="6">
        <v>87</v>
      </c>
      <c r="N262" s="6">
        <v>85</v>
      </c>
      <c r="O262" s="6">
        <v>87</v>
      </c>
      <c r="P262" s="6">
        <v>87</v>
      </c>
      <c r="Q262" s="6">
        <v>87</v>
      </c>
      <c r="R262" s="6">
        <v>90</v>
      </c>
      <c r="S262" s="6">
        <v>90</v>
      </c>
      <c r="T262" s="6">
        <v>90</v>
      </c>
      <c r="U262" s="6">
        <v>90</v>
      </c>
      <c r="V262" s="6">
        <v>90</v>
      </c>
      <c r="W262" s="138">
        <v>152054.51828967099</v>
      </c>
      <c r="X262">
        <f ca="1">IF(V262=0,0,OFFSET(CreditMetrics!$B$474,MATCH(RAND(),OFFSET(CreditMetrics!$C$474,1,MATCH(BDClientes!V262,CreditMetrics!$B$475:$B$491,0),COUNT(CreditMetrics!$B$475:$B$491),1),1),0,1,1))</f>
        <v>65</v>
      </c>
      <c r="Z262" s="79"/>
    </row>
    <row r="263" spans="1:26" x14ac:dyDescent="0.25">
      <c r="A263" s="4">
        <v>262</v>
      </c>
      <c r="B263" s="5" t="s">
        <v>264</v>
      </c>
      <c r="C263" s="6">
        <v>0</v>
      </c>
      <c r="D263" s="6">
        <v>0</v>
      </c>
      <c r="E263" s="6">
        <v>0</v>
      </c>
      <c r="F263" s="6">
        <v>0</v>
      </c>
      <c r="G263" s="6">
        <v>0</v>
      </c>
      <c r="H263" s="6">
        <v>85</v>
      </c>
      <c r="I263" s="6">
        <v>85</v>
      </c>
      <c r="J263" s="6">
        <v>83</v>
      </c>
      <c r="K263" s="6">
        <v>83</v>
      </c>
      <c r="L263" s="6">
        <v>80</v>
      </c>
      <c r="M263" s="6">
        <v>85</v>
      </c>
      <c r="N263" s="6">
        <v>85</v>
      </c>
      <c r="O263" s="6">
        <v>83</v>
      </c>
      <c r="P263" s="6">
        <v>80</v>
      </c>
      <c r="Q263" s="6">
        <v>83</v>
      </c>
      <c r="R263" s="6">
        <v>87</v>
      </c>
      <c r="S263" s="6">
        <v>83</v>
      </c>
      <c r="T263" s="6">
        <v>83</v>
      </c>
      <c r="U263" s="6">
        <v>83</v>
      </c>
      <c r="V263" s="6">
        <v>83</v>
      </c>
      <c r="W263" s="138">
        <v>3258924.4213032755</v>
      </c>
      <c r="X263">
        <f ca="1">IF(V263=0,0,OFFSET(CreditMetrics!$B$474,MATCH(RAND(),OFFSET(CreditMetrics!$C$474,1,MATCH(BDClientes!V263,CreditMetrics!$B$475:$B$491,0),COUNT(CreditMetrics!$B$475:$B$491),1),1),0,1,1))</f>
        <v>83</v>
      </c>
      <c r="Z263" s="79"/>
    </row>
    <row r="264" spans="1:26" x14ac:dyDescent="0.25">
      <c r="A264" s="4">
        <v>263</v>
      </c>
      <c r="B264" s="5" t="s">
        <v>265</v>
      </c>
      <c r="C264" s="6">
        <v>0</v>
      </c>
      <c r="D264" s="6">
        <v>0</v>
      </c>
      <c r="E264" s="6">
        <v>0</v>
      </c>
      <c r="F264" s="6">
        <v>0</v>
      </c>
      <c r="G264" s="6">
        <v>0</v>
      </c>
      <c r="H264" s="6">
        <v>85</v>
      </c>
      <c r="I264" s="6">
        <v>85</v>
      </c>
      <c r="J264" s="6">
        <v>85</v>
      </c>
      <c r="K264" s="6">
        <v>87</v>
      </c>
      <c r="L264" s="6">
        <v>85</v>
      </c>
      <c r="M264" s="6">
        <v>83</v>
      </c>
      <c r="N264" s="6">
        <v>73</v>
      </c>
      <c r="O264" s="6">
        <v>83</v>
      </c>
      <c r="P264" s="6">
        <v>77</v>
      </c>
      <c r="Q264" s="6">
        <v>80</v>
      </c>
      <c r="R264" s="6">
        <v>77</v>
      </c>
      <c r="S264" s="6">
        <v>80</v>
      </c>
      <c r="T264" s="6">
        <v>80</v>
      </c>
      <c r="U264" s="6">
        <v>80</v>
      </c>
      <c r="V264" s="6">
        <v>80</v>
      </c>
      <c r="W264" s="138">
        <v>149184.44710605097</v>
      </c>
      <c r="X264">
        <f ca="1">IF(V264=0,0,OFFSET(CreditMetrics!$B$474,MATCH(RAND(),OFFSET(CreditMetrics!$C$474,1,MATCH(BDClientes!V264,CreditMetrics!$B$475:$B$491,0),COUNT(CreditMetrics!$B$475:$B$491),1),1),0,1,1))</f>
        <v>80</v>
      </c>
      <c r="Z264" s="79"/>
    </row>
    <row r="265" spans="1:26" x14ac:dyDescent="0.25">
      <c r="A265" s="4">
        <v>264</v>
      </c>
      <c r="B265" s="5" t="s">
        <v>266</v>
      </c>
      <c r="C265" s="6">
        <v>0</v>
      </c>
      <c r="D265" s="6">
        <v>0</v>
      </c>
      <c r="E265" s="6">
        <v>0</v>
      </c>
      <c r="F265" s="6">
        <v>0</v>
      </c>
      <c r="G265" s="6">
        <v>0</v>
      </c>
      <c r="H265" s="6">
        <v>85</v>
      </c>
      <c r="I265" s="6">
        <v>83</v>
      </c>
      <c r="J265" s="6">
        <v>85</v>
      </c>
      <c r="K265" s="6">
        <v>0</v>
      </c>
      <c r="L265" s="6">
        <v>87</v>
      </c>
      <c r="M265" s="6">
        <v>85</v>
      </c>
      <c r="N265" s="6">
        <v>83</v>
      </c>
      <c r="O265" s="6">
        <v>0</v>
      </c>
      <c r="P265" s="6">
        <v>85</v>
      </c>
      <c r="Q265" s="6">
        <v>85</v>
      </c>
      <c r="R265" s="6">
        <v>0</v>
      </c>
      <c r="S265" s="6">
        <v>85</v>
      </c>
      <c r="T265" s="6">
        <v>80</v>
      </c>
      <c r="U265" s="6">
        <v>0</v>
      </c>
      <c r="V265" s="6">
        <v>0</v>
      </c>
      <c r="X265">
        <f ca="1">IF(V265=0,0,OFFSET(CreditMetrics!$B$474,MATCH(RAND(),OFFSET(CreditMetrics!$C$474,1,MATCH(BDClientes!V265,CreditMetrics!$B$475:$B$491,0),COUNT(CreditMetrics!$B$475:$B$491),1),1),0,1,1))</f>
        <v>0</v>
      </c>
      <c r="Z265" s="79"/>
    </row>
    <row r="266" spans="1:26" x14ac:dyDescent="0.25">
      <c r="A266" s="4">
        <v>265</v>
      </c>
      <c r="B266" s="5" t="s">
        <v>267</v>
      </c>
      <c r="C266" s="6">
        <v>0</v>
      </c>
      <c r="D266" s="6">
        <v>0</v>
      </c>
      <c r="E266" s="6">
        <v>0</v>
      </c>
      <c r="F266" s="6">
        <v>0</v>
      </c>
      <c r="G266" s="6">
        <v>0</v>
      </c>
      <c r="H266" s="6">
        <v>83</v>
      </c>
      <c r="I266" s="6">
        <v>85</v>
      </c>
      <c r="J266" s="6">
        <v>85</v>
      </c>
      <c r="K266" s="6">
        <v>85</v>
      </c>
      <c r="L266" s="6">
        <v>85</v>
      </c>
      <c r="M266" s="6">
        <v>87</v>
      </c>
      <c r="N266" s="6">
        <v>87</v>
      </c>
      <c r="O266" s="6">
        <v>87</v>
      </c>
      <c r="P266" s="6">
        <v>87</v>
      </c>
      <c r="Q266" s="6">
        <v>87</v>
      </c>
      <c r="R266" s="6">
        <v>87</v>
      </c>
      <c r="S266" s="6">
        <v>87</v>
      </c>
      <c r="T266" s="6">
        <v>85</v>
      </c>
      <c r="U266" s="6">
        <v>85</v>
      </c>
      <c r="V266" s="6">
        <v>83</v>
      </c>
      <c r="W266" s="138">
        <v>218413.21498326416</v>
      </c>
      <c r="X266">
        <f ca="1">IF(V266=0,0,OFFSET(CreditMetrics!$B$474,MATCH(RAND(),OFFSET(CreditMetrics!$C$474,1,MATCH(BDClientes!V266,CreditMetrics!$B$475:$B$491,0),COUNT(CreditMetrics!$B$475:$B$491),1),1),0,1,1))</f>
        <v>83</v>
      </c>
      <c r="Z266" s="79"/>
    </row>
    <row r="267" spans="1:26" x14ac:dyDescent="0.25">
      <c r="A267" s="4">
        <v>266</v>
      </c>
      <c r="B267" s="5" t="s">
        <v>268</v>
      </c>
      <c r="C267" s="6">
        <v>0</v>
      </c>
      <c r="D267" s="6">
        <v>0</v>
      </c>
      <c r="E267" s="6">
        <v>0</v>
      </c>
      <c r="F267" s="6">
        <v>0</v>
      </c>
      <c r="G267" s="6">
        <v>0</v>
      </c>
      <c r="H267" s="6">
        <v>85</v>
      </c>
      <c r="I267" s="6">
        <v>75</v>
      </c>
      <c r="J267" s="6">
        <v>85</v>
      </c>
      <c r="K267" s="6">
        <v>85</v>
      </c>
      <c r="L267" s="6">
        <v>83</v>
      </c>
      <c r="M267" s="6">
        <v>83</v>
      </c>
      <c r="N267" s="6">
        <v>80</v>
      </c>
      <c r="O267" s="6">
        <v>80</v>
      </c>
      <c r="P267" s="6">
        <v>80</v>
      </c>
      <c r="Q267" s="6">
        <v>80</v>
      </c>
      <c r="R267" s="6">
        <v>80</v>
      </c>
      <c r="S267" s="6">
        <v>77</v>
      </c>
      <c r="T267" s="6">
        <v>77</v>
      </c>
      <c r="U267" s="6">
        <v>77</v>
      </c>
      <c r="V267" s="6">
        <v>77</v>
      </c>
      <c r="W267" s="138">
        <v>209060.80560107535</v>
      </c>
      <c r="X267">
        <f ca="1">IF(V267=0,0,OFFSET(CreditMetrics!$B$474,MATCH(RAND(),OFFSET(CreditMetrics!$C$474,1,MATCH(BDClientes!V267,CreditMetrics!$B$475:$B$491,0),COUNT(CreditMetrics!$B$475:$B$491),1),1),0,1,1))</f>
        <v>77</v>
      </c>
      <c r="Z267" s="79"/>
    </row>
    <row r="268" spans="1:26" x14ac:dyDescent="0.25">
      <c r="A268" s="4">
        <v>267</v>
      </c>
      <c r="B268" s="5" t="s">
        <v>269</v>
      </c>
      <c r="C268" s="6">
        <v>0</v>
      </c>
      <c r="D268" s="6">
        <v>0</v>
      </c>
      <c r="E268" s="6">
        <v>0</v>
      </c>
      <c r="F268" s="6">
        <v>0</v>
      </c>
      <c r="G268" s="6">
        <v>0</v>
      </c>
      <c r="H268" s="6">
        <v>85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X268">
        <f ca="1">IF(V268=0,0,OFFSET(CreditMetrics!$B$474,MATCH(RAND(),OFFSET(CreditMetrics!$C$474,1,MATCH(BDClientes!V268,CreditMetrics!$B$475:$B$491,0),COUNT(CreditMetrics!$B$475:$B$491),1),1),0,1,1))</f>
        <v>0</v>
      </c>
      <c r="Z268" s="79"/>
    </row>
    <row r="269" spans="1:26" x14ac:dyDescent="0.25">
      <c r="A269" s="4">
        <v>268</v>
      </c>
      <c r="B269" s="5" t="s">
        <v>270</v>
      </c>
      <c r="C269" s="6">
        <v>0</v>
      </c>
      <c r="D269" s="6">
        <v>0</v>
      </c>
      <c r="E269" s="6">
        <v>0</v>
      </c>
      <c r="F269" s="6">
        <v>0</v>
      </c>
      <c r="G269" s="6">
        <v>0</v>
      </c>
      <c r="H269" s="6">
        <v>75</v>
      </c>
      <c r="I269" s="6">
        <v>80</v>
      </c>
      <c r="J269" s="6">
        <v>77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83</v>
      </c>
      <c r="R269" s="6">
        <v>83</v>
      </c>
      <c r="S269" s="6">
        <v>83</v>
      </c>
      <c r="T269" s="6">
        <v>83</v>
      </c>
      <c r="U269" s="6">
        <v>85</v>
      </c>
      <c r="V269" s="6">
        <v>85</v>
      </c>
      <c r="W269" s="138">
        <v>119996.79613578222</v>
      </c>
      <c r="X269">
        <f ca="1">IF(V269=0,0,OFFSET(CreditMetrics!$B$474,MATCH(RAND(),OFFSET(CreditMetrics!$C$474,1,MATCH(BDClientes!V269,CreditMetrics!$B$475:$B$491,0),COUNT(CreditMetrics!$B$475:$B$491),1),1),0,1,1))</f>
        <v>85</v>
      </c>
      <c r="Z269" s="79"/>
    </row>
    <row r="270" spans="1:26" x14ac:dyDescent="0.25">
      <c r="A270" s="4">
        <v>269</v>
      </c>
      <c r="B270" s="5" t="s">
        <v>271</v>
      </c>
      <c r="C270" s="6">
        <v>0</v>
      </c>
      <c r="D270" s="6">
        <v>0</v>
      </c>
      <c r="E270" s="6">
        <v>0</v>
      </c>
      <c r="F270" s="6">
        <v>0</v>
      </c>
      <c r="G270" s="6">
        <v>0</v>
      </c>
      <c r="H270" s="6">
        <v>83</v>
      </c>
      <c r="I270" s="6">
        <v>83</v>
      </c>
      <c r="J270" s="6">
        <v>83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X270">
        <f ca="1">IF(V270=0,0,OFFSET(CreditMetrics!$B$474,MATCH(RAND(),OFFSET(CreditMetrics!$C$474,1,MATCH(BDClientes!V270,CreditMetrics!$B$475:$B$491,0),COUNT(CreditMetrics!$B$475:$B$491),1),1),0,1,1))</f>
        <v>0</v>
      </c>
      <c r="Z270" s="79"/>
    </row>
    <row r="271" spans="1:26" x14ac:dyDescent="0.25">
      <c r="A271" s="4">
        <v>270</v>
      </c>
      <c r="B271" s="5" t="s">
        <v>272</v>
      </c>
      <c r="C271" s="6">
        <v>0</v>
      </c>
      <c r="D271" s="6">
        <v>0</v>
      </c>
      <c r="E271" s="6">
        <v>0</v>
      </c>
      <c r="F271" s="6">
        <v>0</v>
      </c>
      <c r="G271" s="6">
        <v>0</v>
      </c>
      <c r="H271" s="6">
        <v>85</v>
      </c>
      <c r="I271" s="6">
        <v>83</v>
      </c>
      <c r="J271" s="6">
        <v>83</v>
      </c>
      <c r="K271" s="6">
        <v>80</v>
      </c>
      <c r="L271" s="6">
        <v>77</v>
      </c>
      <c r="M271" s="6">
        <v>80</v>
      </c>
      <c r="N271" s="6">
        <v>83</v>
      </c>
      <c r="O271" s="6">
        <v>83</v>
      </c>
      <c r="P271" s="6">
        <v>83</v>
      </c>
      <c r="Q271" s="6">
        <v>83</v>
      </c>
      <c r="R271" s="6">
        <v>83</v>
      </c>
      <c r="S271" s="6">
        <v>83</v>
      </c>
      <c r="T271" s="6">
        <v>83</v>
      </c>
      <c r="U271" s="6">
        <v>85</v>
      </c>
      <c r="V271" s="6">
        <v>83</v>
      </c>
      <c r="W271" s="138">
        <v>163724.08864627228</v>
      </c>
      <c r="X271">
        <f ca="1">IF(V271=0,0,OFFSET(CreditMetrics!$B$474,MATCH(RAND(),OFFSET(CreditMetrics!$C$474,1,MATCH(BDClientes!V271,CreditMetrics!$B$475:$B$491,0),COUNT(CreditMetrics!$B$475:$B$491),1),1),0,1,1))</f>
        <v>80</v>
      </c>
      <c r="Z271" s="79"/>
    </row>
    <row r="272" spans="1:26" x14ac:dyDescent="0.25">
      <c r="A272" s="4">
        <v>271</v>
      </c>
      <c r="B272" s="5" t="s">
        <v>273</v>
      </c>
      <c r="C272" s="6">
        <v>0</v>
      </c>
      <c r="D272" s="6">
        <v>0</v>
      </c>
      <c r="E272" s="6">
        <v>0</v>
      </c>
      <c r="F272" s="6">
        <v>0</v>
      </c>
      <c r="G272" s="6">
        <v>0</v>
      </c>
      <c r="H272" s="6">
        <v>83</v>
      </c>
      <c r="I272" s="6">
        <v>83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X272">
        <f ca="1">IF(V272=0,0,OFFSET(CreditMetrics!$B$474,MATCH(RAND(),OFFSET(CreditMetrics!$C$474,1,MATCH(BDClientes!V272,CreditMetrics!$B$475:$B$491,0),COUNT(CreditMetrics!$B$475:$B$491),1),1),0,1,1))</f>
        <v>0</v>
      </c>
      <c r="Z272" s="79"/>
    </row>
    <row r="273" spans="1:26" x14ac:dyDescent="0.25">
      <c r="A273" s="4">
        <v>272</v>
      </c>
      <c r="B273" s="5" t="s">
        <v>274</v>
      </c>
      <c r="C273" s="6">
        <v>0</v>
      </c>
      <c r="D273" s="6">
        <v>0</v>
      </c>
      <c r="E273" s="6">
        <v>0</v>
      </c>
      <c r="F273" s="6">
        <v>0</v>
      </c>
      <c r="G273" s="6">
        <v>0</v>
      </c>
      <c r="H273" s="6">
        <v>85</v>
      </c>
      <c r="I273" s="6">
        <v>87</v>
      </c>
      <c r="J273" s="6">
        <v>85</v>
      </c>
      <c r="K273" s="6">
        <v>87</v>
      </c>
      <c r="L273" s="6">
        <v>87</v>
      </c>
      <c r="M273" s="6">
        <v>87</v>
      </c>
      <c r="N273" s="6">
        <v>0</v>
      </c>
      <c r="O273" s="6">
        <v>0</v>
      </c>
      <c r="P273" s="6">
        <v>87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X273">
        <f ca="1">IF(V273=0,0,OFFSET(CreditMetrics!$B$474,MATCH(RAND(),OFFSET(CreditMetrics!$C$474,1,MATCH(BDClientes!V273,CreditMetrics!$B$475:$B$491,0),COUNT(CreditMetrics!$B$475:$B$491),1),1),0,1,1))</f>
        <v>0</v>
      </c>
      <c r="Z273" s="79"/>
    </row>
    <row r="274" spans="1:26" x14ac:dyDescent="0.25">
      <c r="A274" s="4">
        <v>273</v>
      </c>
      <c r="B274" s="5" t="s">
        <v>275</v>
      </c>
      <c r="C274" s="6">
        <v>0</v>
      </c>
      <c r="D274" s="6">
        <v>0</v>
      </c>
      <c r="E274" s="6">
        <v>0</v>
      </c>
      <c r="F274" s="6">
        <v>0</v>
      </c>
      <c r="G274" s="6">
        <v>0</v>
      </c>
      <c r="H274" s="6">
        <v>83</v>
      </c>
      <c r="I274" s="6">
        <v>0</v>
      </c>
      <c r="J274" s="6">
        <v>83</v>
      </c>
      <c r="K274" s="6">
        <v>85</v>
      </c>
      <c r="L274" s="6">
        <v>83</v>
      </c>
      <c r="M274" s="6">
        <v>83</v>
      </c>
      <c r="N274" s="6">
        <v>85</v>
      </c>
      <c r="O274" s="6">
        <v>87</v>
      </c>
      <c r="P274" s="6">
        <v>87</v>
      </c>
      <c r="Q274" s="6">
        <v>87</v>
      </c>
      <c r="R274" s="6">
        <v>0</v>
      </c>
      <c r="S274" s="6">
        <v>0</v>
      </c>
      <c r="T274" s="6">
        <v>87</v>
      </c>
      <c r="U274" s="6">
        <v>0</v>
      </c>
      <c r="V274" s="6">
        <v>87</v>
      </c>
      <c r="W274" s="138">
        <v>157889.06990943212</v>
      </c>
      <c r="X274">
        <f ca="1">IF(V274=0,0,OFFSET(CreditMetrics!$B$474,MATCH(RAND(),OFFSET(CreditMetrics!$C$474,1,MATCH(BDClientes!V274,CreditMetrics!$B$475:$B$491,0),COUNT(CreditMetrics!$B$475:$B$491),1),1),0,1,1))</f>
        <v>87</v>
      </c>
      <c r="Z274" s="79"/>
    </row>
    <row r="275" spans="1:26" x14ac:dyDescent="0.25">
      <c r="A275" s="4">
        <v>274</v>
      </c>
      <c r="B275" s="5" t="s">
        <v>276</v>
      </c>
      <c r="C275" s="6">
        <v>0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85</v>
      </c>
      <c r="K275" s="6">
        <v>0</v>
      </c>
      <c r="L275" s="6">
        <v>0</v>
      </c>
      <c r="M275" s="6">
        <v>0</v>
      </c>
      <c r="N275" s="6">
        <v>85</v>
      </c>
      <c r="O275" s="6">
        <v>83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X275">
        <f ca="1">IF(V275=0,0,OFFSET(CreditMetrics!$B$474,MATCH(RAND(),OFFSET(CreditMetrics!$C$474,1,MATCH(BDClientes!V275,CreditMetrics!$B$475:$B$491,0),COUNT(CreditMetrics!$B$475:$B$491),1),1),0,1,1))</f>
        <v>0</v>
      </c>
      <c r="Z275" s="79"/>
    </row>
    <row r="276" spans="1:26" x14ac:dyDescent="0.25">
      <c r="A276" s="4">
        <v>275</v>
      </c>
      <c r="B276" s="5" t="s">
        <v>277</v>
      </c>
      <c r="C276" s="6">
        <v>0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83</v>
      </c>
      <c r="J276" s="6">
        <v>85</v>
      </c>
      <c r="K276" s="6">
        <v>85</v>
      </c>
      <c r="L276" s="6">
        <v>80</v>
      </c>
      <c r="M276" s="6">
        <v>83</v>
      </c>
      <c r="N276" s="6">
        <v>83</v>
      </c>
      <c r="O276" s="6">
        <v>85</v>
      </c>
      <c r="P276" s="6">
        <v>85</v>
      </c>
      <c r="Q276" s="6">
        <v>85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X276">
        <f ca="1">IF(V276=0,0,OFFSET(CreditMetrics!$B$474,MATCH(RAND(),OFFSET(CreditMetrics!$C$474,1,MATCH(BDClientes!V276,CreditMetrics!$B$475:$B$491,0),COUNT(CreditMetrics!$B$475:$B$491),1),1),0,1,1))</f>
        <v>0</v>
      </c>
      <c r="Z276" s="79"/>
    </row>
    <row r="277" spans="1:26" x14ac:dyDescent="0.25">
      <c r="A277" s="4">
        <v>276</v>
      </c>
      <c r="B277" s="5" t="s">
        <v>278</v>
      </c>
      <c r="C277" s="6">
        <v>0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83</v>
      </c>
      <c r="K277" s="6">
        <v>0</v>
      </c>
      <c r="L277" s="6">
        <v>83</v>
      </c>
      <c r="M277" s="6">
        <v>0</v>
      </c>
      <c r="N277" s="6">
        <v>83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X277">
        <f ca="1">IF(V277=0,0,OFFSET(CreditMetrics!$B$474,MATCH(RAND(),OFFSET(CreditMetrics!$C$474,1,MATCH(BDClientes!V277,CreditMetrics!$B$475:$B$491,0),COUNT(CreditMetrics!$B$475:$B$491),1),1),0,1,1))</f>
        <v>0</v>
      </c>
      <c r="Z277" s="79"/>
    </row>
    <row r="278" spans="1:26" x14ac:dyDescent="0.25">
      <c r="A278" s="4">
        <v>277</v>
      </c>
      <c r="B278" s="5" t="s">
        <v>279</v>
      </c>
      <c r="C278" s="6">
        <v>0</v>
      </c>
      <c r="D278" s="6">
        <v>0</v>
      </c>
      <c r="E278" s="6">
        <v>0</v>
      </c>
      <c r="F278" s="6">
        <v>0</v>
      </c>
      <c r="G278" s="6">
        <v>0</v>
      </c>
      <c r="H278" s="6">
        <v>85</v>
      </c>
      <c r="I278" s="6">
        <v>85</v>
      </c>
      <c r="J278" s="6">
        <v>87</v>
      </c>
      <c r="K278" s="6">
        <v>0</v>
      </c>
      <c r="L278" s="6">
        <v>0</v>
      </c>
      <c r="M278" s="6">
        <v>85</v>
      </c>
      <c r="N278" s="6">
        <v>85</v>
      </c>
      <c r="O278" s="6">
        <v>83</v>
      </c>
      <c r="P278" s="6">
        <v>83</v>
      </c>
      <c r="Q278" s="6">
        <v>85</v>
      </c>
      <c r="R278" s="6">
        <v>87</v>
      </c>
      <c r="S278" s="6">
        <v>87</v>
      </c>
      <c r="T278" s="6">
        <v>83</v>
      </c>
      <c r="U278" s="6">
        <v>0</v>
      </c>
      <c r="V278" s="6">
        <v>0</v>
      </c>
      <c r="X278">
        <f ca="1">IF(V278=0,0,OFFSET(CreditMetrics!$B$474,MATCH(RAND(),OFFSET(CreditMetrics!$C$474,1,MATCH(BDClientes!V278,CreditMetrics!$B$475:$B$491,0),COUNT(CreditMetrics!$B$475:$B$491),1),1),0,1,1))</f>
        <v>0</v>
      </c>
      <c r="Z278" s="79"/>
    </row>
    <row r="279" spans="1:26" x14ac:dyDescent="0.25">
      <c r="A279" s="4">
        <v>278</v>
      </c>
      <c r="B279" s="5" t="s">
        <v>280</v>
      </c>
      <c r="C279" s="6">
        <v>0</v>
      </c>
      <c r="D279" s="6">
        <v>0</v>
      </c>
      <c r="E279" s="6">
        <v>0</v>
      </c>
      <c r="F279" s="6">
        <v>0</v>
      </c>
      <c r="G279" s="6">
        <v>0</v>
      </c>
      <c r="H279" s="6">
        <v>83</v>
      </c>
      <c r="I279" s="6">
        <v>85</v>
      </c>
      <c r="J279" s="6">
        <v>85</v>
      </c>
      <c r="K279" s="6">
        <v>87</v>
      </c>
      <c r="L279" s="6">
        <v>87</v>
      </c>
      <c r="M279" s="6">
        <v>87</v>
      </c>
      <c r="N279" s="6">
        <v>85</v>
      </c>
      <c r="O279" s="6">
        <v>87</v>
      </c>
      <c r="P279" s="6">
        <v>87</v>
      </c>
      <c r="Q279" s="6">
        <v>87</v>
      </c>
      <c r="R279" s="6">
        <v>87</v>
      </c>
      <c r="S279" s="6">
        <v>85</v>
      </c>
      <c r="T279" s="6">
        <v>85</v>
      </c>
      <c r="U279" s="6">
        <v>87</v>
      </c>
      <c r="V279" s="6">
        <v>87</v>
      </c>
      <c r="W279" s="138">
        <v>140829.63815900142</v>
      </c>
      <c r="X279">
        <f ca="1">IF(V279=0,0,OFFSET(CreditMetrics!$B$474,MATCH(RAND(),OFFSET(CreditMetrics!$C$474,1,MATCH(BDClientes!V279,CreditMetrics!$B$475:$B$491,0),COUNT(CreditMetrics!$B$475:$B$491),1),1),0,1,1))</f>
        <v>85</v>
      </c>
      <c r="Z279" s="79"/>
    </row>
    <row r="280" spans="1:26" x14ac:dyDescent="0.25">
      <c r="A280" s="4">
        <v>279</v>
      </c>
      <c r="B280" s="5" t="s">
        <v>281</v>
      </c>
      <c r="C280" s="6">
        <v>0</v>
      </c>
      <c r="D280" s="6">
        <v>0</v>
      </c>
      <c r="E280" s="6">
        <v>0</v>
      </c>
      <c r="F280" s="6">
        <v>0</v>
      </c>
      <c r="G280" s="6">
        <v>0</v>
      </c>
      <c r="H280" s="6">
        <v>0</v>
      </c>
      <c r="I280" s="6">
        <v>70</v>
      </c>
      <c r="J280" s="6">
        <v>70</v>
      </c>
      <c r="K280" s="6">
        <v>70</v>
      </c>
      <c r="L280" s="6">
        <v>80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X280">
        <f ca="1">IF(V280=0,0,OFFSET(CreditMetrics!$B$474,MATCH(RAND(),OFFSET(CreditMetrics!$C$474,1,MATCH(BDClientes!V280,CreditMetrics!$B$475:$B$491,0),COUNT(CreditMetrics!$B$475:$B$491),1),1),0,1,1))</f>
        <v>0</v>
      </c>
      <c r="Z280" s="79"/>
    </row>
    <row r="281" spans="1:26" x14ac:dyDescent="0.25">
      <c r="A281" s="4">
        <v>280</v>
      </c>
      <c r="B281" s="5" t="s">
        <v>282</v>
      </c>
      <c r="C281" s="6">
        <v>0</v>
      </c>
      <c r="D281" s="6">
        <v>0</v>
      </c>
      <c r="E281" s="6">
        <v>0</v>
      </c>
      <c r="F281" s="6">
        <v>0</v>
      </c>
      <c r="G281" s="6">
        <v>0</v>
      </c>
      <c r="H281" s="6">
        <v>0</v>
      </c>
      <c r="I281" s="6">
        <v>0</v>
      </c>
      <c r="J281" s="6">
        <v>83</v>
      </c>
      <c r="K281" s="6">
        <v>87</v>
      </c>
      <c r="L281" s="6">
        <v>87</v>
      </c>
      <c r="M281" s="6">
        <v>83</v>
      </c>
      <c r="N281" s="6">
        <v>83</v>
      </c>
      <c r="O281" s="6">
        <v>80</v>
      </c>
      <c r="P281" s="6">
        <v>83</v>
      </c>
      <c r="Q281" s="6">
        <v>80</v>
      </c>
      <c r="R281" s="6">
        <v>83</v>
      </c>
      <c r="S281" s="6">
        <v>0</v>
      </c>
      <c r="T281" s="6">
        <v>83</v>
      </c>
      <c r="U281" s="6">
        <v>85</v>
      </c>
      <c r="V281" s="6">
        <v>85</v>
      </c>
      <c r="W281" s="138">
        <v>558759.86585060367</v>
      </c>
      <c r="X281">
        <f ca="1">IF(V281=0,0,OFFSET(CreditMetrics!$B$474,MATCH(RAND(),OFFSET(CreditMetrics!$C$474,1,MATCH(BDClientes!V281,CreditMetrics!$B$475:$B$491,0),COUNT(CreditMetrics!$B$475:$B$491),1),1),0,1,1))</f>
        <v>83</v>
      </c>
      <c r="Z281" s="79"/>
    </row>
    <row r="282" spans="1:26" x14ac:dyDescent="0.25">
      <c r="A282" s="4">
        <v>281</v>
      </c>
      <c r="B282" s="5" t="s">
        <v>283</v>
      </c>
      <c r="C282" s="6">
        <v>0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83</v>
      </c>
      <c r="K282" s="6">
        <v>85</v>
      </c>
      <c r="L282" s="6">
        <v>85</v>
      </c>
      <c r="M282" s="6">
        <v>85</v>
      </c>
      <c r="N282" s="6">
        <v>83</v>
      </c>
      <c r="O282" s="6">
        <v>0</v>
      </c>
      <c r="P282" s="6">
        <v>85</v>
      </c>
      <c r="Q282" s="6">
        <v>0</v>
      </c>
      <c r="R282" s="6">
        <v>87</v>
      </c>
      <c r="S282" s="6">
        <v>87</v>
      </c>
      <c r="T282" s="6">
        <v>85</v>
      </c>
      <c r="U282" s="6">
        <v>85</v>
      </c>
      <c r="V282" s="6">
        <v>85</v>
      </c>
      <c r="W282" s="138">
        <v>223774.24258479074</v>
      </c>
      <c r="X282">
        <f ca="1">IF(V282=0,0,OFFSET(CreditMetrics!$B$474,MATCH(RAND(),OFFSET(CreditMetrics!$C$474,1,MATCH(BDClientes!V282,CreditMetrics!$B$475:$B$491,0),COUNT(CreditMetrics!$B$475:$B$491),1),1),0,1,1))</f>
        <v>83</v>
      </c>
      <c r="Z282" s="79"/>
    </row>
    <row r="283" spans="1:26" x14ac:dyDescent="0.25">
      <c r="A283" s="4">
        <v>282</v>
      </c>
      <c r="B283" s="5" t="s">
        <v>284</v>
      </c>
      <c r="C283" s="6">
        <v>0</v>
      </c>
      <c r="D283" s="6">
        <v>0</v>
      </c>
      <c r="E283" s="6">
        <v>0</v>
      </c>
      <c r="F283" s="6">
        <v>0</v>
      </c>
      <c r="G283" s="6">
        <v>0</v>
      </c>
      <c r="H283" s="6">
        <v>80</v>
      </c>
      <c r="I283" s="6">
        <v>80</v>
      </c>
      <c r="J283" s="6">
        <v>83</v>
      </c>
      <c r="K283" s="6">
        <v>85</v>
      </c>
      <c r="L283" s="6">
        <v>85</v>
      </c>
      <c r="M283" s="6">
        <v>83</v>
      </c>
      <c r="N283" s="6">
        <v>83</v>
      </c>
      <c r="O283" s="6">
        <v>85</v>
      </c>
      <c r="P283" s="6">
        <v>83</v>
      </c>
      <c r="Q283" s="6">
        <v>83</v>
      </c>
      <c r="R283" s="6">
        <v>83</v>
      </c>
      <c r="S283" s="6">
        <v>83</v>
      </c>
      <c r="T283" s="6">
        <v>80</v>
      </c>
      <c r="U283" s="6">
        <v>80</v>
      </c>
      <c r="V283" s="6">
        <v>77</v>
      </c>
      <c r="W283" s="138">
        <v>746973.87841469434</v>
      </c>
      <c r="X283">
        <f ca="1">IF(V283=0,0,OFFSET(CreditMetrics!$B$474,MATCH(RAND(),OFFSET(CreditMetrics!$C$474,1,MATCH(BDClientes!V283,CreditMetrics!$B$475:$B$491,0),COUNT(CreditMetrics!$B$475:$B$491),1),1),0,1,1))</f>
        <v>75</v>
      </c>
      <c r="Z283" s="79"/>
    </row>
    <row r="284" spans="1:26" x14ac:dyDescent="0.25">
      <c r="A284" s="4">
        <v>283</v>
      </c>
      <c r="B284" s="5" t="s">
        <v>285</v>
      </c>
      <c r="C284" s="6">
        <v>0</v>
      </c>
      <c r="D284" s="6">
        <v>0</v>
      </c>
      <c r="E284" s="6">
        <v>0</v>
      </c>
      <c r="F284" s="6">
        <v>0</v>
      </c>
      <c r="G284" s="6">
        <v>0</v>
      </c>
      <c r="H284" s="6">
        <v>0</v>
      </c>
      <c r="I284" s="6">
        <v>85</v>
      </c>
      <c r="J284" s="6">
        <v>85</v>
      </c>
      <c r="K284" s="6">
        <v>87</v>
      </c>
      <c r="L284" s="6">
        <v>85</v>
      </c>
      <c r="M284" s="6">
        <v>85</v>
      </c>
      <c r="N284" s="6">
        <v>85</v>
      </c>
      <c r="O284" s="6">
        <v>85</v>
      </c>
      <c r="P284" s="6">
        <v>83</v>
      </c>
      <c r="Q284" s="6">
        <v>83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X284">
        <f ca="1">IF(V284=0,0,OFFSET(CreditMetrics!$B$474,MATCH(RAND(),OFFSET(CreditMetrics!$C$474,1,MATCH(BDClientes!V284,CreditMetrics!$B$475:$B$491,0),COUNT(CreditMetrics!$B$475:$B$491),1),1),0,1,1))</f>
        <v>0</v>
      </c>
      <c r="Z284" s="79"/>
    </row>
    <row r="285" spans="1:26" x14ac:dyDescent="0.25">
      <c r="A285" s="4">
        <v>284</v>
      </c>
      <c r="B285" s="5" t="s">
        <v>286</v>
      </c>
      <c r="C285" s="6">
        <v>0</v>
      </c>
      <c r="D285" s="6">
        <v>0</v>
      </c>
      <c r="E285" s="6">
        <v>0</v>
      </c>
      <c r="F285" s="6">
        <v>0</v>
      </c>
      <c r="G285" s="6">
        <v>0</v>
      </c>
      <c r="H285" s="6">
        <v>85</v>
      </c>
      <c r="I285" s="6">
        <v>85</v>
      </c>
      <c r="J285" s="6">
        <v>85</v>
      </c>
      <c r="K285" s="6">
        <v>85</v>
      </c>
      <c r="L285" s="6">
        <v>85</v>
      </c>
      <c r="M285" s="6">
        <v>85</v>
      </c>
      <c r="N285" s="6">
        <v>85</v>
      </c>
      <c r="O285" s="6">
        <v>85</v>
      </c>
      <c r="P285" s="6">
        <v>83</v>
      </c>
      <c r="Q285" s="6">
        <v>85</v>
      </c>
      <c r="R285" s="6">
        <v>85</v>
      </c>
      <c r="S285" s="6">
        <v>85</v>
      </c>
      <c r="T285" s="6">
        <v>85</v>
      </c>
      <c r="U285" s="6">
        <v>83</v>
      </c>
      <c r="V285" s="6">
        <v>83</v>
      </c>
      <c r="W285" s="138">
        <v>111821.94078423221</v>
      </c>
      <c r="X285">
        <f ca="1">IF(V285=0,0,OFFSET(CreditMetrics!$B$474,MATCH(RAND(),OFFSET(CreditMetrics!$C$474,1,MATCH(BDClientes!V285,CreditMetrics!$B$475:$B$491,0),COUNT(CreditMetrics!$B$475:$B$491),1),1),0,1,1))</f>
        <v>83</v>
      </c>
      <c r="Z285" s="79"/>
    </row>
    <row r="286" spans="1:26" x14ac:dyDescent="0.25">
      <c r="A286" s="4">
        <v>285</v>
      </c>
      <c r="B286" s="5" t="s">
        <v>287</v>
      </c>
      <c r="C286" s="6">
        <v>0</v>
      </c>
      <c r="D286" s="6">
        <v>0</v>
      </c>
      <c r="E286" s="6">
        <v>0</v>
      </c>
      <c r="F286" s="6">
        <v>0</v>
      </c>
      <c r="G286" s="6">
        <v>0</v>
      </c>
      <c r="H286" s="6">
        <v>0</v>
      </c>
      <c r="I286" s="6">
        <v>90</v>
      </c>
      <c r="J286" s="6">
        <v>90</v>
      </c>
      <c r="K286" s="6">
        <v>90</v>
      </c>
      <c r="L286" s="6">
        <v>83</v>
      </c>
      <c r="M286" s="6">
        <v>85</v>
      </c>
      <c r="N286" s="6">
        <v>85</v>
      </c>
      <c r="O286" s="6">
        <v>85</v>
      </c>
      <c r="P286" s="6">
        <v>85</v>
      </c>
      <c r="Q286" s="6">
        <v>87</v>
      </c>
      <c r="R286" s="6">
        <v>87</v>
      </c>
      <c r="S286" s="6">
        <v>87</v>
      </c>
      <c r="T286" s="6">
        <v>87</v>
      </c>
      <c r="U286" s="6">
        <v>87</v>
      </c>
      <c r="V286" s="6">
        <v>80</v>
      </c>
      <c r="W286" s="138">
        <v>474811.72378733964</v>
      </c>
      <c r="X286">
        <f ca="1">IF(V286=0,0,OFFSET(CreditMetrics!$B$474,MATCH(RAND(),OFFSET(CreditMetrics!$C$474,1,MATCH(BDClientes!V286,CreditMetrics!$B$475:$B$491,0),COUNT(CreditMetrics!$B$475:$B$491),1),1),0,1,1))</f>
        <v>80</v>
      </c>
      <c r="Z286" s="79"/>
    </row>
    <row r="287" spans="1:26" x14ac:dyDescent="0.25">
      <c r="A287" s="4">
        <v>286</v>
      </c>
      <c r="B287" s="5" t="s">
        <v>288</v>
      </c>
      <c r="C287" s="6">
        <v>0</v>
      </c>
      <c r="D287" s="6">
        <v>0</v>
      </c>
      <c r="E287" s="6">
        <v>0</v>
      </c>
      <c r="F287" s="6">
        <v>0</v>
      </c>
      <c r="G287" s="6">
        <v>0</v>
      </c>
      <c r="H287" s="6">
        <v>87</v>
      </c>
      <c r="I287" s="6">
        <v>87</v>
      </c>
      <c r="J287" s="6">
        <v>87</v>
      </c>
      <c r="K287" s="6">
        <v>85</v>
      </c>
      <c r="L287" s="6">
        <v>0</v>
      </c>
      <c r="M287" s="6">
        <v>0</v>
      </c>
      <c r="N287" s="6">
        <v>0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X287">
        <f ca="1">IF(V287=0,0,OFFSET(CreditMetrics!$B$474,MATCH(RAND(),OFFSET(CreditMetrics!$C$474,1,MATCH(BDClientes!V287,CreditMetrics!$B$475:$B$491,0),COUNT(CreditMetrics!$B$475:$B$491),1),1),0,1,1))</f>
        <v>0</v>
      </c>
      <c r="Z287" s="79"/>
    </row>
    <row r="288" spans="1:26" x14ac:dyDescent="0.25">
      <c r="A288" s="4">
        <v>287</v>
      </c>
      <c r="B288" s="5" t="s">
        <v>289</v>
      </c>
      <c r="C288" s="6">
        <v>0</v>
      </c>
      <c r="D288" s="6">
        <v>0</v>
      </c>
      <c r="E288" s="6">
        <v>0</v>
      </c>
      <c r="F288" s="6">
        <v>0</v>
      </c>
      <c r="G288" s="6">
        <v>0</v>
      </c>
      <c r="H288" s="6">
        <v>0</v>
      </c>
      <c r="I288" s="6">
        <v>0</v>
      </c>
      <c r="J288" s="6">
        <v>85</v>
      </c>
      <c r="K288" s="6">
        <v>85</v>
      </c>
      <c r="L288" s="6">
        <v>80</v>
      </c>
      <c r="M288" s="6">
        <v>73</v>
      </c>
      <c r="N288" s="6">
        <v>75</v>
      </c>
      <c r="O288" s="6">
        <v>73</v>
      </c>
      <c r="P288" s="6">
        <v>0</v>
      </c>
      <c r="Q288" s="6">
        <v>0</v>
      </c>
      <c r="R288" s="6">
        <v>80</v>
      </c>
      <c r="S288" s="6">
        <v>80</v>
      </c>
      <c r="T288" s="6">
        <v>80</v>
      </c>
      <c r="U288" s="6">
        <v>80</v>
      </c>
      <c r="V288" s="6">
        <v>80</v>
      </c>
      <c r="W288" s="138">
        <v>262385.21777972154</v>
      </c>
      <c r="X288">
        <f ca="1">IF(V288=0,0,OFFSET(CreditMetrics!$B$474,MATCH(RAND(),OFFSET(CreditMetrics!$C$474,1,MATCH(BDClientes!V288,CreditMetrics!$B$475:$B$491,0),COUNT(CreditMetrics!$B$475:$B$491),1),1),0,1,1))</f>
        <v>80</v>
      </c>
      <c r="Z288" s="79"/>
    </row>
    <row r="289" spans="1:26" x14ac:dyDescent="0.25">
      <c r="A289" s="4">
        <v>288</v>
      </c>
      <c r="B289" s="5" t="s">
        <v>290</v>
      </c>
      <c r="C289" s="6">
        <v>0</v>
      </c>
      <c r="D289" s="6">
        <v>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85</v>
      </c>
      <c r="K289" s="6">
        <v>85</v>
      </c>
      <c r="L289" s="6">
        <v>85</v>
      </c>
      <c r="M289" s="6">
        <v>80</v>
      </c>
      <c r="N289" s="6">
        <v>83</v>
      </c>
      <c r="O289" s="6">
        <v>85</v>
      </c>
      <c r="P289" s="6">
        <v>83</v>
      </c>
      <c r="Q289" s="6">
        <v>83</v>
      </c>
      <c r="R289" s="6">
        <v>83</v>
      </c>
      <c r="S289" s="6">
        <v>83</v>
      </c>
      <c r="T289" s="6">
        <v>83</v>
      </c>
      <c r="U289" s="6">
        <v>83</v>
      </c>
      <c r="V289" s="6">
        <v>83</v>
      </c>
      <c r="W289" s="138">
        <v>112597.06242265257</v>
      </c>
      <c r="X289">
        <f ca="1">IF(V289=0,0,OFFSET(CreditMetrics!$B$474,MATCH(RAND(),OFFSET(CreditMetrics!$C$474,1,MATCH(BDClientes!V289,CreditMetrics!$B$475:$B$491,0),COUNT(CreditMetrics!$B$475:$B$491),1),1),0,1,1))</f>
        <v>83</v>
      </c>
      <c r="Z289" s="79"/>
    </row>
    <row r="290" spans="1:26" x14ac:dyDescent="0.25">
      <c r="A290" s="4">
        <v>289</v>
      </c>
      <c r="B290" s="5" t="s">
        <v>291</v>
      </c>
      <c r="C290" s="6">
        <v>0</v>
      </c>
      <c r="D290" s="6">
        <v>0</v>
      </c>
      <c r="E290" s="6">
        <v>0</v>
      </c>
      <c r="F290" s="6">
        <v>0</v>
      </c>
      <c r="G290" s="6">
        <v>0</v>
      </c>
      <c r="H290" s="6">
        <v>0</v>
      </c>
      <c r="I290" s="6">
        <v>0</v>
      </c>
      <c r="J290" s="6">
        <v>83</v>
      </c>
      <c r="K290" s="6">
        <v>83</v>
      </c>
      <c r="L290" s="6">
        <v>80</v>
      </c>
      <c r="M290" s="6">
        <v>80</v>
      </c>
      <c r="N290" s="6">
        <v>83</v>
      </c>
      <c r="O290" s="6">
        <v>80</v>
      </c>
      <c r="P290" s="6">
        <v>80</v>
      </c>
      <c r="Q290" s="6">
        <v>80</v>
      </c>
      <c r="R290" s="6">
        <v>80</v>
      </c>
      <c r="S290" s="6">
        <v>80</v>
      </c>
      <c r="T290" s="6">
        <v>80</v>
      </c>
      <c r="U290" s="6">
        <v>80</v>
      </c>
      <c r="V290" s="6">
        <v>80</v>
      </c>
      <c r="W290" s="138">
        <v>326195.26613518415</v>
      </c>
      <c r="X290">
        <f ca="1">IF(V290=0,0,OFFSET(CreditMetrics!$B$474,MATCH(RAND(),OFFSET(CreditMetrics!$C$474,1,MATCH(BDClientes!V290,CreditMetrics!$B$475:$B$491,0),COUNT(CreditMetrics!$B$475:$B$491),1),1),0,1,1))</f>
        <v>40</v>
      </c>
      <c r="Z290" s="79"/>
    </row>
    <row r="291" spans="1:26" x14ac:dyDescent="0.25">
      <c r="A291" s="4">
        <v>290</v>
      </c>
      <c r="B291" s="5" t="s">
        <v>292</v>
      </c>
      <c r="C291" s="6">
        <v>0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85</v>
      </c>
      <c r="J291" s="6">
        <v>85</v>
      </c>
      <c r="K291" s="6">
        <v>85</v>
      </c>
      <c r="L291" s="6">
        <v>83</v>
      </c>
      <c r="M291" s="6">
        <v>83</v>
      </c>
      <c r="N291" s="6">
        <v>85</v>
      </c>
      <c r="O291" s="6">
        <v>85</v>
      </c>
      <c r="P291" s="6">
        <v>85</v>
      </c>
      <c r="Q291" s="6">
        <v>87</v>
      </c>
      <c r="R291" s="6">
        <v>87</v>
      </c>
      <c r="S291" s="6">
        <v>87</v>
      </c>
      <c r="T291" s="6">
        <v>87</v>
      </c>
      <c r="U291" s="6">
        <v>87</v>
      </c>
      <c r="V291" s="6">
        <v>87</v>
      </c>
      <c r="W291" s="138">
        <v>2987278.1196249356</v>
      </c>
      <c r="X291">
        <f ca="1">IF(V291=0,0,OFFSET(CreditMetrics!$B$474,MATCH(RAND(),OFFSET(CreditMetrics!$C$474,1,MATCH(BDClientes!V291,CreditMetrics!$B$475:$B$491,0),COUNT(CreditMetrics!$B$475:$B$491),1),1),0,1,1))</f>
        <v>83</v>
      </c>
      <c r="Z291" s="79"/>
    </row>
    <row r="292" spans="1:26" x14ac:dyDescent="0.25">
      <c r="A292" s="4">
        <v>291</v>
      </c>
      <c r="B292" s="5" t="s">
        <v>293</v>
      </c>
      <c r="C292" s="6">
        <v>0</v>
      </c>
      <c r="D292" s="6">
        <v>0</v>
      </c>
      <c r="E292" s="6">
        <v>0</v>
      </c>
      <c r="F292" s="6">
        <v>0</v>
      </c>
      <c r="G292" s="6">
        <v>0</v>
      </c>
      <c r="H292" s="6">
        <v>0</v>
      </c>
      <c r="I292" s="6">
        <v>87</v>
      </c>
      <c r="J292" s="6">
        <v>87</v>
      </c>
      <c r="K292" s="6">
        <v>83</v>
      </c>
      <c r="L292" s="6">
        <v>83</v>
      </c>
      <c r="M292" s="6">
        <v>83</v>
      </c>
      <c r="N292" s="6">
        <v>77</v>
      </c>
      <c r="O292" s="6">
        <v>83</v>
      </c>
      <c r="P292" s="6">
        <v>83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X292">
        <f ca="1">IF(V292=0,0,OFFSET(CreditMetrics!$B$474,MATCH(RAND(),OFFSET(CreditMetrics!$C$474,1,MATCH(BDClientes!V292,CreditMetrics!$B$475:$B$491,0),COUNT(CreditMetrics!$B$475:$B$491),1),1),0,1,1))</f>
        <v>0</v>
      </c>
      <c r="Z292" s="79"/>
    </row>
    <row r="293" spans="1:26" x14ac:dyDescent="0.25">
      <c r="A293" s="4">
        <v>292</v>
      </c>
      <c r="B293" s="5" t="s">
        <v>294</v>
      </c>
      <c r="C293" s="6">
        <v>0</v>
      </c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85</v>
      </c>
      <c r="J293" s="6">
        <v>83</v>
      </c>
      <c r="K293" s="6">
        <v>65</v>
      </c>
      <c r="L293" s="6">
        <v>65</v>
      </c>
      <c r="M293" s="6">
        <v>0</v>
      </c>
      <c r="N293" s="6">
        <v>0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X293">
        <f ca="1">IF(V293=0,0,OFFSET(CreditMetrics!$B$474,MATCH(RAND(),OFFSET(CreditMetrics!$C$474,1,MATCH(BDClientes!V293,CreditMetrics!$B$475:$B$491,0),COUNT(CreditMetrics!$B$475:$B$491),1),1),0,1,1))</f>
        <v>0</v>
      </c>
      <c r="Z293" s="79"/>
    </row>
    <row r="294" spans="1:26" x14ac:dyDescent="0.25">
      <c r="A294" s="4">
        <v>293</v>
      </c>
      <c r="B294" s="5" t="s">
        <v>295</v>
      </c>
      <c r="C294" s="6">
        <v>0</v>
      </c>
      <c r="D294" s="6">
        <v>0</v>
      </c>
      <c r="E294" s="6">
        <v>0</v>
      </c>
      <c r="F294" s="6">
        <v>0</v>
      </c>
      <c r="G294" s="6">
        <v>0</v>
      </c>
      <c r="H294" s="6">
        <v>0</v>
      </c>
      <c r="I294" s="6">
        <v>0</v>
      </c>
      <c r="J294" s="6">
        <v>0</v>
      </c>
      <c r="K294" s="6">
        <v>85</v>
      </c>
      <c r="L294" s="6">
        <v>80</v>
      </c>
      <c r="M294" s="6">
        <v>80</v>
      </c>
      <c r="N294" s="6">
        <v>83</v>
      </c>
      <c r="O294" s="6">
        <v>83</v>
      </c>
      <c r="P294" s="6">
        <v>87</v>
      </c>
      <c r="Q294" s="6">
        <v>85</v>
      </c>
      <c r="R294" s="6">
        <v>85</v>
      </c>
      <c r="S294" s="6">
        <v>85</v>
      </c>
      <c r="T294" s="6">
        <v>85</v>
      </c>
      <c r="U294" s="6">
        <v>85</v>
      </c>
      <c r="V294" s="6">
        <v>83</v>
      </c>
      <c r="W294" s="138">
        <v>249369.54315655341</v>
      </c>
      <c r="X294">
        <f ca="1">IF(V294=0,0,OFFSET(CreditMetrics!$B$474,MATCH(RAND(),OFFSET(CreditMetrics!$C$474,1,MATCH(BDClientes!V294,CreditMetrics!$B$475:$B$491,0),COUNT(CreditMetrics!$B$475:$B$491),1),1),0,1,1))</f>
        <v>80</v>
      </c>
      <c r="Z294" s="79"/>
    </row>
    <row r="295" spans="1:26" x14ac:dyDescent="0.25">
      <c r="A295" s="4">
        <v>294</v>
      </c>
      <c r="B295" s="5" t="s">
        <v>296</v>
      </c>
      <c r="C295" s="6">
        <v>0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80</v>
      </c>
      <c r="J295" s="6">
        <v>83</v>
      </c>
      <c r="K295" s="6">
        <v>83</v>
      </c>
      <c r="L295" s="6">
        <v>75</v>
      </c>
      <c r="M295" s="6">
        <v>80</v>
      </c>
      <c r="N295" s="6">
        <v>80</v>
      </c>
      <c r="O295" s="6">
        <v>80</v>
      </c>
      <c r="P295" s="6">
        <v>83</v>
      </c>
      <c r="Q295" s="6">
        <v>83</v>
      </c>
      <c r="R295" s="6">
        <v>83</v>
      </c>
      <c r="S295" s="6">
        <v>83</v>
      </c>
      <c r="T295" s="6">
        <v>83</v>
      </c>
      <c r="U295" s="6">
        <v>83</v>
      </c>
      <c r="V295" s="6">
        <v>83</v>
      </c>
      <c r="W295" s="138">
        <v>146113.9964714993</v>
      </c>
      <c r="X295">
        <f ca="1">IF(V295=0,0,OFFSET(CreditMetrics!$B$474,MATCH(RAND(),OFFSET(CreditMetrics!$C$474,1,MATCH(BDClientes!V295,CreditMetrics!$B$475:$B$491,0),COUNT(CreditMetrics!$B$475:$B$491),1),1),0,1,1))</f>
        <v>85</v>
      </c>
      <c r="Z295" s="79"/>
    </row>
    <row r="296" spans="1:26" x14ac:dyDescent="0.25">
      <c r="A296" s="4">
        <v>295</v>
      </c>
      <c r="B296" s="5" t="s">
        <v>297</v>
      </c>
      <c r="C296" s="6">
        <v>0</v>
      </c>
      <c r="D296" s="6">
        <v>0</v>
      </c>
      <c r="E296" s="6">
        <v>0</v>
      </c>
      <c r="F296" s="6">
        <v>0</v>
      </c>
      <c r="G296" s="6">
        <v>0</v>
      </c>
      <c r="H296" s="6">
        <v>0</v>
      </c>
      <c r="I296" s="6">
        <v>85</v>
      </c>
      <c r="J296" s="6">
        <v>85</v>
      </c>
      <c r="K296" s="6">
        <v>83</v>
      </c>
      <c r="L296" s="6">
        <v>83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X296">
        <f ca="1">IF(V296=0,0,OFFSET(CreditMetrics!$B$474,MATCH(RAND(),OFFSET(CreditMetrics!$C$474,1,MATCH(BDClientes!V296,CreditMetrics!$B$475:$B$491,0),COUNT(CreditMetrics!$B$475:$B$491),1),1),0,1,1))</f>
        <v>0</v>
      </c>
      <c r="Z296" s="79"/>
    </row>
    <row r="297" spans="1:26" x14ac:dyDescent="0.25">
      <c r="A297" s="4">
        <v>296</v>
      </c>
      <c r="B297" s="5" t="s">
        <v>298</v>
      </c>
      <c r="C297" s="6">
        <v>0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0</v>
      </c>
      <c r="J297" s="6">
        <v>87</v>
      </c>
      <c r="K297" s="6">
        <v>90</v>
      </c>
      <c r="L297" s="6">
        <v>85</v>
      </c>
      <c r="M297" s="6">
        <v>87</v>
      </c>
      <c r="N297" s="6">
        <v>85</v>
      </c>
      <c r="O297" s="6">
        <v>85</v>
      </c>
      <c r="P297" s="6">
        <v>87</v>
      </c>
      <c r="Q297" s="6">
        <v>87</v>
      </c>
      <c r="R297" s="6">
        <v>87</v>
      </c>
      <c r="S297" s="6">
        <v>87</v>
      </c>
      <c r="T297" s="6">
        <v>85</v>
      </c>
      <c r="U297" s="6">
        <v>85</v>
      </c>
      <c r="V297" s="6">
        <v>85</v>
      </c>
      <c r="W297" s="138">
        <v>122861.9293875923</v>
      </c>
      <c r="X297">
        <f ca="1">IF(V297=0,0,OFFSET(CreditMetrics!$B$474,MATCH(RAND(),OFFSET(CreditMetrics!$C$474,1,MATCH(BDClientes!V297,CreditMetrics!$B$475:$B$491,0),COUNT(CreditMetrics!$B$475:$B$491),1),1),0,1,1))</f>
        <v>83</v>
      </c>
      <c r="Z297" s="79"/>
    </row>
    <row r="298" spans="1:26" x14ac:dyDescent="0.25">
      <c r="A298" s="4">
        <v>297</v>
      </c>
      <c r="B298" s="5" t="s">
        <v>299</v>
      </c>
      <c r="C298" s="6">
        <v>0</v>
      </c>
      <c r="D298" s="6">
        <v>0</v>
      </c>
      <c r="E298" s="6">
        <v>0</v>
      </c>
      <c r="F298" s="6">
        <v>0</v>
      </c>
      <c r="G298" s="6">
        <v>0</v>
      </c>
      <c r="H298" s="6">
        <v>0</v>
      </c>
      <c r="I298" s="6">
        <v>85</v>
      </c>
      <c r="J298" s="6">
        <v>85</v>
      </c>
      <c r="K298" s="6">
        <v>0</v>
      </c>
      <c r="L298" s="6">
        <v>80</v>
      </c>
      <c r="M298" s="6">
        <v>80</v>
      </c>
      <c r="N298" s="6">
        <v>0</v>
      </c>
      <c r="O298" s="6">
        <v>77</v>
      </c>
      <c r="P298" s="6">
        <v>0</v>
      </c>
      <c r="Q298" s="6">
        <v>0</v>
      </c>
      <c r="R298" s="6">
        <v>0</v>
      </c>
      <c r="S298" s="6">
        <v>0</v>
      </c>
      <c r="T298" s="6">
        <v>80</v>
      </c>
      <c r="U298" s="6">
        <v>80</v>
      </c>
      <c r="V298" s="6">
        <v>80</v>
      </c>
      <c r="W298" s="138">
        <v>300691.95056632767</v>
      </c>
      <c r="X298">
        <f ca="1">IF(V298=0,0,OFFSET(CreditMetrics!$B$474,MATCH(RAND(),OFFSET(CreditMetrics!$C$474,1,MATCH(BDClientes!V298,CreditMetrics!$B$475:$B$491,0),COUNT(CreditMetrics!$B$475:$B$491),1),1),0,1,1))</f>
        <v>77</v>
      </c>
      <c r="Z298" s="79"/>
    </row>
    <row r="299" spans="1:26" x14ac:dyDescent="0.25">
      <c r="A299" s="4">
        <v>298</v>
      </c>
      <c r="B299" s="5" t="s">
        <v>300</v>
      </c>
      <c r="C299" s="6">
        <v>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77</v>
      </c>
      <c r="J299" s="6">
        <v>75</v>
      </c>
      <c r="K299" s="6">
        <v>80</v>
      </c>
      <c r="L299" s="6">
        <v>83</v>
      </c>
      <c r="M299" s="6">
        <v>83</v>
      </c>
      <c r="N299" s="6">
        <v>83</v>
      </c>
      <c r="O299" s="6">
        <v>83</v>
      </c>
      <c r="P299" s="6">
        <v>0</v>
      </c>
      <c r="Q299" s="6">
        <v>0</v>
      </c>
      <c r="R299" s="6">
        <v>85</v>
      </c>
      <c r="S299" s="6">
        <v>85</v>
      </c>
      <c r="T299" s="6">
        <v>85</v>
      </c>
      <c r="U299" s="6">
        <v>85</v>
      </c>
      <c r="V299" s="6">
        <v>85</v>
      </c>
      <c r="W299" s="138">
        <v>144566.45812232641</v>
      </c>
      <c r="X299">
        <f ca="1">IF(V299=0,0,OFFSET(CreditMetrics!$B$474,MATCH(RAND(),OFFSET(CreditMetrics!$C$474,1,MATCH(BDClientes!V299,CreditMetrics!$B$475:$B$491,0),COUNT(CreditMetrics!$B$475:$B$491),1),1),0,1,1))</f>
        <v>85</v>
      </c>
      <c r="Z299" s="79"/>
    </row>
    <row r="300" spans="1:26" x14ac:dyDescent="0.25">
      <c r="A300" s="4">
        <v>299</v>
      </c>
      <c r="B300" s="5" t="s">
        <v>301</v>
      </c>
      <c r="C300" s="6">
        <v>0</v>
      </c>
      <c r="D300" s="6">
        <v>0</v>
      </c>
      <c r="E300" s="6">
        <v>0</v>
      </c>
      <c r="F300" s="6">
        <v>0</v>
      </c>
      <c r="G300" s="6">
        <v>0</v>
      </c>
      <c r="H300" s="6">
        <v>0</v>
      </c>
      <c r="I300" s="6">
        <v>0</v>
      </c>
      <c r="J300" s="6">
        <v>83</v>
      </c>
      <c r="K300" s="6">
        <v>0</v>
      </c>
      <c r="L300" s="6">
        <v>0</v>
      </c>
      <c r="M300" s="6">
        <v>0</v>
      </c>
      <c r="N300" s="6">
        <v>83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X300">
        <f ca="1">IF(V300=0,0,OFFSET(CreditMetrics!$B$474,MATCH(RAND(),OFFSET(CreditMetrics!$C$474,1,MATCH(BDClientes!V300,CreditMetrics!$B$475:$B$491,0),COUNT(CreditMetrics!$B$475:$B$491),1),1),0,1,1))</f>
        <v>0</v>
      </c>
      <c r="Z300" s="79"/>
    </row>
    <row r="301" spans="1:26" x14ac:dyDescent="0.25">
      <c r="A301" s="4">
        <v>300</v>
      </c>
      <c r="B301" s="5" t="s">
        <v>302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0</v>
      </c>
      <c r="I301" s="6">
        <v>0</v>
      </c>
      <c r="J301" s="6">
        <v>83</v>
      </c>
      <c r="K301" s="6">
        <v>83</v>
      </c>
      <c r="L301" s="6">
        <v>85</v>
      </c>
      <c r="M301" s="6">
        <v>83</v>
      </c>
      <c r="N301" s="6">
        <v>80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X301">
        <f ca="1">IF(V301=0,0,OFFSET(CreditMetrics!$B$474,MATCH(RAND(),OFFSET(CreditMetrics!$C$474,1,MATCH(BDClientes!V301,CreditMetrics!$B$475:$B$491,0),COUNT(CreditMetrics!$B$475:$B$491),1),1),0,1,1))</f>
        <v>0</v>
      </c>
      <c r="Z301" s="79"/>
    </row>
    <row r="302" spans="1:26" x14ac:dyDescent="0.25">
      <c r="A302" s="4">
        <v>301</v>
      </c>
      <c r="B302" s="5" t="s">
        <v>303</v>
      </c>
      <c r="C302" s="6">
        <v>0</v>
      </c>
      <c r="D302" s="6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85</v>
      </c>
      <c r="K302" s="6">
        <v>85</v>
      </c>
      <c r="L302" s="6">
        <v>0</v>
      </c>
      <c r="M302" s="6">
        <v>85</v>
      </c>
      <c r="N302" s="6">
        <v>85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X302">
        <f ca="1">IF(V302=0,0,OFFSET(CreditMetrics!$B$474,MATCH(RAND(),OFFSET(CreditMetrics!$C$474,1,MATCH(BDClientes!V302,CreditMetrics!$B$475:$B$491,0),COUNT(CreditMetrics!$B$475:$B$491),1),1),0,1,1))</f>
        <v>0</v>
      </c>
      <c r="Z302" s="79"/>
    </row>
    <row r="303" spans="1:26" x14ac:dyDescent="0.25">
      <c r="A303" s="4">
        <v>302</v>
      </c>
      <c r="B303" s="5" t="s">
        <v>304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83</v>
      </c>
      <c r="K303" s="6">
        <v>83</v>
      </c>
      <c r="L303" s="6">
        <v>83</v>
      </c>
      <c r="M303" s="6">
        <v>83</v>
      </c>
      <c r="N303" s="6">
        <v>83</v>
      </c>
      <c r="O303" s="6"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X303">
        <f ca="1">IF(V303=0,0,OFFSET(CreditMetrics!$B$474,MATCH(RAND(),OFFSET(CreditMetrics!$C$474,1,MATCH(BDClientes!V303,CreditMetrics!$B$475:$B$491,0),COUNT(CreditMetrics!$B$475:$B$491),1),1),0,1,1))</f>
        <v>0</v>
      </c>
      <c r="Z303" s="79"/>
    </row>
    <row r="304" spans="1:26" x14ac:dyDescent="0.25">
      <c r="A304" s="4">
        <v>303</v>
      </c>
      <c r="B304" s="5" t="s">
        <v>305</v>
      </c>
      <c r="C304" s="6">
        <v>0</v>
      </c>
      <c r="D304" s="6">
        <v>0</v>
      </c>
      <c r="E304" s="6">
        <v>0</v>
      </c>
      <c r="F304" s="6">
        <v>0</v>
      </c>
      <c r="G304" s="6">
        <v>0</v>
      </c>
      <c r="H304" s="6">
        <v>0</v>
      </c>
      <c r="I304" s="6">
        <v>0</v>
      </c>
      <c r="J304" s="6">
        <v>83</v>
      </c>
      <c r="K304" s="6">
        <v>0</v>
      </c>
      <c r="L304" s="6">
        <v>0</v>
      </c>
      <c r="M304" s="6">
        <v>85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X304">
        <f ca="1">IF(V304=0,0,OFFSET(CreditMetrics!$B$474,MATCH(RAND(),OFFSET(CreditMetrics!$C$474,1,MATCH(BDClientes!V304,CreditMetrics!$B$475:$B$491,0),COUNT(CreditMetrics!$B$475:$B$491),1),1),0,1,1))</f>
        <v>0</v>
      </c>
      <c r="Z304" s="79"/>
    </row>
    <row r="305" spans="1:26" x14ac:dyDescent="0.25">
      <c r="A305" s="4">
        <v>304</v>
      </c>
      <c r="B305" s="5" t="s">
        <v>306</v>
      </c>
      <c r="C305" s="6">
        <v>0</v>
      </c>
      <c r="D305" s="6">
        <v>0</v>
      </c>
      <c r="E305" s="6">
        <v>0</v>
      </c>
      <c r="F305" s="6">
        <v>0</v>
      </c>
      <c r="G305" s="6">
        <v>0</v>
      </c>
      <c r="H305" s="6">
        <v>0</v>
      </c>
      <c r="I305" s="6">
        <v>0</v>
      </c>
      <c r="J305" s="6">
        <v>83</v>
      </c>
      <c r="K305" s="6">
        <v>83</v>
      </c>
      <c r="L305" s="6">
        <v>80</v>
      </c>
      <c r="M305" s="6">
        <v>80</v>
      </c>
      <c r="N305" s="6">
        <v>80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X305">
        <f ca="1">IF(V305=0,0,OFFSET(CreditMetrics!$B$474,MATCH(RAND(),OFFSET(CreditMetrics!$C$474,1,MATCH(BDClientes!V305,CreditMetrics!$B$475:$B$491,0),COUNT(CreditMetrics!$B$475:$B$491),1),1),0,1,1))</f>
        <v>0</v>
      </c>
      <c r="Z305" s="79"/>
    </row>
    <row r="306" spans="1:26" x14ac:dyDescent="0.25">
      <c r="A306" s="4">
        <v>305</v>
      </c>
      <c r="B306" s="5" t="s">
        <v>307</v>
      </c>
      <c r="C306" s="6">
        <v>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80</v>
      </c>
      <c r="J306" s="6">
        <v>77</v>
      </c>
      <c r="K306" s="6">
        <v>77</v>
      </c>
      <c r="L306" s="6">
        <v>80</v>
      </c>
      <c r="M306" s="6">
        <v>85</v>
      </c>
      <c r="N306" s="6">
        <v>83</v>
      </c>
      <c r="O306" s="6">
        <v>83</v>
      </c>
      <c r="P306" s="6">
        <v>80</v>
      </c>
      <c r="Q306" s="6">
        <v>77</v>
      </c>
      <c r="R306" s="6">
        <v>83</v>
      </c>
      <c r="S306" s="6">
        <v>83</v>
      </c>
      <c r="T306" s="6">
        <v>85</v>
      </c>
      <c r="U306" s="6">
        <v>85</v>
      </c>
      <c r="V306" s="6">
        <v>83</v>
      </c>
      <c r="W306" s="138">
        <v>130062.16114531962</v>
      </c>
      <c r="X306">
        <f ca="1">IF(V306=0,0,OFFSET(CreditMetrics!$B$474,MATCH(RAND(),OFFSET(CreditMetrics!$C$474,1,MATCH(BDClientes!V306,CreditMetrics!$B$475:$B$491,0),COUNT(CreditMetrics!$B$475:$B$491),1),1),0,1,1))</f>
        <v>83</v>
      </c>
      <c r="Z306" s="79"/>
    </row>
    <row r="307" spans="1:26" x14ac:dyDescent="0.25">
      <c r="A307" s="4">
        <v>306</v>
      </c>
      <c r="B307" s="5" t="s">
        <v>308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75</v>
      </c>
      <c r="J307" s="6">
        <v>75</v>
      </c>
      <c r="K307" s="6">
        <v>77</v>
      </c>
      <c r="L307" s="6">
        <v>80</v>
      </c>
      <c r="M307" s="6">
        <v>80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X307">
        <f ca="1">IF(V307=0,0,OFFSET(CreditMetrics!$B$474,MATCH(RAND(),OFFSET(CreditMetrics!$C$474,1,MATCH(BDClientes!V307,CreditMetrics!$B$475:$B$491,0),COUNT(CreditMetrics!$B$475:$B$491),1),1),0,1,1))</f>
        <v>0</v>
      </c>
      <c r="Z307" s="79"/>
    </row>
    <row r="308" spans="1:26" x14ac:dyDescent="0.25">
      <c r="A308" s="4">
        <v>307</v>
      </c>
      <c r="B308" s="5" t="s">
        <v>309</v>
      </c>
      <c r="C308" s="6">
        <v>0</v>
      </c>
      <c r="D308" s="6">
        <v>0</v>
      </c>
      <c r="E308" s="6">
        <v>0</v>
      </c>
      <c r="F308" s="6">
        <v>0</v>
      </c>
      <c r="G308" s="6">
        <v>0</v>
      </c>
      <c r="H308" s="6">
        <v>0</v>
      </c>
      <c r="I308" s="6">
        <v>85</v>
      </c>
      <c r="J308" s="6">
        <v>85</v>
      </c>
      <c r="K308" s="6">
        <v>83</v>
      </c>
      <c r="L308" s="6">
        <v>73</v>
      </c>
      <c r="M308" s="6">
        <v>70</v>
      </c>
      <c r="N308" s="6">
        <v>70</v>
      </c>
      <c r="O308" s="6">
        <v>73</v>
      </c>
      <c r="P308" s="6">
        <v>73</v>
      </c>
      <c r="Q308" s="6">
        <v>73</v>
      </c>
      <c r="R308" s="6">
        <v>75</v>
      </c>
      <c r="S308" s="6">
        <v>73</v>
      </c>
      <c r="T308" s="6">
        <v>73</v>
      </c>
      <c r="U308" s="6">
        <v>73</v>
      </c>
      <c r="V308" s="6">
        <v>73</v>
      </c>
      <c r="W308" s="138">
        <v>120097.62032345652</v>
      </c>
      <c r="X308">
        <f ca="1">IF(V308=0,0,OFFSET(CreditMetrics!$B$474,MATCH(RAND(),OFFSET(CreditMetrics!$C$474,1,MATCH(BDClientes!V308,CreditMetrics!$B$475:$B$491,0),COUNT(CreditMetrics!$B$475:$B$491),1),1),0,1,1))</f>
        <v>70</v>
      </c>
      <c r="Z308" s="79"/>
    </row>
    <row r="309" spans="1:26" x14ac:dyDescent="0.25">
      <c r="A309" s="4">
        <v>308</v>
      </c>
      <c r="B309" s="5" t="s">
        <v>310</v>
      </c>
      <c r="C309" s="6">
        <v>0</v>
      </c>
      <c r="D309" s="6">
        <v>0</v>
      </c>
      <c r="E309" s="6">
        <v>0</v>
      </c>
      <c r="F309" s="6">
        <v>0</v>
      </c>
      <c r="G309" s="6">
        <v>0</v>
      </c>
      <c r="H309" s="6">
        <v>0</v>
      </c>
      <c r="I309" s="6">
        <v>0</v>
      </c>
      <c r="J309" s="6">
        <v>85</v>
      </c>
      <c r="K309" s="6">
        <v>83</v>
      </c>
      <c r="L309" s="6">
        <v>80</v>
      </c>
      <c r="M309" s="6">
        <v>83</v>
      </c>
      <c r="N309" s="6">
        <v>80</v>
      </c>
      <c r="O309" s="6">
        <v>65</v>
      </c>
      <c r="P309" s="6">
        <v>70</v>
      </c>
      <c r="Q309" s="6">
        <v>75</v>
      </c>
      <c r="R309" s="6">
        <v>77</v>
      </c>
      <c r="S309" s="6">
        <v>77</v>
      </c>
      <c r="T309" s="6">
        <v>75</v>
      </c>
      <c r="U309" s="6">
        <v>77</v>
      </c>
      <c r="V309" s="6">
        <v>75</v>
      </c>
      <c r="W309" s="138">
        <v>115829.61048146979</v>
      </c>
      <c r="X309">
        <f ca="1">IF(V309=0,0,OFFSET(CreditMetrics!$B$474,MATCH(RAND(),OFFSET(CreditMetrics!$C$474,1,MATCH(BDClientes!V309,CreditMetrics!$B$475:$B$491,0),COUNT(CreditMetrics!$B$475:$B$491),1),1),0,1,1))</f>
        <v>75</v>
      </c>
      <c r="Z309" s="79"/>
    </row>
    <row r="310" spans="1:26" x14ac:dyDescent="0.25">
      <c r="A310" s="4">
        <v>309</v>
      </c>
      <c r="B310" s="5" t="s">
        <v>311</v>
      </c>
      <c r="C310" s="6">
        <v>0</v>
      </c>
      <c r="D310" s="6">
        <v>0</v>
      </c>
      <c r="E310" s="6">
        <v>0</v>
      </c>
      <c r="F310" s="6">
        <v>0</v>
      </c>
      <c r="G310" s="6">
        <v>0</v>
      </c>
      <c r="H310" s="6">
        <v>0</v>
      </c>
      <c r="I310" s="6">
        <v>0</v>
      </c>
      <c r="J310" s="6">
        <v>85</v>
      </c>
      <c r="K310" s="6">
        <v>83</v>
      </c>
      <c r="L310" s="6">
        <v>83</v>
      </c>
      <c r="M310" s="6">
        <v>83</v>
      </c>
      <c r="N310" s="6">
        <v>83</v>
      </c>
      <c r="O310" s="6">
        <v>85</v>
      </c>
      <c r="P310" s="6">
        <v>85</v>
      </c>
      <c r="Q310" s="6">
        <v>85</v>
      </c>
      <c r="R310" s="6">
        <v>87</v>
      </c>
      <c r="S310" s="6">
        <v>87</v>
      </c>
      <c r="T310" s="6">
        <v>87</v>
      </c>
      <c r="U310" s="6">
        <v>87</v>
      </c>
      <c r="V310" s="6">
        <v>87</v>
      </c>
      <c r="W310" s="138">
        <v>493408.10589139932</v>
      </c>
      <c r="X310">
        <f ca="1">IF(V310=0,0,OFFSET(CreditMetrics!$B$474,MATCH(RAND(),OFFSET(CreditMetrics!$C$474,1,MATCH(BDClientes!V310,CreditMetrics!$B$475:$B$491,0),COUNT(CreditMetrics!$B$475:$B$491),1),1),0,1,1))</f>
        <v>87</v>
      </c>
      <c r="Z310" s="79"/>
    </row>
    <row r="311" spans="1:26" x14ac:dyDescent="0.25">
      <c r="A311" s="4">
        <v>310</v>
      </c>
      <c r="B311" s="5" t="s">
        <v>312</v>
      </c>
      <c r="C311" s="6">
        <v>0</v>
      </c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85</v>
      </c>
      <c r="J311" s="6">
        <v>85</v>
      </c>
      <c r="K311" s="6">
        <v>75</v>
      </c>
      <c r="L311" s="6">
        <v>70</v>
      </c>
      <c r="M311" s="6">
        <v>75</v>
      </c>
      <c r="N311" s="6">
        <v>77</v>
      </c>
      <c r="O311" s="6">
        <v>77</v>
      </c>
      <c r="P311" s="6">
        <v>80</v>
      </c>
      <c r="Q311" s="6">
        <v>80</v>
      </c>
      <c r="R311" s="6">
        <v>80</v>
      </c>
      <c r="S311" s="6">
        <v>77</v>
      </c>
      <c r="T311" s="6">
        <v>75</v>
      </c>
      <c r="U311" s="6">
        <v>73</v>
      </c>
      <c r="V311" s="6">
        <v>73</v>
      </c>
      <c r="W311" s="138">
        <v>159659.52215496131</v>
      </c>
      <c r="X311">
        <f ca="1">IF(V311=0,0,OFFSET(CreditMetrics!$B$474,MATCH(RAND(),OFFSET(CreditMetrics!$C$474,1,MATCH(BDClientes!V311,CreditMetrics!$B$475:$B$491,0),COUNT(CreditMetrics!$B$475:$B$491),1),1),0,1,1))</f>
        <v>77</v>
      </c>
      <c r="Z311" s="79"/>
    </row>
    <row r="312" spans="1:26" x14ac:dyDescent="0.25">
      <c r="A312" s="4">
        <v>311</v>
      </c>
      <c r="B312" s="5" t="s">
        <v>313</v>
      </c>
      <c r="C312" s="6">
        <v>0</v>
      </c>
      <c r="D312" s="6">
        <v>0</v>
      </c>
      <c r="E312" s="6">
        <v>0</v>
      </c>
      <c r="F312" s="6">
        <v>0</v>
      </c>
      <c r="G312" s="6">
        <v>0</v>
      </c>
      <c r="H312" s="6">
        <v>0</v>
      </c>
      <c r="I312" s="6">
        <v>87</v>
      </c>
      <c r="J312" s="6">
        <v>87</v>
      </c>
      <c r="K312" s="6">
        <v>75</v>
      </c>
      <c r="L312" s="6">
        <v>77</v>
      </c>
      <c r="M312" s="6">
        <v>75</v>
      </c>
      <c r="N312" s="6">
        <v>77</v>
      </c>
      <c r="O312" s="6">
        <v>77</v>
      </c>
      <c r="P312" s="6">
        <v>80</v>
      </c>
      <c r="Q312" s="6">
        <v>80</v>
      </c>
      <c r="R312" s="6">
        <v>80</v>
      </c>
      <c r="S312" s="6">
        <v>77</v>
      </c>
      <c r="T312" s="6">
        <v>75</v>
      </c>
      <c r="U312" s="6">
        <v>73</v>
      </c>
      <c r="V312" s="6">
        <v>73</v>
      </c>
      <c r="W312" s="138">
        <v>115389.93503772892</v>
      </c>
      <c r="X312">
        <f ca="1">IF(V312=0,0,OFFSET(CreditMetrics!$B$474,MATCH(RAND(),OFFSET(CreditMetrics!$C$474,1,MATCH(BDClientes!V312,CreditMetrics!$B$475:$B$491,0),COUNT(CreditMetrics!$B$475:$B$491),1),1),0,1,1))</f>
        <v>73</v>
      </c>
      <c r="Z312" s="79"/>
    </row>
    <row r="313" spans="1:26" x14ac:dyDescent="0.25">
      <c r="A313" s="4">
        <v>312</v>
      </c>
      <c r="B313" s="5" t="s">
        <v>314</v>
      </c>
      <c r="C313" s="6">
        <v>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85</v>
      </c>
      <c r="J313" s="6">
        <v>85</v>
      </c>
      <c r="K313" s="6">
        <v>80</v>
      </c>
      <c r="L313" s="6">
        <v>80</v>
      </c>
      <c r="M313" s="6">
        <v>77</v>
      </c>
      <c r="N313" s="6">
        <v>80</v>
      </c>
      <c r="O313" s="6">
        <v>80</v>
      </c>
      <c r="P313" s="6">
        <v>83</v>
      </c>
      <c r="Q313" s="6">
        <v>83</v>
      </c>
      <c r="R313" s="6">
        <v>80</v>
      </c>
      <c r="S313" s="6">
        <v>77</v>
      </c>
      <c r="T313" s="6">
        <v>75</v>
      </c>
      <c r="U313" s="6">
        <v>73</v>
      </c>
      <c r="V313" s="6">
        <v>73</v>
      </c>
      <c r="W313" s="138">
        <v>2507664.2536530406</v>
      </c>
      <c r="X313">
        <f ca="1">IF(V313=0,0,OFFSET(CreditMetrics!$B$474,MATCH(RAND(),OFFSET(CreditMetrics!$C$474,1,MATCH(BDClientes!V313,CreditMetrics!$B$475:$B$491,0),COUNT(CreditMetrics!$B$475:$B$491),1),1),0,1,1))</f>
        <v>73</v>
      </c>
      <c r="Z313" s="79"/>
    </row>
    <row r="314" spans="1:26" x14ac:dyDescent="0.25">
      <c r="A314" s="4">
        <v>313</v>
      </c>
      <c r="B314" s="5" t="s">
        <v>315</v>
      </c>
      <c r="C314" s="6">
        <v>0</v>
      </c>
      <c r="D314" s="6">
        <v>0</v>
      </c>
      <c r="E314" s="6">
        <v>0</v>
      </c>
      <c r="F314" s="6">
        <v>0</v>
      </c>
      <c r="G314" s="6">
        <v>0</v>
      </c>
      <c r="H314" s="6">
        <v>0</v>
      </c>
      <c r="I314" s="6">
        <v>0</v>
      </c>
      <c r="J314" s="6">
        <v>0</v>
      </c>
      <c r="K314" s="6">
        <v>90</v>
      </c>
      <c r="L314" s="6">
        <v>87</v>
      </c>
      <c r="M314" s="6">
        <v>87</v>
      </c>
      <c r="N314" s="6">
        <v>90</v>
      </c>
      <c r="O314" s="6">
        <v>87</v>
      </c>
      <c r="P314" s="6">
        <v>90</v>
      </c>
      <c r="Q314" s="6">
        <v>90</v>
      </c>
      <c r="R314" s="6">
        <v>90</v>
      </c>
      <c r="S314" s="6">
        <v>90</v>
      </c>
      <c r="T314" s="6">
        <v>87</v>
      </c>
      <c r="U314" s="6">
        <v>87</v>
      </c>
      <c r="V314" s="6">
        <v>87</v>
      </c>
      <c r="W314" s="138">
        <v>137967.5675987569</v>
      </c>
      <c r="X314">
        <f ca="1">IF(V314=0,0,OFFSET(CreditMetrics!$B$474,MATCH(RAND(),OFFSET(CreditMetrics!$C$474,1,MATCH(BDClientes!V314,CreditMetrics!$B$475:$B$491,0),COUNT(CreditMetrics!$B$475:$B$491),1),1),0,1,1))</f>
        <v>87</v>
      </c>
      <c r="Z314" s="79"/>
    </row>
    <row r="315" spans="1:26" x14ac:dyDescent="0.25">
      <c r="A315" s="4">
        <v>314</v>
      </c>
      <c r="B315" s="5" t="s">
        <v>316</v>
      </c>
      <c r="C315" s="6">
        <v>0</v>
      </c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85</v>
      </c>
      <c r="J315" s="6">
        <v>85</v>
      </c>
      <c r="K315" s="6">
        <v>83</v>
      </c>
      <c r="L315" s="6">
        <v>85</v>
      </c>
      <c r="M315" s="6">
        <v>83</v>
      </c>
      <c r="N315" s="6">
        <v>83</v>
      </c>
      <c r="O315" s="6">
        <v>83</v>
      </c>
      <c r="P315" s="6">
        <v>85</v>
      </c>
      <c r="Q315" s="6">
        <v>0</v>
      </c>
      <c r="R315" s="6">
        <v>87</v>
      </c>
      <c r="S315" s="6">
        <v>0</v>
      </c>
      <c r="T315" s="6">
        <v>0</v>
      </c>
      <c r="U315" s="6">
        <v>0</v>
      </c>
      <c r="V315" s="6">
        <v>0</v>
      </c>
      <c r="X315">
        <f ca="1">IF(V315=0,0,OFFSET(CreditMetrics!$B$474,MATCH(RAND(),OFFSET(CreditMetrics!$C$474,1,MATCH(BDClientes!V315,CreditMetrics!$B$475:$B$491,0),COUNT(CreditMetrics!$B$475:$B$491),1),1),0,1,1))</f>
        <v>0</v>
      </c>
      <c r="Z315" s="79"/>
    </row>
    <row r="316" spans="1:26" x14ac:dyDescent="0.25">
      <c r="A316" s="4">
        <v>315</v>
      </c>
      <c r="B316" s="5" t="s">
        <v>317</v>
      </c>
      <c r="C316" s="6">
        <v>0</v>
      </c>
      <c r="D316" s="6">
        <v>0</v>
      </c>
      <c r="E316" s="6">
        <v>0</v>
      </c>
      <c r="F316" s="6">
        <v>0</v>
      </c>
      <c r="G316" s="6">
        <v>0</v>
      </c>
      <c r="H316" s="6">
        <v>0</v>
      </c>
      <c r="I316" s="6">
        <v>0</v>
      </c>
      <c r="J316" s="6">
        <v>85</v>
      </c>
      <c r="K316" s="6">
        <v>85</v>
      </c>
      <c r="L316" s="6">
        <v>85</v>
      </c>
      <c r="M316" s="6">
        <v>83</v>
      </c>
      <c r="N316" s="6">
        <v>83</v>
      </c>
      <c r="O316" s="6">
        <v>85</v>
      </c>
      <c r="P316" s="6">
        <v>85</v>
      </c>
      <c r="Q316" s="6">
        <v>85</v>
      </c>
      <c r="R316" s="6">
        <v>87</v>
      </c>
      <c r="S316" s="6">
        <v>87</v>
      </c>
      <c r="T316" s="6">
        <v>85</v>
      </c>
      <c r="U316" s="6">
        <v>85</v>
      </c>
      <c r="V316" s="6">
        <v>87</v>
      </c>
      <c r="W316" s="138">
        <v>528455.02611458686</v>
      </c>
      <c r="X316">
        <f ca="1">IF(V316=0,0,OFFSET(CreditMetrics!$B$474,MATCH(RAND(),OFFSET(CreditMetrics!$C$474,1,MATCH(BDClientes!V316,CreditMetrics!$B$475:$B$491,0),COUNT(CreditMetrics!$B$475:$B$491),1),1),0,1,1))</f>
        <v>87</v>
      </c>
      <c r="Z316" s="79"/>
    </row>
    <row r="317" spans="1:26" x14ac:dyDescent="0.25">
      <c r="A317" s="4">
        <v>316</v>
      </c>
      <c r="B317" s="5" t="s">
        <v>318</v>
      </c>
      <c r="C317" s="6">
        <v>0</v>
      </c>
      <c r="D317" s="6">
        <v>0</v>
      </c>
      <c r="E317" s="6">
        <v>0</v>
      </c>
      <c r="F317" s="6">
        <v>0</v>
      </c>
      <c r="G317" s="6">
        <v>0</v>
      </c>
      <c r="H317" s="6">
        <v>0</v>
      </c>
      <c r="I317" s="6">
        <v>0</v>
      </c>
      <c r="J317" s="6">
        <v>87</v>
      </c>
      <c r="K317" s="6">
        <v>80</v>
      </c>
      <c r="L317" s="6">
        <v>87</v>
      </c>
      <c r="M317" s="6">
        <v>87</v>
      </c>
      <c r="N317" s="6">
        <v>85</v>
      </c>
      <c r="O317" s="6">
        <v>85</v>
      </c>
      <c r="P317" s="6">
        <v>85</v>
      </c>
      <c r="Q317" s="6">
        <v>77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X317">
        <f ca="1">IF(V317=0,0,OFFSET(CreditMetrics!$B$474,MATCH(RAND(),OFFSET(CreditMetrics!$C$474,1,MATCH(BDClientes!V317,CreditMetrics!$B$475:$B$491,0),COUNT(CreditMetrics!$B$475:$B$491),1),1),0,1,1))</f>
        <v>0</v>
      </c>
      <c r="Z317" s="79"/>
    </row>
    <row r="318" spans="1:26" x14ac:dyDescent="0.25">
      <c r="A318" s="4">
        <v>317</v>
      </c>
      <c r="B318" s="5" t="s">
        <v>319</v>
      </c>
      <c r="C318" s="6">
        <v>0</v>
      </c>
      <c r="D318" s="6">
        <v>0</v>
      </c>
      <c r="E318" s="6">
        <v>0</v>
      </c>
      <c r="F318" s="6">
        <v>0</v>
      </c>
      <c r="G318" s="6">
        <v>0</v>
      </c>
      <c r="H318" s="6">
        <v>0</v>
      </c>
      <c r="I318" s="6">
        <v>0</v>
      </c>
      <c r="J318" s="6">
        <v>0</v>
      </c>
      <c r="K318" s="6">
        <v>83</v>
      </c>
      <c r="L318" s="6">
        <v>85</v>
      </c>
      <c r="M318" s="6">
        <v>85</v>
      </c>
      <c r="N318" s="6">
        <v>85</v>
      </c>
      <c r="O318" s="6">
        <v>80</v>
      </c>
      <c r="P318" s="6">
        <v>83</v>
      </c>
      <c r="Q318" s="6">
        <v>83</v>
      </c>
      <c r="R318" s="6">
        <v>83</v>
      </c>
      <c r="S318" s="6">
        <v>83</v>
      </c>
      <c r="T318" s="6">
        <v>83</v>
      </c>
      <c r="U318" s="6">
        <v>83</v>
      </c>
      <c r="V318" s="6">
        <v>83</v>
      </c>
      <c r="W318" s="138">
        <v>111908.33712765222</v>
      </c>
      <c r="X318">
        <f ca="1">IF(V318=0,0,OFFSET(CreditMetrics!$B$474,MATCH(RAND(),OFFSET(CreditMetrics!$C$474,1,MATCH(BDClientes!V318,CreditMetrics!$B$475:$B$491,0),COUNT(CreditMetrics!$B$475:$B$491),1),1),0,1,1))</f>
        <v>83</v>
      </c>
      <c r="Z318" s="79"/>
    </row>
    <row r="319" spans="1:26" x14ac:dyDescent="0.25">
      <c r="A319" s="4">
        <v>318</v>
      </c>
      <c r="B319" s="5" t="s">
        <v>320</v>
      </c>
      <c r="C319" s="6">
        <v>0</v>
      </c>
      <c r="D319" s="6">
        <v>0</v>
      </c>
      <c r="E319" s="6">
        <v>0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87</v>
      </c>
      <c r="M319" s="6">
        <v>85</v>
      </c>
      <c r="N319" s="6">
        <v>87</v>
      </c>
      <c r="O319" s="6">
        <v>87</v>
      </c>
      <c r="P319" s="6">
        <v>87</v>
      </c>
      <c r="Q319" s="6">
        <v>87</v>
      </c>
      <c r="R319" s="6">
        <v>87</v>
      </c>
      <c r="S319" s="6">
        <v>87</v>
      </c>
      <c r="T319" s="6">
        <v>87</v>
      </c>
      <c r="U319" s="6">
        <v>87</v>
      </c>
      <c r="V319" s="6">
        <v>87</v>
      </c>
      <c r="W319" s="138">
        <v>137815.31483641113</v>
      </c>
      <c r="X319">
        <f ca="1">IF(V319=0,0,OFFSET(CreditMetrics!$B$474,MATCH(RAND(),OFFSET(CreditMetrics!$C$474,1,MATCH(BDClientes!V319,CreditMetrics!$B$475:$B$491,0),COUNT(CreditMetrics!$B$475:$B$491),1),1),0,1,1))</f>
        <v>87</v>
      </c>
      <c r="Z319" s="79"/>
    </row>
    <row r="320" spans="1:26" x14ac:dyDescent="0.25">
      <c r="A320" s="4">
        <v>319</v>
      </c>
      <c r="B320" s="5" t="s">
        <v>321</v>
      </c>
      <c r="C320" s="6">
        <v>0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85</v>
      </c>
      <c r="K320" s="6">
        <v>85</v>
      </c>
      <c r="L320" s="6">
        <v>83</v>
      </c>
      <c r="M320" s="6">
        <v>83</v>
      </c>
      <c r="N320" s="6">
        <v>83</v>
      </c>
      <c r="O320" s="6">
        <v>83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X320">
        <f ca="1">IF(V320=0,0,OFFSET(CreditMetrics!$B$474,MATCH(RAND(),OFFSET(CreditMetrics!$C$474,1,MATCH(BDClientes!V320,CreditMetrics!$B$475:$B$491,0),COUNT(CreditMetrics!$B$475:$B$491),1),1),0,1,1))</f>
        <v>0</v>
      </c>
      <c r="Z320" s="79"/>
    </row>
    <row r="321" spans="1:26" x14ac:dyDescent="0.25">
      <c r="A321" s="4">
        <v>320</v>
      </c>
      <c r="B321" s="5" t="s">
        <v>322</v>
      </c>
      <c r="C321" s="6">
        <v>0</v>
      </c>
      <c r="D321" s="6">
        <v>0</v>
      </c>
      <c r="E321" s="6">
        <v>0</v>
      </c>
      <c r="F321" s="6">
        <v>0</v>
      </c>
      <c r="G321" s="6">
        <v>0</v>
      </c>
      <c r="H321" s="6">
        <v>0</v>
      </c>
      <c r="I321" s="6">
        <v>0</v>
      </c>
      <c r="J321" s="6">
        <v>80</v>
      </c>
      <c r="K321" s="6">
        <v>75</v>
      </c>
      <c r="L321" s="6">
        <v>73</v>
      </c>
      <c r="M321" s="6">
        <v>75</v>
      </c>
      <c r="N321" s="6">
        <v>77</v>
      </c>
      <c r="O321" s="6">
        <v>75</v>
      </c>
      <c r="P321" s="6">
        <v>77</v>
      </c>
      <c r="Q321" s="6">
        <v>80</v>
      </c>
      <c r="R321" s="6">
        <v>80</v>
      </c>
      <c r="S321" s="6">
        <v>80</v>
      </c>
      <c r="T321" s="6">
        <v>77</v>
      </c>
      <c r="U321" s="6">
        <v>80</v>
      </c>
      <c r="V321" s="6">
        <v>83</v>
      </c>
      <c r="W321" s="138">
        <v>143816.65604772931</v>
      </c>
      <c r="X321">
        <f ca="1">IF(V321=0,0,OFFSET(CreditMetrics!$B$474,MATCH(RAND(),OFFSET(CreditMetrics!$C$474,1,MATCH(BDClientes!V321,CreditMetrics!$B$475:$B$491,0),COUNT(CreditMetrics!$B$475:$B$491),1),1),0,1,1))</f>
        <v>85</v>
      </c>
      <c r="Z321" s="79"/>
    </row>
    <row r="322" spans="1:26" x14ac:dyDescent="0.25">
      <c r="A322" s="4">
        <v>321</v>
      </c>
      <c r="B322" s="5" t="s">
        <v>323</v>
      </c>
      <c r="C322" s="6">
        <v>0</v>
      </c>
      <c r="D322" s="6">
        <v>0</v>
      </c>
      <c r="E322" s="6">
        <v>0</v>
      </c>
      <c r="F322" s="6">
        <v>0</v>
      </c>
      <c r="G322" s="6">
        <v>0</v>
      </c>
      <c r="H322" s="6">
        <v>0</v>
      </c>
      <c r="I322" s="6">
        <v>0</v>
      </c>
      <c r="J322" s="6">
        <v>77</v>
      </c>
      <c r="K322" s="6">
        <v>87</v>
      </c>
      <c r="L322" s="6">
        <v>85</v>
      </c>
      <c r="M322" s="6">
        <v>85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X322">
        <f ca="1">IF(V322=0,0,OFFSET(CreditMetrics!$B$474,MATCH(RAND(),OFFSET(CreditMetrics!$C$474,1,MATCH(BDClientes!V322,CreditMetrics!$B$475:$B$491,0),COUNT(CreditMetrics!$B$475:$B$491),1),1),0,1,1))</f>
        <v>0</v>
      </c>
      <c r="Z322" s="79"/>
    </row>
    <row r="323" spans="1:26" x14ac:dyDescent="0.25">
      <c r="A323" s="4">
        <v>322</v>
      </c>
      <c r="B323" s="5" t="s">
        <v>324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0</v>
      </c>
      <c r="J323" s="6">
        <v>0</v>
      </c>
      <c r="K323" s="6">
        <v>70</v>
      </c>
      <c r="L323" s="6">
        <v>70</v>
      </c>
      <c r="M323" s="6">
        <v>65</v>
      </c>
      <c r="N323" s="6">
        <v>65</v>
      </c>
      <c r="O323" s="6">
        <v>70</v>
      </c>
      <c r="P323" s="6">
        <v>70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X323">
        <f ca="1">IF(V323=0,0,OFFSET(CreditMetrics!$B$474,MATCH(RAND(),OFFSET(CreditMetrics!$C$474,1,MATCH(BDClientes!V323,CreditMetrics!$B$475:$B$491,0),COUNT(CreditMetrics!$B$475:$B$491),1),1),0,1,1))</f>
        <v>0</v>
      </c>
      <c r="Z323" s="79"/>
    </row>
    <row r="324" spans="1:26" x14ac:dyDescent="0.25">
      <c r="A324" s="4">
        <v>323</v>
      </c>
      <c r="B324" s="5" t="s">
        <v>325</v>
      </c>
      <c r="C324" s="6">
        <v>0</v>
      </c>
      <c r="D324" s="6">
        <v>0</v>
      </c>
      <c r="E324" s="6">
        <v>0</v>
      </c>
      <c r="F324" s="6">
        <v>0</v>
      </c>
      <c r="G324" s="6">
        <v>0</v>
      </c>
      <c r="H324" s="6">
        <v>0</v>
      </c>
      <c r="I324" s="6">
        <v>0</v>
      </c>
      <c r="J324" s="6">
        <v>83</v>
      </c>
      <c r="K324" s="6">
        <v>77</v>
      </c>
      <c r="L324" s="6">
        <v>85</v>
      </c>
      <c r="M324" s="6">
        <v>83</v>
      </c>
      <c r="N324" s="6">
        <v>83</v>
      </c>
      <c r="O324" s="6">
        <v>83</v>
      </c>
      <c r="P324" s="6">
        <v>85</v>
      </c>
      <c r="Q324" s="6">
        <v>85</v>
      </c>
      <c r="R324" s="6">
        <v>85</v>
      </c>
      <c r="S324" s="6">
        <v>85</v>
      </c>
      <c r="T324" s="6">
        <v>85</v>
      </c>
      <c r="U324" s="6">
        <v>85</v>
      </c>
      <c r="V324" s="6">
        <v>85</v>
      </c>
      <c r="W324" s="138">
        <v>151189.56441699612</v>
      </c>
      <c r="X324">
        <f ca="1">IF(V324=0,0,OFFSET(CreditMetrics!$B$474,MATCH(RAND(),OFFSET(CreditMetrics!$C$474,1,MATCH(BDClientes!V324,CreditMetrics!$B$475:$B$491,0),COUNT(CreditMetrics!$B$475:$B$491),1),1),0,1,1))</f>
        <v>85</v>
      </c>
      <c r="Z324" s="79"/>
    </row>
    <row r="325" spans="1:26" x14ac:dyDescent="0.25">
      <c r="A325" s="4">
        <v>324</v>
      </c>
      <c r="B325" s="5" t="s">
        <v>326</v>
      </c>
      <c r="C325" s="6">
        <v>0</v>
      </c>
      <c r="D325" s="6">
        <v>0</v>
      </c>
      <c r="E325" s="6">
        <v>0</v>
      </c>
      <c r="F325" s="6">
        <v>0</v>
      </c>
      <c r="G325" s="6">
        <v>0</v>
      </c>
      <c r="H325" s="6">
        <v>0</v>
      </c>
      <c r="I325" s="6">
        <v>0</v>
      </c>
      <c r="J325" s="6">
        <v>80</v>
      </c>
      <c r="K325" s="6">
        <v>75</v>
      </c>
      <c r="L325" s="6">
        <v>85</v>
      </c>
      <c r="M325" s="6">
        <v>87</v>
      </c>
      <c r="N325" s="6">
        <v>83</v>
      </c>
      <c r="O325" s="6">
        <v>80</v>
      </c>
      <c r="P325" s="6">
        <v>77</v>
      </c>
      <c r="Q325" s="6">
        <v>77</v>
      </c>
      <c r="R325" s="6">
        <v>80</v>
      </c>
      <c r="S325" s="6">
        <v>80</v>
      </c>
      <c r="T325" s="6">
        <v>80</v>
      </c>
      <c r="U325" s="6">
        <v>80</v>
      </c>
      <c r="V325" s="6">
        <v>80</v>
      </c>
      <c r="W325" s="138">
        <v>161190.69866835442</v>
      </c>
      <c r="X325">
        <f ca="1">IF(V325=0,0,OFFSET(CreditMetrics!$B$474,MATCH(RAND(),OFFSET(CreditMetrics!$C$474,1,MATCH(BDClientes!V325,CreditMetrics!$B$475:$B$491,0),COUNT(CreditMetrics!$B$475:$B$491),1),1),0,1,1))</f>
        <v>80</v>
      </c>
      <c r="Z325" s="79"/>
    </row>
    <row r="326" spans="1:26" x14ac:dyDescent="0.25">
      <c r="A326" s="4">
        <v>325</v>
      </c>
      <c r="B326" s="5" t="s">
        <v>327</v>
      </c>
      <c r="C326" s="6">
        <v>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83</v>
      </c>
      <c r="L326" s="6">
        <v>80</v>
      </c>
      <c r="M326" s="6">
        <v>65</v>
      </c>
      <c r="N326" s="6">
        <v>80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X326">
        <f ca="1">IF(V326=0,0,OFFSET(CreditMetrics!$B$474,MATCH(RAND(),OFFSET(CreditMetrics!$C$474,1,MATCH(BDClientes!V326,CreditMetrics!$B$475:$B$491,0),COUNT(CreditMetrics!$B$475:$B$491),1),1),0,1,1))</f>
        <v>0</v>
      </c>
      <c r="Z326" s="79"/>
    </row>
    <row r="327" spans="1:26" x14ac:dyDescent="0.25">
      <c r="A327" s="4">
        <v>326</v>
      </c>
      <c r="B327" s="5" t="s">
        <v>328</v>
      </c>
      <c r="C327" s="6">
        <v>0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77</v>
      </c>
      <c r="K327" s="6">
        <v>83</v>
      </c>
      <c r="L327" s="6">
        <v>77</v>
      </c>
      <c r="M327" s="6">
        <v>75</v>
      </c>
      <c r="N327" s="6">
        <v>75</v>
      </c>
      <c r="O327" s="6">
        <v>75</v>
      </c>
      <c r="P327" s="6">
        <v>77</v>
      </c>
      <c r="Q327" s="6">
        <v>77</v>
      </c>
      <c r="R327" s="6">
        <v>83</v>
      </c>
      <c r="S327" s="6">
        <v>80</v>
      </c>
      <c r="T327" s="6">
        <v>77</v>
      </c>
      <c r="U327" s="6">
        <v>80</v>
      </c>
      <c r="V327" s="6">
        <v>0</v>
      </c>
      <c r="X327">
        <f ca="1">IF(V327=0,0,OFFSET(CreditMetrics!$B$474,MATCH(RAND(),OFFSET(CreditMetrics!$C$474,1,MATCH(BDClientes!V327,CreditMetrics!$B$475:$B$491,0),COUNT(CreditMetrics!$B$475:$B$491),1),1),0,1,1))</f>
        <v>0</v>
      </c>
      <c r="Z327" s="79"/>
    </row>
    <row r="328" spans="1:26" x14ac:dyDescent="0.25">
      <c r="A328" s="4">
        <v>327</v>
      </c>
      <c r="B328" s="5" t="s">
        <v>329</v>
      </c>
      <c r="C328" s="6">
        <v>0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85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X328">
        <f ca="1">IF(V328=0,0,OFFSET(CreditMetrics!$B$474,MATCH(RAND(),OFFSET(CreditMetrics!$C$474,1,MATCH(BDClientes!V328,CreditMetrics!$B$475:$B$491,0),COUNT(CreditMetrics!$B$475:$B$491),1),1),0,1,1))</f>
        <v>0</v>
      </c>
      <c r="Z328" s="79"/>
    </row>
    <row r="329" spans="1:26" x14ac:dyDescent="0.25">
      <c r="A329" s="4">
        <v>328</v>
      </c>
      <c r="B329" s="5" t="s">
        <v>330</v>
      </c>
      <c r="C329" s="6">
        <v>0</v>
      </c>
      <c r="D329" s="6">
        <v>0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6">
        <v>0</v>
      </c>
      <c r="K329" s="6">
        <v>0</v>
      </c>
      <c r="L329" s="6">
        <v>85</v>
      </c>
      <c r="M329" s="6">
        <v>83</v>
      </c>
      <c r="N329" s="6">
        <v>83</v>
      </c>
      <c r="O329" s="6">
        <v>83</v>
      </c>
      <c r="P329" s="6">
        <v>85</v>
      </c>
      <c r="Q329" s="6">
        <v>85</v>
      </c>
      <c r="R329" s="6">
        <v>87</v>
      </c>
      <c r="S329" s="6">
        <v>87</v>
      </c>
      <c r="T329" s="6">
        <v>85</v>
      </c>
      <c r="U329" s="6">
        <v>87</v>
      </c>
      <c r="V329" s="6">
        <v>87</v>
      </c>
      <c r="W329" s="138">
        <v>272495.09668512928</v>
      </c>
      <c r="X329">
        <f ca="1">IF(V329=0,0,OFFSET(CreditMetrics!$B$474,MATCH(RAND(),OFFSET(CreditMetrics!$C$474,1,MATCH(BDClientes!V329,CreditMetrics!$B$475:$B$491,0),COUNT(CreditMetrics!$B$475:$B$491),1),1),0,1,1))</f>
        <v>90</v>
      </c>
      <c r="Z329" s="79"/>
    </row>
    <row r="330" spans="1:26" x14ac:dyDescent="0.25">
      <c r="A330" s="4">
        <v>329</v>
      </c>
      <c r="B330" s="5" t="s">
        <v>331</v>
      </c>
      <c r="C330" s="6">
        <v>0</v>
      </c>
      <c r="D330" s="6">
        <v>0</v>
      </c>
      <c r="E330" s="6">
        <v>0</v>
      </c>
      <c r="F330" s="6">
        <v>0</v>
      </c>
      <c r="G330" s="6">
        <v>0</v>
      </c>
      <c r="H330" s="6">
        <v>0</v>
      </c>
      <c r="I330" s="6">
        <v>0</v>
      </c>
      <c r="J330" s="6">
        <v>80</v>
      </c>
      <c r="K330" s="6">
        <v>80</v>
      </c>
      <c r="L330" s="6">
        <v>70</v>
      </c>
      <c r="M330" s="6">
        <v>70</v>
      </c>
      <c r="N330" s="6">
        <v>65</v>
      </c>
      <c r="O330" s="6">
        <v>65</v>
      </c>
      <c r="P330" s="6">
        <v>65</v>
      </c>
      <c r="Q330" s="6">
        <v>65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X330">
        <f ca="1">IF(V330=0,0,OFFSET(CreditMetrics!$B$474,MATCH(RAND(),OFFSET(CreditMetrics!$C$474,1,MATCH(BDClientes!V330,CreditMetrics!$B$475:$B$491,0),COUNT(CreditMetrics!$B$475:$B$491),1),1),0,1,1))</f>
        <v>0</v>
      </c>
      <c r="Z330" s="79"/>
    </row>
    <row r="331" spans="1:26" x14ac:dyDescent="0.25">
      <c r="A331" s="4">
        <v>330</v>
      </c>
      <c r="B331" s="5" t="s">
        <v>332</v>
      </c>
      <c r="C331" s="6">
        <v>0</v>
      </c>
      <c r="D331" s="6">
        <v>0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6">
        <v>87</v>
      </c>
      <c r="L331" s="6">
        <v>85</v>
      </c>
      <c r="M331" s="6">
        <v>85</v>
      </c>
      <c r="N331" s="6">
        <v>85</v>
      </c>
      <c r="O331" s="6">
        <v>83</v>
      </c>
      <c r="P331" s="6">
        <v>85</v>
      </c>
      <c r="Q331" s="6">
        <v>85</v>
      </c>
      <c r="R331" s="6">
        <v>85</v>
      </c>
      <c r="S331" s="6">
        <v>85</v>
      </c>
      <c r="T331" s="6">
        <v>85</v>
      </c>
      <c r="U331" s="6">
        <v>85</v>
      </c>
      <c r="V331" s="6">
        <v>85</v>
      </c>
      <c r="W331" s="138">
        <v>109505.84857547509</v>
      </c>
      <c r="X331">
        <f ca="1">IF(V331=0,0,OFFSET(CreditMetrics!$B$474,MATCH(RAND(),OFFSET(CreditMetrics!$C$474,1,MATCH(BDClientes!V331,CreditMetrics!$B$475:$B$491,0),COUNT(CreditMetrics!$B$475:$B$491),1),1),0,1,1))</f>
        <v>85</v>
      </c>
      <c r="Z331" s="79"/>
    </row>
    <row r="332" spans="1:26" x14ac:dyDescent="0.25">
      <c r="A332" s="4">
        <v>331</v>
      </c>
      <c r="B332" s="5" t="s">
        <v>333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0</v>
      </c>
      <c r="I332" s="6">
        <v>0</v>
      </c>
      <c r="J332" s="6">
        <v>85</v>
      </c>
      <c r="K332" s="6">
        <v>85</v>
      </c>
      <c r="L332" s="6">
        <v>87</v>
      </c>
      <c r="M332" s="6">
        <v>85</v>
      </c>
      <c r="N332" s="6">
        <v>85</v>
      </c>
      <c r="O332" s="6">
        <v>85</v>
      </c>
      <c r="P332" s="6">
        <v>85</v>
      </c>
      <c r="Q332" s="6">
        <v>85</v>
      </c>
      <c r="R332" s="6">
        <v>85</v>
      </c>
      <c r="S332" s="6">
        <v>85</v>
      </c>
      <c r="T332" s="6">
        <v>85</v>
      </c>
      <c r="U332" s="6">
        <v>85</v>
      </c>
      <c r="V332" s="6">
        <v>85</v>
      </c>
      <c r="W332" s="138">
        <v>568581.05268744065</v>
      </c>
      <c r="X332">
        <f ca="1">IF(V332=0,0,OFFSET(CreditMetrics!$B$474,MATCH(RAND(),OFFSET(CreditMetrics!$C$474,1,MATCH(BDClientes!V332,CreditMetrics!$B$475:$B$491,0),COUNT(CreditMetrics!$B$475:$B$491),1),1),0,1,1))</f>
        <v>87</v>
      </c>
      <c r="Z332" s="79"/>
    </row>
    <row r="333" spans="1:26" x14ac:dyDescent="0.25">
      <c r="A333" s="4">
        <v>332</v>
      </c>
      <c r="B333" s="5" t="s">
        <v>334</v>
      </c>
      <c r="C333" s="6">
        <v>0</v>
      </c>
      <c r="D333" s="6">
        <v>0</v>
      </c>
      <c r="E333" s="6">
        <v>0</v>
      </c>
      <c r="F333" s="6">
        <v>0</v>
      </c>
      <c r="G333" s="6">
        <v>0</v>
      </c>
      <c r="H333" s="6">
        <v>0</v>
      </c>
      <c r="I333" s="6">
        <v>0</v>
      </c>
      <c r="J333" s="6">
        <v>85</v>
      </c>
      <c r="K333" s="6">
        <v>85</v>
      </c>
      <c r="L333" s="6">
        <v>87</v>
      </c>
      <c r="M333" s="6">
        <v>85</v>
      </c>
      <c r="N333" s="6">
        <v>85</v>
      </c>
      <c r="O333" s="6">
        <v>85</v>
      </c>
      <c r="P333" s="6">
        <v>85</v>
      </c>
      <c r="Q333" s="6">
        <v>85</v>
      </c>
      <c r="R333" s="6">
        <v>85</v>
      </c>
      <c r="S333" s="6">
        <v>85</v>
      </c>
      <c r="T333" s="6">
        <v>85</v>
      </c>
      <c r="U333" s="6">
        <v>85</v>
      </c>
      <c r="V333" s="6">
        <v>85</v>
      </c>
      <c r="W333" s="138">
        <v>10632745.772065587</v>
      </c>
      <c r="X333">
        <f ca="1">IF(V333=0,0,OFFSET(CreditMetrics!$B$474,MATCH(RAND(),OFFSET(CreditMetrics!$C$474,1,MATCH(BDClientes!V333,CreditMetrics!$B$475:$B$491,0),COUNT(CreditMetrics!$B$475:$B$491),1),1),0,1,1))</f>
        <v>85</v>
      </c>
      <c r="Z333" s="79"/>
    </row>
    <row r="334" spans="1:26" x14ac:dyDescent="0.25">
      <c r="A334" s="4">
        <v>333</v>
      </c>
      <c r="B334" s="5" t="s">
        <v>335</v>
      </c>
      <c r="C334" s="6">
        <v>0</v>
      </c>
      <c r="D334" s="6">
        <v>0</v>
      </c>
      <c r="E334" s="6">
        <v>0</v>
      </c>
      <c r="F334" s="6">
        <v>0</v>
      </c>
      <c r="G334" s="6">
        <v>0</v>
      </c>
      <c r="H334" s="6">
        <v>0</v>
      </c>
      <c r="I334" s="6">
        <v>0</v>
      </c>
      <c r="J334" s="6">
        <v>85</v>
      </c>
      <c r="K334" s="6">
        <v>80</v>
      </c>
      <c r="L334" s="6">
        <v>73</v>
      </c>
      <c r="M334" s="6">
        <v>73</v>
      </c>
      <c r="N334" s="6">
        <v>73</v>
      </c>
      <c r="O334" s="6">
        <v>73</v>
      </c>
      <c r="P334" s="6">
        <v>65</v>
      </c>
      <c r="Q334" s="6">
        <v>73</v>
      </c>
      <c r="R334" s="6">
        <v>0</v>
      </c>
      <c r="S334" s="6">
        <v>73</v>
      </c>
      <c r="T334" s="6">
        <v>0</v>
      </c>
      <c r="U334" s="6">
        <v>0</v>
      </c>
      <c r="V334" s="6">
        <v>0</v>
      </c>
      <c r="X334">
        <f ca="1">IF(V334=0,0,OFFSET(CreditMetrics!$B$474,MATCH(RAND(),OFFSET(CreditMetrics!$C$474,1,MATCH(BDClientes!V334,CreditMetrics!$B$475:$B$491,0),COUNT(CreditMetrics!$B$475:$B$491),1),1),0,1,1))</f>
        <v>0</v>
      </c>
      <c r="Z334" s="79"/>
    </row>
    <row r="335" spans="1:26" x14ac:dyDescent="0.25">
      <c r="A335" s="4">
        <v>334</v>
      </c>
      <c r="B335" s="5" t="s">
        <v>336</v>
      </c>
      <c r="C335" s="6">
        <v>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85</v>
      </c>
      <c r="L335" s="6">
        <v>83</v>
      </c>
      <c r="M335" s="6">
        <v>83</v>
      </c>
      <c r="N335" s="6">
        <v>83</v>
      </c>
      <c r="O335" s="6">
        <v>83</v>
      </c>
      <c r="P335" s="6">
        <v>80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X335">
        <f ca="1">IF(V335=0,0,OFFSET(CreditMetrics!$B$474,MATCH(RAND(),OFFSET(CreditMetrics!$C$474,1,MATCH(BDClientes!V335,CreditMetrics!$B$475:$B$491,0),COUNT(CreditMetrics!$B$475:$B$491),1),1),0,1,1))</f>
        <v>0</v>
      </c>
      <c r="Z335" s="79"/>
    </row>
    <row r="336" spans="1:26" x14ac:dyDescent="0.25">
      <c r="A336" s="4">
        <v>335</v>
      </c>
      <c r="B336" s="5" t="s">
        <v>337</v>
      </c>
      <c r="C336" s="6">
        <v>0</v>
      </c>
      <c r="D336" s="6">
        <v>0</v>
      </c>
      <c r="E336" s="6">
        <v>0</v>
      </c>
      <c r="F336" s="6">
        <v>0</v>
      </c>
      <c r="G336" s="6">
        <v>0</v>
      </c>
      <c r="H336" s="6">
        <v>0</v>
      </c>
      <c r="I336" s="6">
        <v>0</v>
      </c>
      <c r="J336" s="6">
        <v>0</v>
      </c>
      <c r="K336" s="6">
        <v>85</v>
      </c>
      <c r="L336" s="6">
        <v>77</v>
      </c>
      <c r="M336" s="6">
        <v>75</v>
      </c>
      <c r="N336" s="6">
        <v>75</v>
      </c>
      <c r="O336" s="6">
        <v>73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X336">
        <f ca="1">IF(V336=0,0,OFFSET(CreditMetrics!$B$474,MATCH(RAND(),OFFSET(CreditMetrics!$C$474,1,MATCH(BDClientes!V336,CreditMetrics!$B$475:$B$491,0),COUNT(CreditMetrics!$B$475:$B$491),1),1),0,1,1))</f>
        <v>0</v>
      </c>
      <c r="Z336" s="79"/>
    </row>
    <row r="337" spans="1:26" x14ac:dyDescent="0.25">
      <c r="A337" s="4">
        <v>336</v>
      </c>
      <c r="B337" s="5" t="s">
        <v>338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0</v>
      </c>
      <c r="J337" s="6">
        <v>0</v>
      </c>
      <c r="K337" s="6">
        <v>87</v>
      </c>
      <c r="L337" s="6">
        <v>0</v>
      </c>
      <c r="M337" s="6">
        <v>0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X337">
        <f ca="1">IF(V337=0,0,OFFSET(CreditMetrics!$B$474,MATCH(RAND(),OFFSET(CreditMetrics!$C$474,1,MATCH(BDClientes!V337,CreditMetrics!$B$475:$B$491,0),COUNT(CreditMetrics!$B$475:$B$491),1),1),0,1,1))</f>
        <v>0</v>
      </c>
      <c r="Z337" s="79"/>
    </row>
    <row r="338" spans="1:26" x14ac:dyDescent="0.25">
      <c r="A338" s="4">
        <v>337</v>
      </c>
      <c r="B338" s="5" t="s">
        <v>339</v>
      </c>
      <c r="C338" s="6">
        <v>0</v>
      </c>
      <c r="D338" s="6">
        <v>0</v>
      </c>
      <c r="E338" s="6">
        <v>0</v>
      </c>
      <c r="F338" s="6">
        <v>0</v>
      </c>
      <c r="G338" s="6">
        <v>0</v>
      </c>
      <c r="H338" s="6">
        <v>0</v>
      </c>
      <c r="I338" s="6">
        <v>0</v>
      </c>
      <c r="J338" s="6">
        <v>0</v>
      </c>
      <c r="K338" s="6">
        <v>85</v>
      </c>
      <c r="L338" s="6">
        <v>85</v>
      </c>
      <c r="M338" s="6">
        <v>85</v>
      </c>
      <c r="N338" s="6">
        <v>83</v>
      </c>
      <c r="O338" s="6">
        <v>85</v>
      </c>
      <c r="P338" s="6">
        <v>85</v>
      </c>
      <c r="Q338" s="6">
        <v>85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X338">
        <f ca="1">IF(V338=0,0,OFFSET(CreditMetrics!$B$474,MATCH(RAND(),OFFSET(CreditMetrics!$C$474,1,MATCH(BDClientes!V338,CreditMetrics!$B$475:$B$491,0),COUNT(CreditMetrics!$B$475:$B$491),1),1),0,1,1))</f>
        <v>0</v>
      </c>
      <c r="Z338" s="79"/>
    </row>
    <row r="339" spans="1:26" x14ac:dyDescent="0.25">
      <c r="A339" s="4">
        <v>338</v>
      </c>
      <c r="B339" s="5" t="s">
        <v>340</v>
      </c>
      <c r="C339" s="6">
        <v>0</v>
      </c>
      <c r="D339" s="6">
        <v>0</v>
      </c>
      <c r="E339" s="6">
        <v>0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87</v>
      </c>
      <c r="L339" s="6">
        <v>87</v>
      </c>
      <c r="M339" s="6">
        <v>85</v>
      </c>
      <c r="N339" s="6">
        <v>83</v>
      </c>
      <c r="O339" s="6">
        <v>85</v>
      </c>
      <c r="P339" s="6">
        <v>85</v>
      </c>
      <c r="Q339" s="6">
        <v>85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X339">
        <f ca="1">IF(V339=0,0,OFFSET(CreditMetrics!$B$474,MATCH(RAND(),OFFSET(CreditMetrics!$C$474,1,MATCH(BDClientes!V339,CreditMetrics!$B$475:$B$491,0),COUNT(CreditMetrics!$B$475:$B$491),1),1),0,1,1))</f>
        <v>0</v>
      </c>
      <c r="Z339" s="79"/>
    </row>
    <row r="340" spans="1:26" x14ac:dyDescent="0.25">
      <c r="A340" s="4">
        <v>339</v>
      </c>
      <c r="B340" s="5" t="s">
        <v>341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87</v>
      </c>
      <c r="L340" s="6">
        <v>87</v>
      </c>
      <c r="M340" s="6">
        <v>85</v>
      </c>
      <c r="N340" s="6">
        <v>83</v>
      </c>
      <c r="O340" s="6">
        <v>85</v>
      </c>
      <c r="P340" s="6">
        <v>85</v>
      </c>
      <c r="Q340" s="6">
        <v>85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X340">
        <f ca="1">IF(V340=0,0,OFFSET(CreditMetrics!$B$474,MATCH(RAND(),OFFSET(CreditMetrics!$C$474,1,MATCH(BDClientes!V340,CreditMetrics!$B$475:$B$491,0),COUNT(CreditMetrics!$B$475:$B$491),1),1),0,1,1))</f>
        <v>0</v>
      </c>
      <c r="Z340" s="79"/>
    </row>
    <row r="341" spans="1:26" x14ac:dyDescent="0.25">
      <c r="A341" s="4">
        <v>340</v>
      </c>
      <c r="B341" s="5" t="s">
        <v>342</v>
      </c>
      <c r="C341" s="6">
        <v>0</v>
      </c>
      <c r="D341" s="6">
        <v>0</v>
      </c>
      <c r="E341" s="6">
        <v>0</v>
      </c>
      <c r="F341" s="6">
        <v>0</v>
      </c>
      <c r="G341" s="6">
        <v>0</v>
      </c>
      <c r="H341" s="6">
        <v>0</v>
      </c>
      <c r="I341" s="6">
        <v>0</v>
      </c>
      <c r="J341" s="6">
        <v>0</v>
      </c>
      <c r="K341" s="6">
        <v>87</v>
      </c>
      <c r="L341" s="6">
        <v>87</v>
      </c>
      <c r="M341" s="6">
        <v>85</v>
      </c>
      <c r="N341" s="6">
        <v>83</v>
      </c>
      <c r="O341" s="6">
        <v>85</v>
      </c>
      <c r="P341" s="6">
        <v>85</v>
      </c>
      <c r="Q341" s="6">
        <v>85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X341">
        <f ca="1">IF(V341=0,0,OFFSET(CreditMetrics!$B$474,MATCH(RAND(),OFFSET(CreditMetrics!$C$474,1,MATCH(BDClientes!V341,CreditMetrics!$B$475:$B$491,0),COUNT(CreditMetrics!$B$475:$B$491),1),1),0,1,1))</f>
        <v>0</v>
      </c>
      <c r="Z341" s="79"/>
    </row>
    <row r="342" spans="1:26" x14ac:dyDescent="0.25">
      <c r="A342" s="4">
        <v>341</v>
      </c>
      <c r="B342" s="5" t="s">
        <v>343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85</v>
      </c>
      <c r="N342" s="6">
        <v>80</v>
      </c>
      <c r="O342" s="6">
        <v>80</v>
      </c>
      <c r="P342" s="6">
        <v>85</v>
      </c>
      <c r="Q342" s="6">
        <v>85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X342">
        <f ca="1">IF(V342=0,0,OFFSET(CreditMetrics!$B$474,MATCH(RAND(),OFFSET(CreditMetrics!$C$474,1,MATCH(BDClientes!V342,CreditMetrics!$B$475:$B$491,0),COUNT(CreditMetrics!$B$475:$B$491),1),1),0,1,1))</f>
        <v>0</v>
      </c>
      <c r="Z342" s="79"/>
    </row>
    <row r="343" spans="1:26" x14ac:dyDescent="0.25">
      <c r="A343" s="4">
        <v>342</v>
      </c>
      <c r="B343" s="5" t="s">
        <v>344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87</v>
      </c>
      <c r="L343" s="6">
        <v>83</v>
      </c>
      <c r="M343" s="6">
        <v>87</v>
      </c>
      <c r="N343" s="6">
        <v>83</v>
      </c>
      <c r="O343" s="6">
        <v>83</v>
      </c>
      <c r="P343" s="6">
        <v>83</v>
      </c>
      <c r="Q343" s="6">
        <v>83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X343">
        <f ca="1">IF(V343=0,0,OFFSET(CreditMetrics!$B$474,MATCH(RAND(),OFFSET(CreditMetrics!$C$474,1,MATCH(BDClientes!V343,CreditMetrics!$B$475:$B$491,0),COUNT(CreditMetrics!$B$475:$B$491),1),1),0,1,1))</f>
        <v>0</v>
      </c>
      <c r="Z343" s="79"/>
    </row>
    <row r="344" spans="1:26" x14ac:dyDescent="0.25">
      <c r="A344" s="4">
        <v>343</v>
      </c>
      <c r="B344" s="5" t="s">
        <v>345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85</v>
      </c>
      <c r="L344" s="6">
        <v>83</v>
      </c>
      <c r="M344" s="6">
        <v>83</v>
      </c>
      <c r="N344" s="6">
        <v>83</v>
      </c>
      <c r="O344" s="6">
        <v>83</v>
      </c>
      <c r="P344" s="6">
        <v>80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X344">
        <f ca="1">IF(V344=0,0,OFFSET(CreditMetrics!$B$474,MATCH(RAND(),OFFSET(CreditMetrics!$C$474,1,MATCH(BDClientes!V344,CreditMetrics!$B$475:$B$491,0),COUNT(CreditMetrics!$B$475:$B$491),1),1),0,1,1))</f>
        <v>0</v>
      </c>
      <c r="Z344" s="79"/>
    </row>
    <row r="345" spans="1:26" x14ac:dyDescent="0.25">
      <c r="A345" s="4">
        <v>344</v>
      </c>
      <c r="B345" s="5" t="s">
        <v>346</v>
      </c>
      <c r="C345" s="6">
        <v>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83</v>
      </c>
      <c r="M345" s="6">
        <v>83</v>
      </c>
      <c r="N345" s="6">
        <v>83</v>
      </c>
      <c r="O345" s="6">
        <v>83</v>
      </c>
      <c r="P345" s="6">
        <v>80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X345">
        <f ca="1">IF(V345=0,0,OFFSET(CreditMetrics!$B$474,MATCH(RAND(),OFFSET(CreditMetrics!$C$474,1,MATCH(BDClientes!V345,CreditMetrics!$B$475:$B$491,0),COUNT(CreditMetrics!$B$475:$B$491),1),1),0,1,1))</f>
        <v>0</v>
      </c>
      <c r="Z345" s="79"/>
    </row>
    <row r="346" spans="1:26" x14ac:dyDescent="0.25">
      <c r="A346" s="4">
        <v>345</v>
      </c>
      <c r="B346" s="5" t="s">
        <v>347</v>
      </c>
      <c r="C346" s="6">
        <v>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83</v>
      </c>
      <c r="L346" s="6">
        <v>85</v>
      </c>
      <c r="M346" s="6">
        <v>83</v>
      </c>
      <c r="N346" s="6">
        <v>83</v>
      </c>
      <c r="O346" s="6">
        <v>83</v>
      </c>
      <c r="P346" s="6">
        <v>83</v>
      </c>
      <c r="Q346" s="6">
        <v>85</v>
      </c>
      <c r="R346" s="6">
        <v>83</v>
      </c>
      <c r="S346" s="6">
        <v>83</v>
      </c>
      <c r="T346" s="6">
        <v>83</v>
      </c>
      <c r="U346" s="6">
        <v>80</v>
      </c>
      <c r="V346" s="6">
        <v>0</v>
      </c>
      <c r="X346">
        <f ca="1">IF(V346=0,0,OFFSET(CreditMetrics!$B$474,MATCH(RAND(),OFFSET(CreditMetrics!$C$474,1,MATCH(BDClientes!V346,CreditMetrics!$B$475:$B$491,0),COUNT(CreditMetrics!$B$475:$B$491),1),1),0,1,1))</f>
        <v>0</v>
      </c>
      <c r="Z346" s="79"/>
    </row>
    <row r="347" spans="1:26" x14ac:dyDescent="0.25">
      <c r="A347" s="4">
        <v>346</v>
      </c>
      <c r="B347" s="5" t="s">
        <v>348</v>
      </c>
      <c r="C347" s="6">
        <v>0</v>
      </c>
      <c r="D347" s="6">
        <v>87</v>
      </c>
      <c r="E347" s="6">
        <v>0</v>
      </c>
      <c r="F347" s="6">
        <v>0</v>
      </c>
      <c r="G347" s="6">
        <v>87</v>
      </c>
      <c r="H347" s="6">
        <v>85</v>
      </c>
      <c r="I347" s="6">
        <v>85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X347">
        <f ca="1">IF(V347=0,0,OFFSET(CreditMetrics!$B$474,MATCH(RAND(),OFFSET(CreditMetrics!$C$474,1,MATCH(BDClientes!V347,CreditMetrics!$B$475:$B$491,0),COUNT(CreditMetrics!$B$475:$B$491),1),1),0,1,1))</f>
        <v>0</v>
      </c>
      <c r="Z347" s="79"/>
    </row>
    <row r="348" spans="1:26" x14ac:dyDescent="0.25">
      <c r="A348" s="4">
        <v>347</v>
      </c>
      <c r="B348" s="5" t="s">
        <v>349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77</v>
      </c>
      <c r="O348" s="6">
        <v>83</v>
      </c>
      <c r="P348" s="6">
        <v>77</v>
      </c>
      <c r="Q348" s="6">
        <v>80</v>
      </c>
      <c r="R348" s="6">
        <v>83</v>
      </c>
      <c r="S348" s="6">
        <v>83</v>
      </c>
      <c r="T348" s="6">
        <v>80</v>
      </c>
      <c r="U348" s="6">
        <v>80</v>
      </c>
      <c r="V348" s="6">
        <v>77</v>
      </c>
      <c r="W348" s="138">
        <v>240265.82992155809</v>
      </c>
      <c r="X348">
        <f ca="1">IF(V348=0,0,OFFSET(CreditMetrics!$B$474,MATCH(RAND(),OFFSET(CreditMetrics!$C$474,1,MATCH(BDClientes!V348,CreditMetrics!$B$475:$B$491,0),COUNT(CreditMetrics!$B$475:$B$491),1),1),0,1,1))</f>
        <v>80</v>
      </c>
      <c r="Z348" s="79"/>
    </row>
    <row r="349" spans="1:26" x14ac:dyDescent="0.25">
      <c r="A349" s="4">
        <v>348</v>
      </c>
      <c r="B349" s="5" t="s">
        <v>350</v>
      </c>
      <c r="C349" s="6">
        <v>0</v>
      </c>
      <c r="D349" s="6">
        <v>0</v>
      </c>
      <c r="E349" s="6">
        <v>0</v>
      </c>
      <c r="F349" s="6">
        <v>0</v>
      </c>
      <c r="G349" s="6">
        <v>0</v>
      </c>
      <c r="H349" s="6">
        <v>0</v>
      </c>
      <c r="I349" s="6">
        <v>0</v>
      </c>
      <c r="J349" s="6">
        <v>0</v>
      </c>
      <c r="K349" s="6">
        <v>85</v>
      </c>
      <c r="L349" s="6">
        <v>75</v>
      </c>
      <c r="M349" s="6">
        <v>75</v>
      </c>
      <c r="N349" s="6">
        <v>75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X349">
        <f ca="1">IF(V349=0,0,OFFSET(CreditMetrics!$B$474,MATCH(RAND(),OFFSET(CreditMetrics!$C$474,1,MATCH(BDClientes!V349,CreditMetrics!$B$475:$B$491,0),COUNT(CreditMetrics!$B$475:$B$491),1),1),0,1,1))</f>
        <v>0</v>
      </c>
      <c r="Z349" s="79"/>
    </row>
    <row r="350" spans="1:26" x14ac:dyDescent="0.25">
      <c r="A350" s="4">
        <v>349</v>
      </c>
      <c r="B350" s="5" t="s">
        <v>351</v>
      </c>
      <c r="C350" s="6">
        <v>0</v>
      </c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87</v>
      </c>
      <c r="M350" s="6">
        <v>85</v>
      </c>
      <c r="N350" s="6">
        <v>85</v>
      </c>
      <c r="O350" s="6">
        <v>85</v>
      </c>
      <c r="P350" s="6">
        <v>85</v>
      </c>
      <c r="Q350" s="6">
        <v>85</v>
      </c>
      <c r="R350" s="6">
        <v>85</v>
      </c>
      <c r="S350" s="6">
        <v>85</v>
      </c>
      <c r="T350" s="6">
        <v>85</v>
      </c>
      <c r="U350" s="6">
        <v>85</v>
      </c>
      <c r="V350" s="6">
        <v>85</v>
      </c>
      <c r="W350" s="138">
        <v>135282.40376604284</v>
      </c>
      <c r="X350">
        <f ca="1">IF(V350=0,0,OFFSET(CreditMetrics!$B$474,MATCH(RAND(),OFFSET(CreditMetrics!$C$474,1,MATCH(BDClientes!V350,CreditMetrics!$B$475:$B$491,0),COUNT(CreditMetrics!$B$475:$B$491),1),1),0,1,1))</f>
        <v>85</v>
      </c>
      <c r="Z350" s="79"/>
    </row>
    <row r="351" spans="1:26" x14ac:dyDescent="0.25">
      <c r="A351" s="4">
        <v>350</v>
      </c>
      <c r="B351" s="5" t="s">
        <v>352</v>
      </c>
      <c r="C351" s="6">
        <v>0</v>
      </c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77</v>
      </c>
      <c r="N351" s="6">
        <v>80</v>
      </c>
      <c r="O351" s="6">
        <v>77</v>
      </c>
      <c r="P351" s="6">
        <v>85</v>
      </c>
      <c r="Q351" s="6">
        <v>83</v>
      </c>
      <c r="R351" s="6">
        <v>83</v>
      </c>
      <c r="S351" s="6">
        <v>83</v>
      </c>
      <c r="T351" s="6">
        <v>83</v>
      </c>
      <c r="U351" s="6">
        <v>83</v>
      </c>
      <c r="V351" s="6">
        <v>83</v>
      </c>
      <c r="W351" s="138">
        <v>133585.6549339726</v>
      </c>
      <c r="X351">
        <f ca="1">IF(V351=0,0,OFFSET(CreditMetrics!$B$474,MATCH(RAND(),OFFSET(CreditMetrics!$C$474,1,MATCH(BDClientes!V351,CreditMetrics!$B$475:$B$491,0),COUNT(CreditMetrics!$B$475:$B$491),1),1),0,1,1))</f>
        <v>83</v>
      </c>
      <c r="Z351" s="79"/>
    </row>
    <row r="352" spans="1:26" x14ac:dyDescent="0.25">
      <c r="A352" s="4">
        <v>351</v>
      </c>
      <c r="B352" s="5" t="s">
        <v>353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77</v>
      </c>
      <c r="M352" s="6">
        <v>77</v>
      </c>
      <c r="N352" s="6">
        <v>77</v>
      </c>
      <c r="O352" s="6">
        <v>80</v>
      </c>
      <c r="P352" s="6">
        <v>80</v>
      </c>
      <c r="Q352" s="6">
        <v>83</v>
      </c>
      <c r="R352" s="6">
        <v>83</v>
      </c>
      <c r="S352" s="6">
        <v>83</v>
      </c>
      <c r="T352" s="6">
        <v>83</v>
      </c>
      <c r="U352" s="6">
        <v>83</v>
      </c>
      <c r="V352" s="6">
        <v>83</v>
      </c>
      <c r="W352" s="138">
        <v>242584.9943667718</v>
      </c>
      <c r="X352">
        <f ca="1">IF(V352=0,0,OFFSET(CreditMetrics!$B$474,MATCH(RAND(),OFFSET(CreditMetrics!$C$474,1,MATCH(BDClientes!V352,CreditMetrics!$B$475:$B$491,0),COUNT(CreditMetrics!$B$475:$B$491),1),1),0,1,1))</f>
        <v>83</v>
      </c>
      <c r="Z352" s="79"/>
    </row>
    <row r="353" spans="1:26" x14ac:dyDescent="0.25">
      <c r="A353" s="4">
        <v>352</v>
      </c>
      <c r="B353" s="5" t="s">
        <v>354</v>
      </c>
      <c r="C353" s="6">
        <v>0</v>
      </c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83</v>
      </c>
      <c r="L353" s="6">
        <v>83</v>
      </c>
      <c r="M353" s="6">
        <v>85</v>
      </c>
      <c r="N353" s="6">
        <v>83</v>
      </c>
      <c r="O353" s="6">
        <v>85</v>
      </c>
      <c r="P353" s="6">
        <v>85</v>
      </c>
      <c r="Q353" s="6">
        <v>87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X353">
        <f ca="1">IF(V353=0,0,OFFSET(CreditMetrics!$B$474,MATCH(RAND(),OFFSET(CreditMetrics!$C$474,1,MATCH(BDClientes!V353,CreditMetrics!$B$475:$B$491,0),COUNT(CreditMetrics!$B$475:$B$491),1),1),0,1,1))</f>
        <v>0</v>
      </c>
      <c r="Z353" s="79"/>
    </row>
    <row r="354" spans="1:26" x14ac:dyDescent="0.25">
      <c r="A354" s="4">
        <v>353</v>
      </c>
      <c r="B354" s="5" t="s">
        <v>355</v>
      </c>
      <c r="C354" s="6">
        <v>0</v>
      </c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77</v>
      </c>
      <c r="L354" s="6">
        <v>80</v>
      </c>
      <c r="M354" s="6">
        <v>83</v>
      </c>
      <c r="N354" s="6">
        <v>85</v>
      </c>
      <c r="O354" s="6">
        <v>77</v>
      </c>
      <c r="P354" s="6">
        <v>80</v>
      </c>
      <c r="Q354" s="6">
        <v>80</v>
      </c>
      <c r="R354" s="6">
        <v>80</v>
      </c>
      <c r="S354" s="6">
        <v>77</v>
      </c>
      <c r="T354" s="6">
        <v>80</v>
      </c>
      <c r="U354" s="6">
        <v>80</v>
      </c>
      <c r="V354" s="6">
        <v>80</v>
      </c>
      <c r="W354" s="138">
        <v>1154582.5703450362</v>
      </c>
      <c r="X354">
        <f ca="1">IF(V354=0,0,OFFSET(CreditMetrics!$B$474,MATCH(RAND(),OFFSET(CreditMetrics!$C$474,1,MATCH(BDClientes!V354,CreditMetrics!$B$475:$B$491,0),COUNT(CreditMetrics!$B$475:$B$491),1),1),0,1,1))</f>
        <v>80</v>
      </c>
      <c r="Z354" s="79"/>
    </row>
    <row r="355" spans="1:26" x14ac:dyDescent="0.25">
      <c r="A355" s="4">
        <v>354</v>
      </c>
      <c r="B355" s="5" t="s">
        <v>356</v>
      </c>
      <c r="C355" s="6">
        <v>0</v>
      </c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85</v>
      </c>
      <c r="M355" s="6">
        <v>85</v>
      </c>
      <c r="N355" s="6">
        <v>85</v>
      </c>
      <c r="O355" s="6">
        <v>0</v>
      </c>
      <c r="P355" s="6">
        <v>83</v>
      </c>
      <c r="Q355" s="6">
        <v>83</v>
      </c>
      <c r="R355" s="6">
        <v>83</v>
      </c>
      <c r="S355" s="6">
        <v>83</v>
      </c>
      <c r="T355" s="6">
        <v>0</v>
      </c>
      <c r="U355" s="6">
        <v>0</v>
      </c>
      <c r="V355" s="6">
        <v>0</v>
      </c>
      <c r="X355">
        <f ca="1">IF(V355=0,0,OFFSET(CreditMetrics!$B$474,MATCH(RAND(),OFFSET(CreditMetrics!$C$474,1,MATCH(BDClientes!V355,CreditMetrics!$B$475:$B$491,0),COUNT(CreditMetrics!$B$475:$B$491),1),1),0,1,1))</f>
        <v>0</v>
      </c>
      <c r="Z355" s="79"/>
    </row>
    <row r="356" spans="1:26" x14ac:dyDescent="0.25">
      <c r="A356" s="4">
        <v>355</v>
      </c>
      <c r="B356" s="5" t="s">
        <v>357</v>
      </c>
      <c r="C356" s="6">
        <v>0</v>
      </c>
      <c r="D356" s="6">
        <v>0</v>
      </c>
      <c r="E356" s="6">
        <v>0</v>
      </c>
      <c r="F356" s="6">
        <v>0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83</v>
      </c>
      <c r="M356" s="6">
        <v>75</v>
      </c>
      <c r="N356" s="6">
        <v>85</v>
      </c>
      <c r="O356" s="6">
        <v>85</v>
      </c>
      <c r="P356" s="6">
        <v>85</v>
      </c>
      <c r="Q356" s="6">
        <v>0</v>
      </c>
      <c r="R356" s="6">
        <v>87</v>
      </c>
      <c r="S356" s="6">
        <v>87</v>
      </c>
      <c r="T356" s="6">
        <v>87</v>
      </c>
      <c r="U356" s="6">
        <v>87</v>
      </c>
      <c r="V356" s="6">
        <v>0</v>
      </c>
      <c r="X356">
        <f ca="1">IF(V356=0,0,OFFSET(CreditMetrics!$B$474,MATCH(RAND(),OFFSET(CreditMetrics!$C$474,1,MATCH(BDClientes!V356,CreditMetrics!$B$475:$B$491,0),COUNT(CreditMetrics!$B$475:$B$491),1),1),0,1,1))</f>
        <v>0</v>
      </c>
      <c r="Z356" s="79"/>
    </row>
    <row r="357" spans="1:26" x14ac:dyDescent="0.25">
      <c r="A357" s="4">
        <v>356</v>
      </c>
      <c r="B357" s="5" t="s">
        <v>358</v>
      </c>
      <c r="C357" s="6">
        <v>0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6">
        <v>85</v>
      </c>
      <c r="O357" s="6">
        <v>87</v>
      </c>
      <c r="P357" s="6">
        <v>85</v>
      </c>
      <c r="Q357" s="6">
        <v>85</v>
      </c>
      <c r="R357" s="6">
        <v>85</v>
      </c>
      <c r="S357" s="6">
        <v>85</v>
      </c>
      <c r="T357" s="6">
        <v>85</v>
      </c>
      <c r="U357" s="6">
        <v>85</v>
      </c>
      <c r="V357" s="6">
        <v>85</v>
      </c>
      <c r="W357" s="138">
        <v>212838.52047721631</v>
      </c>
      <c r="X357">
        <f ca="1">IF(V357=0,0,OFFSET(CreditMetrics!$B$474,MATCH(RAND(),OFFSET(CreditMetrics!$C$474,1,MATCH(BDClientes!V357,CreditMetrics!$B$475:$B$491,0),COUNT(CreditMetrics!$B$475:$B$491),1),1),0,1,1))</f>
        <v>87</v>
      </c>
      <c r="Z357" s="79"/>
    </row>
    <row r="358" spans="1:26" x14ac:dyDescent="0.25">
      <c r="A358" s="4">
        <v>357</v>
      </c>
      <c r="B358" s="5" t="s">
        <v>359</v>
      </c>
      <c r="C358" s="6">
        <v>0</v>
      </c>
      <c r="D358" s="6">
        <v>0</v>
      </c>
      <c r="E358" s="6">
        <v>0</v>
      </c>
      <c r="F358" s="6">
        <v>0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77</v>
      </c>
      <c r="M358" s="6">
        <v>70</v>
      </c>
      <c r="N358" s="6">
        <v>73</v>
      </c>
      <c r="O358" s="6">
        <v>70</v>
      </c>
      <c r="P358" s="6">
        <v>73</v>
      </c>
      <c r="Q358" s="6">
        <v>73</v>
      </c>
      <c r="R358" s="6">
        <v>75</v>
      </c>
      <c r="S358" s="6">
        <v>75</v>
      </c>
      <c r="T358" s="6">
        <v>73</v>
      </c>
      <c r="U358" s="6">
        <v>73</v>
      </c>
      <c r="V358" s="6">
        <v>73</v>
      </c>
      <c r="W358" s="138">
        <v>111910.56485909376</v>
      </c>
      <c r="X358">
        <f ca="1">IF(V358=0,0,OFFSET(CreditMetrics!$B$474,MATCH(RAND(),OFFSET(CreditMetrics!$C$474,1,MATCH(BDClientes!V358,CreditMetrics!$B$475:$B$491,0),COUNT(CreditMetrics!$B$475:$B$491),1),1),0,1,1))</f>
        <v>73</v>
      </c>
      <c r="Z358" s="79"/>
    </row>
    <row r="359" spans="1:26" x14ac:dyDescent="0.25">
      <c r="A359" s="4">
        <v>358</v>
      </c>
      <c r="B359" s="5" t="s">
        <v>360</v>
      </c>
      <c r="C359" s="6">
        <v>0</v>
      </c>
      <c r="D359" s="6">
        <v>0</v>
      </c>
      <c r="E359" s="6">
        <v>0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80</v>
      </c>
      <c r="M359" s="6">
        <v>77</v>
      </c>
      <c r="N359" s="6">
        <v>77</v>
      </c>
      <c r="O359" s="6">
        <v>77</v>
      </c>
      <c r="P359" s="6">
        <v>75</v>
      </c>
      <c r="Q359" s="6">
        <v>77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X359">
        <f ca="1">IF(V359=0,0,OFFSET(CreditMetrics!$B$474,MATCH(RAND(),OFFSET(CreditMetrics!$C$474,1,MATCH(BDClientes!V359,CreditMetrics!$B$475:$B$491,0),COUNT(CreditMetrics!$B$475:$B$491),1),1),0,1,1))</f>
        <v>0</v>
      </c>
      <c r="Z359" s="79"/>
    </row>
    <row r="360" spans="1:26" x14ac:dyDescent="0.25">
      <c r="A360" s="4">
        <v>359</v>
      </c>
      <c r="B360" s="5" t="s">
        <v>361</v>
      </c>
      <c r="C360" s="6">
        <v>0</v>
      </c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75</v>
      </c>
      <c r="M360" s="6">
        <v>75</v>
      </c>
      <c r="N360" s="6">
        <v>0</v>
      </c>
      <c r="O360" s="6">
        <v>85</v>
      </c>
      <c r="P360" s="6">
        <v>87</v>
      </c>
      <c r="Q360" s="6">
        <v>0</v>
      </c>
      <c r="R360" s="6">
        <v>87</v>
      </c>
      <c r="S360" s="6">
        <v>87</v>
      </c>
      <c r="T360" s="6">
        <v>87</v>
      </c>
      <c r="U360" s="6">
        <v>0</v>
      </c>
      <c r="V360" s="6">
        <v>87</v>
      </c>
      <c r="W360" s="138">
        <v>125886.2414831963</v>
      </c>
      <c r="X360">
        <f ca="1">IF(V360=0,0,OFFSET(CreditMetrics!$B$474,MATCH(RAND(),OFFSET(CreditMetrics!$C$474,1,MATCH(BDClientes!V360,CreditMetrics!$B$475:$B$491,0),COUNT(CreditMetrics!$B$475:$B$491),1),1),0,1,1))</f>
        <v>87</v>
      </c>
      <c r="Z360" s="79"/>
    </row>
    <row r="361" spans="1:26" x14ac:dyDescent="0.25">
      <c r="A361" s="4">
        <v>360</v>
      </c>
      <c r="B361" s="5" t="s">
        <v>362</v>
      </c>
      <c r="C361" s="6">
        <v>0</v>
      </c>
      <c r="D361" s="6">
        <v>0</v>
      </c>
      <c r="E361" s="6">
        <v>0</v>
      </c>
      <c r="F361" s="6">
        <v>0</v>
      </c>
      <c r="G361" s="6">
        <v>0</v>
      </c>
      <c r="H361" s="6">
        <v>0</v>
      </c>
      <c r="I361" s="6">
        <v>0</v>
      </c>
      <c r="J361" s="6">
        <v>0</v>
      </c>
      <c r="K361" s="6">
        <v>0</v>
      </c>
      <c r="L361" s="6">
        <v>75</v>
      </c>
      <c r="M361" s="6">
        <v>83</v>
      </c>
      <c r="N361" s="6">
        <v>83</v>
      </c>
      <c r="O361" s="6">
        <v>85</v>
      </c>
      <c r="P361" s="6">
        <v>85</v>
      </c>
      <c r="Q361" s="6">
        <v>85</v>
      </c>
      <c r="R361" s="6">
        <v>85</v>
      </c>
      <c r="S361" s="6">
        <v>85</v>
      </c>
      <c r="T361" s="6">
        <v>85</v>
      </c>
      <c r="U361" s="6">
        <v>85</v>
      </c>
      <c r="V361" s="6">
        <v>83</v>
      </c>
      <c r="W361" s="138">
        <v>189865.8699003357</v>
      </c>
      <c r="X361">
        <f ca="1">IF(V361=0,0,OFFSET(CreditMetrics!$B$474,MATCH(RAND(),OFFSET(CreditMetrics!$C$474,1,MATCH(BDClientes!V361,CreditMetrics!$B$475:$B$491,0),COUNT(CreditMetrics!$B$475:$B$491),1),1),0,1,1))</f>
        <v>85</v>
      </c>
      <c r="Z361" s="79"/>
    </row>
    <row r="362" spans="1:26" x14ac:dyDescent="0.25">
      <c r="A362" s="4">
        <v>361</v>
      </c>
      <c r="B362" s="5" t="s">
        <v>363</v>
      </c>
      <c r="C362" s="6">
        <v>0</v>
      </c>
      <c r="D362" s="6">
        <v>0</v>
      </c>
      <c r="E362" s="6">
        <v>0</v>
      </c>
      <c r="F362" s="6">
        <v>0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85</v>
      </c>
      <c r="M362" s="6">
        <v>85</v>
      </c>
      <c r="N362" s="6">
        <v>85</v>
      </c>
      <c r="O362" s="6">
        <v>85</v>
      </c>
      <c r="P362" s="6">
        <v>80</v>
      </c>
      <c r="Q362" s="6">
        <v>85</v>
      </c>
      <c r="R362" s="6">
        <v>85</v>
      </c>
      <c r="S362" s="6">
        <v>83</v>
      </c>
      <c r="T362" s="6">
        <v>0</v>
      </c>
      <c r="U362" s="6">
        <v>0</v>
      </c>
      <c r="V362" s="6">
        <v>0</v>
      </c>
      <c r="X362">
        <f ca="1">IF(V362=0,0,OFFSET(CreditMetrics!$B$474,MATCH(RAND(),OFFSET(CreditMetrics!$C$474,1,MATCH(BDClientes!V362,CreditMetrics!$B$475:$B$491,0),COUNT(CreditMetrics!$B$475:$B$491),1),1),0,1,1))</f>
        <v>0</v>
      </c>
      <c r="Z362" s="79"/>
    </row>
    <row r="363" spans="1:26" x14ac:dyDescent="0.25">
      <c r="A363" s="4">
        <v>362</v>
      </c>
      <c r="B363" s="5" t="s">
        <v>364</v>
      </c>
      <c r="C363" s="6">
        <v>0</v>
      </c>
      <c r="D363" s="6">
        <v>0</v>
      </c>
      <c r="E363" s="6">
        <v>0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0</v>
      </c>
      <c r="M363" s="6">
        <v>75</v>
      </c>
      <c r="N363" s="6">
        <v>83</v>
      </c>
      <c r="O363" s="6">
        <v>83</v>
      </c>
      <c r="P363" s="6">
        <v>0</v>
      </c>
      <c r="Q363" s="6">
        <v>83</v>
      </c>
      <c r="R363" s="6">
        <v>83</v>
      </c>
      <c r="S363" s="6">
        <v>83</v>
      </c>
      <c r="T363" s="6">
        <v>85</v>
      </c>
      <c r="U363" s="6">
        <v>80</v>
      </c>
      <c r="V363" s="6">
        <v>83</v>
      </c>
      <c r="W363" s="138">
        <v>2605447.1756888498</v>
      </c>
      <c r="X363">
        <f ca="1">IF(V363=0,0,OFFSET(CreditMetrics!$B$474,MATCH(RAND(),OFFSET(CreditMetrics!$C$474,1,MATCH(BDClientes!V363,CreditMetrics!$B$475:$B$491,0),COUNT(CreditMetrics!$B$475:$B$491),1),1),0,1,1))</f>
        <v>83</v>
      </c>
      <c r="Z363" s="79"/>
    </row>
    <row r="364" spans="1:26" x14ac:dyDescent="0.25">
      <c r="A364" s="4">
        <v>363</v>
      </c>
      <c r="B364" s="5" t="s">
        <v>365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80</v>
      </c>
      <c r="M364" s="6">
        <v>80</v>
      </c>
      <c r="N364" s="6">
        <v>87</v>
      </c>
      <c r="O364" s="6">
        <v>85</v>
      </c>
      <c r="P364" s="6">
        <v>87</v>
      </c>
      <c r="Q364" s="6">
        <v>87</v>
      </c>
      <c r="R364" s="6">
        <v>87</v>
      </c>
      <c r="S364" s="6">
        <v>87</v>
      </c>
      <c r="T364" s="6">
        <v>87</v>
      </c>
      <c r="U364" s="6">
        <v>87</v>
      </c>
      <c r="V364" s="6">
        <v>85</v>
      </c>
      <c r="W364" s="138">
        <v>1442486.7149781112</v>
      </c>
      <c r="X364">
        <f ca="1">IF(V364=0,0,OFFSET(CreditMetrics!$B$474,MATCH(RAND(),OFFSET(CreditMetrics!$C$474,1,MATCH(BDClientes!V364,CreditMetrics!$B$475:$B$491,0),COUNT(CreditMetrics!$B$475:$B$491),1),1),0,1,1))</f>
        <v>85</v>
      </c>
      <c r="Z364" s="79"/>
    </row>
    <row r="365" spans="1:26" x14ac:dyDescent="0.25">
      <c r="A365" s="4">
        <v>364</v>
      </c>
      <c r="B365" s="5" t="s">
        <v>366</v>
      </c>
      <c r="C365" s="6">
        <v>0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0</v>
      </c>
      <c r="J365" s="6">
        <v>0</v>
      </c>
      <c r="K365" s="6">
        <v>0</v>
      </c>
      <c r="L365" s="6">
        <v>85</v>
      </c>
      <c r="M365" s="6">
        <v>85</v>
      </c>
      <c r="N365" s="6">
        <v>85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X365">
        <f ca="1">IF(V365=0,0,OFFSET(CreditMetrics!$B$474,MATCH(RAND(),OFFSET(CreditMetrics!$C$474,1,MATCH(BDClientes!V365,CreditMetrics!$B$475:$B$491,0),COUNT(CreditMetrics!$B$475:$B$491),1),1),0,1,1))</f>
        <v>0</v>
      </c>
      <c r="Z365" s="79"/>
    </row>
    <row r="366" spans="1:26" x14ac:dyDescent="0.25">
      <c r="A366" s="4">
        <v>365</v>
      </c>
      <c r="B366" s="5" t="s">
        <v>367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87</v>
      </c>
      <c r="M366" s="6">
        <v>87</v>
      </c>
      <c r="N366" s="6">
        <v>87</v>
      </c>
      <c r="O366" s="6">
        <v>87</v>
      </c>
      <c r="P366" s="6">
        <v>87</v>
      </c>
      <c r="Q366" s="6">
        <v>87</v>
      </c>
      <c r="R366" s="6">
        <v>90</v>
      </c>
      <c r="S366" s="6">
        <v>90</v>
      </c>
      <c r="T366" s="6">
        <v>87</v>
      </c>
      <c r="U366" s="6">
        <v>87</v>
      </c>
      <c r="V366" s="6">
        <v>87</v>
      </c>
      <c r="W366" s="138">
        <v>249127.70523891321</v>
      </c>
      <c r="X366">
        <f ca="1">IF(V366=0,0,OFFSET(CreditMetrics!$B$474,MATCH(RAND(),OFFSET(CreditMetrics!$C$474,1,MATCH(BDClientes!V366,CreditMetrics!$B$475:$B$491,0),COUNT(CreditMetrics!$B$475:$B$491),1),1),0,1,1))</f>
        <v>90</v>
      </c>
      <c r="Z366" s="79"/>
    </row>
    <row r="367" spans="1:26" x14ac:dyDescent="0.25">
      <c r="A367" s="4">
        <v>366</v>
      </c>
      <c r="B367" s="5" t="s">
        <v>368</v>
      </c>
      <c r="C367" s="6">
        <v>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0</v>
      </c>
      <c r="L367" s="6">
        <v>0</v>
      </c>
      <c r="M367" s="6">
        <v>83</v>
      </c>
      <c r="N367" s="6">
        <v>83</v>
      </c>
      <c r="O367" s="6">
        <v>70</v>
      </c>
      <c r="P367" s="6">
        <v>22</v>
      </c>
      <c r="Q367" s="6">
        <v>22</v>
      </c>
      <c r="R367" s="6">
        <v>22</v>
      </c>
      <c r="S367" s="6">
        <v>22</v>
      </c>
      <c r="T367" s="6">
        <v>22</v>
      </c>
      <c r="U367" s="6">
        <v>22</v>
      </c>
      <c r="V367" s="6">
        <v>22</v>
      </c>
      <c r="W367" s="138">
        <v>205515.51152424375</v>
      </c>
      <c r="X367">
        <f ca="1">IF(V367=0,0,OFFSET(CreditMetrics!$B$474,MATCH(RAND(),OFFSET(CreditMetrics!$C$474,1,MATCH(BDClientes!V367,CreditMetrics!$B$475:$B$491,0),COUNT(CreditMetrics!$B$475:$B$491),1),1),0,1,1))</f>
        <v>22</v>
      </c>
      <c r="Z367" s="79"/>
    </row>
    <row r="368" spans="1:26" x14ac:dyDescent="0.25">
      <c r="A368" s="4">
        <v>367</v>
      </c>
      <c r="B368" s="5" t="s">
        <v>369</v>
      </c>
      <c r="C368" s="6">
        <v>0</v>
      </c>
      <c r="D368" s="6">
        <v>0</v>
      </c>
      <c r="E368" s="6">
        <v>0</v>
      </c>
      <c r="F368" s="6">
        <v>0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85</v>
      </c>
      <c r="M368" s="6">
        <v>80</v>
      </c>
      <c r="N368" s="6">
        <v>83</v>
      </c>
      <c r="O368" s="6">
        <v>85</v>
      </c>
      <c r="P368" s="6">
        <v>83</v>
      </c>
      <c r="Q368" s="6">
        <v>85</v>
      </c>
      <c r="R368" s="6">
        <v>85</v>
      </c>
      <c r="S368" s="6">
        <v>83</v>
      </c>
      <c r="T368" s="6">
        <v>80</v>
      </c>
      <c r="U368" s="6">
        <v>83</v>
      </c>
      <c r="V368" s="6">
        <v>80</v>
      </c>
      <c r="W368" s="138">
        <v>180690.23345621998</v>
      </c>
      <c r="X368">
        <f ca="1">IF(V368=0,0,OFFSET(CreditMetrics!$B$474,MATCH(RAND(),OFFSET(CreditMetrics!$C$474,1,MATCH(BDClientes!V368,CreditMetrics!$B$475:$B$491,0),COUNT(CreditMetrics!$B$475:$B$491),1),1),0,1,1))</f>
        <v>83</v>
      </c>
      <c r="Z368" s="79"/>
    </row>
    <row r="369" spans="1:26" x14ac:dyDescent="0.25">
      <c r="A369" s="4">
        <v>368</v>
      </c>
      <c r="B369" s="5" t="s">
        <v>370</v>
      </c>
      <c r="C369" s="6">
        <v>0</v>
      </c>
      <c r="D369" s="6">
        <v>0</v>
      </c>
      <c r="E369" s="6">
        <v>0</v>
      </c>
      <c r="F369" s="6">
        <v>0</v>
      </c>
      <c r="G369" s="6">
        <v>0</v>
      </c>
      <c r="H369" s="6">
        <v>0</v>
      </c>
      <c r="I369" s="6">
        <v>0</v>
      </c>
      <c r="J369" s="6">
        <v>0</v>
      </c>
      <c r="K369" s="6">
        <v>0</v>
      </c>
      <c r="L369" s="6">
        <v>85</v>
      </c>
      <c r="M369" s="6">
        <v>83</v>
      </c>
      <c r="N369" s="6">
        <v>65</v>
      </c>
      <c r="O369" s="6">
        <v>65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X369">
        <f ca="1">IF(V369=0,0,OFFSET(CreditMetrics!$B$474,MATCH(RAND(),OFFSET(CreditMetrics!$C$474,1,MATCH(BDClientes!V369,CreditMetrics!$B$475:$B$491,0),COUNT(CreditMetrics!$B$475:$B$491),1),1),0,1,1))</f>
        <v>0</v>
      </c>
      <c r="Z369" s="79"/>
    </row>
    <row r="370" spans="1:26" x14ac:dyDescent="0.25">
      <c r="A370" s="4">
        <v>369</v>
      </c>
      <c r="B370" s="5" t="s">
        <v>371</v>
      </c>
      <c r="C370" s="6">
        <v>0</v>
      </c>
      <c r="D370" s="6">
        <v>0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77</v>
      </c>
      <c r="M370" s="6">
        <v>77</v>
      </c>
      <c r="N370" s="6">
        <v>77</v>
      </c>
      <c r="O370" s="6">
        <v>73</v>
      </c>
      <c r="P370" s="6">
        <v>80</v>
      </c>
      <c r="Q370" s="6">
        <v>77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X370">
        <f ca="1">IF(V370=0,0,OFFSET(CreditMetrics!$B$474,MATCH(RAND(),OFFSET(CreditMetrics!$C$474,1,MATCH(BDClientes!V370,CreditMetrics!$B$475:$B$491,0),COUNT(CreditMetrics!$B$475:$B$491),1),1),0,1,1))</f>
        <v>0</v>
      </c>
      <c r="Z370" s="79"/>
    </row>
    <row r="371" spans="1:26" x14ac:dyDescent="0.25">
      <c r="A371" s="4">
        <v>370</v>
      </c>
      <c r="B371" s="5" t="s">
        <v>372</v>
      </c>
      <c r="C371" s="6">
        <v>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0</v>
      </c>
      <c r="L371" s="6">
        <v>85</v>
      </c>
      <c r="M371" s="6">
        <v>80</v>
      </c>
      <c r="N371" s="6">
        <v>80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X371">
        <f ca="1">IF(V371=0,0,OFFSET(CreditMetrics!$B$474,MATCH(RAND(),OFFSET(CreditMetrics!$C$474,1,MATCH(BDClientes!V371,CreditMetrics!$B$475:$B$491,0),COUNT(CreditMetrics!$B$475:$B$491),1),1),0,1,1))</f>
        <v>0</v>
      </c>
      <c r="Z371" s="79"/>
    </row>
    <row r="372" spans="1:26" x14ac:dyDescent="0.25">
      <c r="A372" s="4">
        <v>371</v>
      </c>
      <c r="B372" s="5" t="s">
        <v>373</v>
      </c>
      <c r="C372" s="6">
        <v>0</v>
      </c>
      <c r="D372" s="6">
        <v>0</v>
      </c>
      <c r="E372" s="6">
        <v>0</v>
      </c>
      <c r="F372" s="6">
        <v>0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83</v>
      </c>
      <c r="N372" s="6">
        <v>85</v>
      </c>
      <c r="O372" s="6">
        <v>83</v>
      </c>
      <c r="P372" s="6">
        <v>85</v>
      </c>
      <c r="Q372" s="6">
        <v>85</v>
      </c>
      <c r="R372" s="6">
        <v>87</v>
      </c>
      <c r="S372" s="6">
        <v>85</v>
      </c>
      <c r="T372" s="6">
        <v>83</v>
      </c>
      <c r="U372" s="6">
        <v>83</v>
      </c>
      <c r="V372" s="6">
        <v>83</v>
      </c>
      <c r="W372" s="138">
        <v>314789.62491264811</v>
      </c>
      <c r="X372">
        <f ca="1">IF(V372=0,0,OFFSET(CreditMetrics!$B$474,MATCH(RAND(),OFFSET(CreditMetrics!$C$474,1,MATCH(BDClientes!V372,CreditMetrics!$B$475:$B$491,0),COUNT(CreditMetrics!$B$475:$B$491),1),1),0,1,1))</f>
        <v>83</v>
      </c>
      <c r="Z372" s="79"/>
    </row>
    <row r="373" spans="1:26" x14ac:dyDescent="0.25">
      <c r="A373" s="4">
        <v>372</v>
      </c>
      <c r="B373" s="5" t="s">
        <v>374</v>
      </c>
      <c r="C373" s="6">
        <v>0</v>
      </c>
      <c r="D373" s="6">
        <v>0</v>
      </c>
      <c r="E373" s="6">
        <v>0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0</v>
      </c>
      <c r="L373" s="6">
        <v>87</v>
      </c>
      <c r="M373" s="6">
        <v>87</v>
      </c>
      <c r="N373" s="6">
        <v>87</v>
      </c>
      <c r="O373" s="6">
        <v>87</v>
      </c>
      <c r="P373" s="6">
        <v>87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X373">
        <f ca="1">IF(V373=0,0,OFFSET(CreditMetrics!$B$474,MATCH(RAND(),OFFSET(CreditMetrics!$C$474,1,MATCH(BDClientes!V373,CreditMetrics!$B$475:$B$491,0),COUNT(CreditMetrics!$B$475:$B$491),1),1),0,1,1))</f>
        <v>0</v>
      </c>
      <c r="Z373" s="79"/>
    </row>
    <row r="374" spans="1:26" x14ac:dyDescent="0.25">
      <c r="A374" s="4">
        <v>373</v>
      </c>
      <c r="B374" s="5" t="s">
        <v>375</v>
      </c>
      <c r="C374" s="6">
        <v>0</v>
      </c>
      <c r="D374" s="6">
        <v>0</v>
      </c>
      <c r="E374" s="6">
        <v>0</v>
      </c>
      <c r="F374" s="6">
        <v>0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83</v>
      </c>
      <c r="M374" s="6">
        <v>83</v>
      </c>
      <c r="N374" s="6">
        <v>83</v>
      </c>
      <c r="O374" s="6">
        <v>83</v>
      </c>
      <c r="P374" s="6">
        <v>83</v>
      </c>
      <c r="Q374" s="6">
        <v>83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X374">
        <f ca="1">IF(V374=0,0,OFFSET(CreditMetrics!$B$474,MATCH(RAND(),OFFSET(CreditMetrics!$C$474,1,MATCH(BDClientes!V374,CreditMetrics!$B$475:$B$491,0),COUNT(CreditMetrics!$B$475:$B$491),1),1),0,1,1))</f>
        <v>0</v>
      </c>
      <c r="Z374" s="79"/>
    </row>
    <row r="375" spans="1:26" x14ac:dyDescent="0.25">
      <c r="A375" s="4">
        <v>374</v>
      </c>
      <c r="B375" s="5" t="s">
        <v>376</v>
      </c>
      <c r="C375" s="6">
        <v>0</v>
      </c>
      <c r="D375" s="6">
        <v>0</v>
      </c>
      <c r="E375" s="6">
        <v>0</v>
      </c>
      <c r="F375" s="6">
        <v>0</v>
      </c>
      <c r="G375" s="6">
        <v>0</v>
      </c>
      <c r="H375" s="6">
        <v>0</v>
      </c>
      <c r="I375" s="6">
        <v>0</v>
      </c>
      <c r="J375" s="6">
        <v>0</v>
      </c>
      <c r="K375" s="6">
        <v>0</v>
      </c>
      <c r="L375" s="6">
        <v>0</v>
      </c>
      <c r="M375" s="6">
        <v>85</v>
      </c>
      <c r="N375" s="6">
        <v>83</v>
      </c>
      <c r="O375" s="6">
        <v>80</v>
      </c>
      <c r="P375" s="6">
        <v>75</v>
      </c>
      <c r="Q375" s="6">
        <v>80</v>
      </c>
      <c r="R375" s="6">
        <v>83</v>
      </c>
      <c r="S375" s="6">
        <v>80</v>
      </c>
      <c r="T375" s="6">
        <v>83</v>
      </c>
      <c r="U375" s="6">
        <v>83</v>
      </c>
      <c r="V375" s="6">
        <v>83</v>
      </c>
      <c r="W375" s="138">
        <v>722891.57512973913</v>
      </c>
      <c r="X375">
        <f ca="1">IF(V375=0,0,OFFSET(CreditMetrics!$B$474,MATCH(RAND(),OFFSET(CreditMetrics!$C$474,1,MATCH(BDClientes!V375,CreditMetrics!$B$475:$B$491,0),COUNT(CreditMetrics!$B$475:$B$491),1),1),0,1,1))</f>
        <v>70</v>
      </c>
      <c r="Z375" s="79"/>
    </row>
    <row r="376" spans="1:26" x14ac:dyDescent="0.25">
      <c r="A376" s="4">
        <v>375</v>
      </c>
      <c r="B376" s="5" t="s">
        <v>377</v>
      </c>
      <c r="C376" s="6">
        <v>0</v>
      </c>
      <c r="D376" s="6">
        <v>0</v>
      </c>
      <c r="E376" s="6">
        <v>0</v>
      </c>
      <c r="F376" s="6">
        <v>0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75</v>
      </c>
      <c r="N376" s="6">
        <v>75</v>
      </c>
      <c r="O376" s="6">
        <v>80</v>
      </c>
      <c r="P376" s="6">
        <v>83</v>
      </c>
      <c r="Q376" s="6">
        <v>85</v>
      </c>
      <c r="R376" s="6">
        <v>85</v>
      </c>
      <c r="S376" s="6">
        <v>87</v>
      </c>
      <c r="T376" s="6">
        <v>87</v>
      </c>
      <c r="U376" s="6">
        <v>87</v>
      </c>
      <c r="V376" s="6">
        <v>87</v>
      </c>
      <c r="W376" s="138">
        <v>229949.46365372388</v>
      </c>
      <c r="X376">
        <f ca="1">IF(V376=0,0,OFFSET(CreditMetrics!$B$474,MATCH(RAND(),OFFSET(CreditMetrics!$C$474,1,MATCH(BDClientes!V376,CreditMetrics!$B$475:$B$491,0),COUNT(CreditMetrics!$B$475:$B$491),1),1),0,1,1))</f>
        <v>83</v>
      </c>
      <c r="Z376" s="79"/>
    </row>
    <row r="377" spans="1:26" x14ac:dyDescent="0.25">
      <c r="A377" s="4">
        <v>376</v>
      </c>
      <c r="B377" s="5" t="s">
        <v>378</v>
      </c>
      <c r="C377" s="6">
        <v>0</v>
      </c>
      <c r="D377" s="6">
        <v>0</v>
      </c>
      <c r="E377" s="6">
        <v>0</v>
      </c>
      <c r="F377" s="6">
        <v>0</v>
      </c>
      <c r="G377" s="6">
        <v>0</v>
      </c>
      <c r="H377" s="6">
        <v>0</v>
      </c>
      <c r="I377" s="6">
        <v>0</v>
      </c>
      <c r="J377" s="6">
        <v>0</v>
      </c>
      <c r="K377" s="6">
        <v>0</v>
      </c>
      <c r="L377" s="6">
        <v>0</v>
      </c>
      <c r="M377" s="6">
        <v>80</v>
      </c>
      <c r="N377" s="6">
        <v>80</v>
      </c>
      <c r="O377" s="6">
        <v>83</v>
      </c>
      <c r="P377" s="6">
        <v>85</v>
      </c>
      <c r="Q377" s="6">
        <v>83</v>
      </c>
      <c r="R377" s="6">
        <v>77</v>
      </c>
      <c r="S377" s="6">
        <v>77</v>
      </c>
      <c r="T377" s="6">
        <v>77</v>
      </c>
      <c r="U377" s="6">
        <v>80</v>
      </c>
      <c r="V377" s="6">
        <v>80</v>
      </c>
      <c r="W377" s="138">
        <v>1163865.0024541086</v>
      </c>
      <c r="X377">
        <f ca="1">IF(V377=0,0,OFFSET(CreditMetrics!$B$474,MATCH(RAND(),OFFSET(CreditMetrics!$C$474,1,MATCH(BDClientes!V377,CreditMetrics!$B$475:$B$491,0),COUNT(CreditMetrics!$B$475:$B$491),1),1),0,1,1))</f>
        <v>80</v>
      </c>
      <c r="Z377" s="79"/>
    </row>
    <row r="378" spans="1:26" x14ac:dyDescent="0.25">
      <c r="A378" s="4">
        <v>377</v>
      </c>
      <c r="B378" s="5" t="s">
        <v>379</v>
      </c>
      <c r="C378" s="6">
        <v>0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75</v>
      </c>
      <c r="M378" s="6">
        <v>83</v>
      </c>
      <c r="N378" s="6">
        <v>85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X378">
        <f ca="1">IF(V378=0,0,OFFSET(CreditMetrics!$B$474,MATCH(RAND(),OFFSET(CreditMetrics!$C$474,1,MATCH(BDClientes!V378,CreditMetrics!$B$475:$B$491,0),COUNT(CreditMetrics!$B$475:$B$491),1),1),0,1,1))</f>
        <v>0</v>
      </c>
      <c r="Z378" s="79"/>
    </row>
    <row r="379" spans="1:26" x14ac:dyDescent="0.25">
      <c r="A379" s="4">
        <v>378</v>
      </c>
      <c r="B379" s="5" t="s">
        <v>380</v>
      </c>
      <c r="C379" s="6">
        <v>0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6">
        <v>83</v>
      </c>
      <c r="O379" s="6">
        <v>83</v>
      </c>
      <c r="P379" s="6">
        <v>83</v>
      </c>
      <c r="Q379" s="6">
        <v>83</v>
      </c>
      <c r="R379" s="6">
        <v>85</v>
      </c>
      <c r="S379" s="6">
        <v>85</v>
      </c>
      <c r="T379" s="6">
        <v>85</v>
      </c>
      <c r="U379" s="6">
        <v>85</v>
      </c>
      <c r="V379" s="6">
        <v>85</v>
      </c>
      <c r="W379" s="138">
        <v>149578.21994988425</v>
      </c>
      <c r="X379">
        <f ca="1">IF(V379=0,0,OFFSET(CreditMetrics!$B$474,MATCH(RAND(),OFFSET(CreditMetrics!$C$474,1,MATCH(BDClientes!V379,CreditMetrics!$B$475:$B$491,0),COUNT(CreditMetrics!$B$475:$B$491),1),1),0,1,1))</f>
        <v>87</v>
      </c>
      <c r="Z379" s="79"/>
    </row>
    <row r="380" spans="1:26" x14ac:dyDescent="0.25">
      <c r="A380" s="4">
        <v>379</v>
      </c>
      <c r="B380" s="5" t="s">
        <v>381</v>
      </c>
      <c r="C380" s="6">
        <v>0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87</v>
      </c>
      <c r="M380" s="6">
        <v>0</v>
      </c>
      <c r="N380" s="6">
        <v>0</v>
      </c>
      <c r="O380" s="6">
        <v>0</v>
      </c>
      <c r="P380" s="6">
        <v>87</v>
      </c>
      <c r="Q380" s="6">
        <v>0</v>
      </c>
      <c r="R380" s="6">
        <v>90</v>
      </c>
      <c r="S380" s="6">
        <v>87</v>
      </c>
      <c r="T380" s="6">
        <v>87</v>
      </c>
      <c r="U380" s="6">
        <v>0</v>
      </c>
      <c r="V380" s="6">
        <v>87</v>
      </c>
      <c r="W380" s="138">
        <v>385088.86472248397</v>
      </c>
      <c r="X380">
        <f ca="1">IF(V380=0,0,OFFSET(CreditMetrics!$B$474,MATCH(RAND(),OFFSET(CreditMetrics!$C$474,1,MATCH(BDClientes!V380,CreditMetrics!$B$475:$B$491,0),COUNT(CreditMetrics!$B$475:$B$491),1),1),0,1,1))</f>
        <v>87</v>
      </c>
      <c r="Z380" s="79"/>
    </row>
    <row r="381" spans="1:26" x14ac:dyDescent="0.25">
      <c r="A381" s="4">
        <v>380</v>
      </c>
      <c r="B381" s="5" t="s">
        <v>382</v>
      </c>
      <c r="C381" s="6">
        <v>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80</v>
      </c>
      <c r="N381" s="6">
        <v>80</v>
      </c>
      <c r="O381" s="6">
        <v>80</v>
      </c>
      <c r="P381" s="6">
        <v>83</v>
      </c>
      <c r="Q381" s="6">
        <v>83</v>
      </c>
      <c r="R381" s="6">
        <v>80</v>
      </c>
      <c r="S381" s="6">
        <v>80</v>
      </c>
      <c r="T381" s="6">
        <v>83</v>
      </c>
      <c r="U381" s="6">
        <v>83</v>
      </c>
      <c r="V381" s="6">
        <v>83</v>
      </c>
      <c r="W381" s="138">
        <v>498756.07385259576</v>
      </c>
      <c r="X381">
        <f ca="1">IF(V381=0,0,OFFSET(CreditMetrics!$B$474,MATCH(RAND(),OFFSET(CreditMetrics!$C$474,1,MATCH(BDClientes!V381,CreditMetrics!$B$475:$B$491,0),COUNT(CreditMetrics!$B$475:$B$491),1),1),0,1,1))</f>
        <v>85</v>
      </c>
      <c r="Z381" s="79"/>
    </row>
    <row r="382" spans="1:26" x14ac:dyDescent="0.25">
      <c r="A382" s="4">
        <v>381</v>
      </c>
      <c r="B382" s="5" t="s">
        <v>383</v>
      </c>
      <c r="C382" s="6">
        <v>0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85</v>
      </c>
      <c r="N382" s="6">
        <v>85</v>
      </c>
      <c r="O382" s="6">
        <v>85</v>
      </c>
      <c r="P382" s="6">
        <v>87</v>
      </c>
      <c r="Q382" s="6">
        <v>87</v>
      </c>
      <c r="R382" s="6">
        <v>87</v>
      </c>
      <c r="S382" s="6">
        <v>87</v>
      </c>
      <c r="T382" s="6">
        <v>87</v>
      </c>
      <c r="U382" s="6">
        <v>87</v>
      </c>
      <c r="V382" s="6">
        <v>80</v>
      </c>
      <c r="W382" s="138">
        <v>356525.53999712254</v>
      </c>
      <c r="X382">
        <f ca="1">IF(V382=0,0,OFFSET(CreditMetrics!$B$474,MATCH(RAND(),OFFSET(CreditMetrics!$C$474,1,MATCH(BDClientes!V382,CreditMetrics!$B$475:$B$491,0),COUNT(CreditMetrics!$B$475:$B$491),1),1),0,1,1))</f>
        <v>83</v>
      </c>
      <c r="Z382" s="79"/>
    </row>
    <row r="383" spans="1:26" x14ac:dyDescent="0.25">
      <c r="A383" s="4">
        <v>382</v>
      </c>
      <c r="B383" s="5" t="s">
        <v>384</v>
      </c>
      <c r="C383" s="6">
        <v>0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0</v>
      </c>
      <c r="K383" s="6">
        <v>0</v>
      </c>
      <c r="L383" s="6">
        <v>0</v>
      </c>
      <c r="M383" s="6">
        <v>85</v>
      </c>
      <c r="N383" s="6">
        <v>85</v>
      </c>
      <c r="O383" s="6">
        <v>85</v>
      </c>
      <c r="P383" s="6">
        <v>87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X383">
        <f ca="1">IF(V383=0,0,OFFSET(CreditMetrics!$B$474,MATCH(RAND(),OFFSET(CreditMetrics!$C$474,1,MATCH(BDClientes!V383,CreditMetrics!$B$475:$B$491,0),COUNT(CreditMetrics!$B$475:$B$491),1),1),0,1,1))</f>
        <v>0</v>
      </c>
      <c r="Z383" s="79"/>
    </row>
    <row r="384" spans="1:26" x14ac:dyDescent="0.25">
      <c r="A384" s="4">
        <v>383</v>
      </c>
      <c r="B384" s="5" t="s">
        <v>385</v>
      </c>
      <c r="C384" s="6">
        <v>0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85</v>
      </c>
      <c r="N384" s="6">
        <v>85</v>
      </c>
      <c r="O384" s="6">
        <v>85</v>
      </c>
      <c r="P384" s="6">
        <v>87</v>
      </c>
      <c r="Q384" s="6">
        <v>85</v>
      </c>
      <c r="R384" s="6">
        <v>85</v>
      </c>
      <c r="S384" s="6">
        <v>83</v>
      </c>
      <c r="T384" s="6">
        <v>85</v>
      </c>
      <c r="U384" s="6">
        <v>87</v>
      </c>
      <c r="V384" s="6">
        <v>87</v>
      </c>
      <c r="W384" s="138">
        <v>115210.10134868599</v>
      </c>
      <c r="X384">
        <f ca="1">IF(V384=0,0,OFFSET(CreditMetrics!$B$474,MATCH(RAND(),OFFSET(CreditMetrics!$C$474,1,MATCH(BDClientes!V384,CreditMetrics!$B$475:$B$491,0),COUNT(CreditMetrics!$B$475:$B$491),1),1),0,1,1))</f>
        <v>90</v>
      </c>
      <c r="Z384" s="79"/>
    </row>
    <row r="385" spans="1:26" x14ac:dyDescent="0.25">
      <c r="A385" s="4">
        <v>384</v>
      </c>
      <c r="B385" s="5" t="s">
        <v>386</v>
      </c>
      <c r="C385" s="6">
        <v>0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6">
        <v>85</v>
      </c>
      <c r="O385" s="6">
        <v>85</v>
      </c>
      <c r="P385" s="6">
        <v>85</v>
      </c>
      <c r="Q385" s="6">
        <v>85</v>
      </c>
      <c r="R385" s="6">
        <v>85</v>
      </c>
      <c r="S385" s="6">
        <v>85</v>
      </c>
      <c r="T385" s="6">
        <v>85</v>
      </c>
      <c r="U385" s="6">
        <v>85</v>
      </c>
      <c r="V385" s="6">
        <v>85</v>
      </c>
      <c r="W385" s="138">
        <v>997602.92749458482</v>
      </c>
      <c r="X385">
        <f ca="1">IF(V385=0,0,OFFSET(CreditMetrics!$B$474,MATCH(RAND(),OFFSET(CreditMetrics!$C$474,1,MATCH(BDClientes!V385,CreditMetrics!$B$475:$B$491,0),COUNT(CreditMetrics!$B$475:$B$491),1),1),0,1,1))</f>
        <v>85</v>
      </c>
      <c r="Z385" s="79"/>
    </row>
    <row r="386" spans="1:26" x14ac:dyDescent="0.25">
      <c r="A386" s="4">
        <v>385</v>
      </c>
      <c r="B386" s="5" t="s">
        <v>387</v>
      </c>
      <c r="C386" s="6">
        <v>0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85</v>
      </c>
      <c r="O386" s="6">
        <v>83</v>
      </c>
      <c r="P386" s="6">
        <v>83</v>
      </c>
      <c r="Q386" s="6">
        <v>83</v>
      </c>
      <c r="R386" s="6">
        <v>85</v>
      </c>
      <c r="S386" s="6">
        <v>83</v>
      </c>
      <c r="T386" s="6">
        <v>85</v>
      </c>
      <c r="U386" s="6">
        <v>83</v>
      </c>
      <c r="V386" s="6">
        <v>83</v>
      </c>
      <c r="W386" s="138">
        <v>471915.51189906505</v>
      </c>
      <c r="X386">
        <f ca="1">IF(V386=0,0,OFFSET(CreditMetrics!$B$474,MATCH(RAND(),OFFSET(CreditMetrics!$C$474,1,MATCH(BDClientes!V386,CreditMetrics!$B$475:$B$491,0),COUNT(CreditMetrics!$B$475:$B$491),1),1),0,1,1))</f>
        <v>85</v>
      </c>
      <c r="Z386" s="79"/>
    </row>
    <row r="387" spans="1:26" x14ac:dyDescent="0.25">
      <c r="A387" s="4">
        <v>386</v>
      </c>
      <c r="B387" s="5" t="s">
        <v>388</v>
      </c>
      <c r="C387" s="6">
        <v>0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75</v>
      </c>
      <c r="N387" s="6">
        <v>83</v>
      </c>
      <c r="O387" s="6">
        <v>83</v>
      </c>
      <c r="P387" s="6">
        <v>83</v>
      </c>
      <c r="Q387" s="6">
        <v>87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X387">
        <f ca="1">IF(V387=0,0,OFFSET(CreditMetrics!$B$474,MATCH(RAND(),OFFSET(CreditMetrics!$C$474,1,MATCH(BDClientes!V387,CreditMetrics!$B$475:$B$491,0),COUNT(CreditMetrics!$B$475:$B$491),1),1),0,1,1))</f>
        <v>0</v>
      </c>
      <c r="Z387" s="79"/>
    </row>
    <row r="388" spans="1:26" x14ac:dyDescent="0.25">
      <c r="A388" s="4">
        <v>387</v>
      </c>
      <c r="B388" s="5" t="s">
        <v>389</v>
      </c>
      <c r="C388" s="6">
        <v>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83</v>
      </c>
      <c r="O388" s="6">
        <v>85</v>
      </c>
      <c r="P388" s="6">
        <v>0</v>
      </c>
      <c r="Q388" s="6">
        <v>85</v>
      </c>
      <c r="R388" s="6">
        <v>87</v>
      </c>
      <c r="S388" s="6">
        <v>0</v>
      </c>
      <c r="T388" s="6">
        <v>85</v>
      </c>
      <c r="U388" s="6">
        <v>87</v>
      </c>
      <c r="V388" s="6">
        <v>80</v>
      </c>
      <c r="W388" s="138">
        <v>228004.77218320029</v>
      </c>
      <c r="X388">
        <f ca="1">IF(V388=0,0,OFFSET(CreditMetrics!$B$474,MATCH(RAND(),OFFSET(CreditMetrics!$C$474,1,MATCH(BDClientes!V388,CreditMetrics!$B$475:$B$491,0),COUNT(CreditMetrics!$B$475:$B$491),1),1),0,1,1))</f>
        <v>73</v>
      </c>
      <c r="Z388" s="79"/>
    </row>
    <row r="389" spans="1:26" x14ac:dyDescent="0.25">
      <c r="A389" s="4">
        <v>388</v>
      </c>
      <c r="B389" s="5" t="s">
        <v>390</v>
      </c>
      <c r="C389" s="6">
        <v>0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0</v>
      </c>
      <c r="L389" s="6">
        <v>0</v>
      </c>
      <c r="M389" s="6">
        <v>83</v>
      </c>
      <c r="N389" s="6">
        <v>85</v>
      </c>
      <c r="O389" s="6">
        <v>80</v>
      </c>
      <c r="P389" s="6">
        <v>83</v>
      </c>
      <c r="Q389" s="6">
        <v>80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X389">
        <f ca="1">IF(V389=0,0,OFFSET(CreditMetrics!$B$474,MATCH(RAND(),OFFSET(CreditMetrics!$C$474,1,MATCH(BDClientes!V389,CreditMetrics!$B$475:$B$491,0),COUNT(CreditMetrics!$B$475:$B$491),1),1),0,1,1))</f>
        <v>0</v>
      </c>
      <c r="Z389" s="79"/>
    </row>
    <row r="390" spans="1:26" x14ac:dyDescent="0.25">
      <c r="A390" s="4">
        <v>389</v>
      </c>
      <c r="B390" s="5" t="s">
        <v>391</v>
      </c>
      <c r="C390" s="6">
        <v>0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80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X390">
        <f ca="1">IF(V390=0,0,OFFSET(CreditMetrics!$B$474,MATCH(RAND(),OFFSET(CreditMetrics!$C$474,1,MATCH(BDClientes!V390,CreditMetrics!$B$475:$B$491,0),COUNT(CreditMetrics!$B$475:$B$491),1),1),0,1,1))</f>
        <v>0</v>
      </c>
      <c r="Z390" s="79"/>
    </row>
    <row r="391" spans="1:26" x14ac:dyDescent="0.25">
      <c r="A391" s="4">
        <v>390</v>
      </c>
      <c r="B391" s="5" t="s">
        <v>392</v>
      </c>
      <c r="C391" s="6">
        <v>0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6">
        <v>83</v>
      </c>
      <c r="O391" s="6">
        <v>83</v>
      </c>
      <c r="P391" s="6">
        <v>83</v>
      </c>
      <c r="Q391" s="6">
        <v>83</v>
      </c>
      <c r="R391" s="6">
        <v>83</v>
      </c>
      <c r="S391" s="6">
        <v>85</v>
      </c>
      <c r="T391" s="6">
        <v>83</v>
      </c>
      <c r="U391" s="6">
        <v>85</v>
      </c>
      <c r="V391" s="6">
        <v>85</v>
      </c>
      <c r="W391" s="138">
        <v>1752678.7848761652</v>
      </c>
      <c r="X391">
        <f ca="1">IF(V391=0,0,OFFSET(CreditMetrics!$B$474,MATCH(RAND(),OFFSET(CreditMetrics!$C$474,1,MATCH(BDClientes!V391,CreditMetrics!$B$475:$B$491,0),COUNT(CreditMetrics!$B$475:$B$491),1),1),0,1,1))</f>
        <v>83</v>
      </c>
      <c r="Z391" s="79"/>
    </row>
    <row r="392" spans="1:26" x14ac:dyDescent="0.25">
      <c r="A392" s="4">
        <v>391</v>
      </c>
      <c r="B392" s="5" t="s">
        <v>393</v>
      </c>
      <c r="C392" s="6">
        <v>0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85</v>
      </c>
      <c r="N392" s="6">
        <v>87</v>
      </c>
      <c r="O392" s="6">
        <v>85</v>
      </c>
      <c r="P392" s="6">
        <v>85</v>
      </c>
      <c r="Q392" s="6">
        <v>85</v>
      </c>
      <c r="R392" s="6">
        <v>85</v>
      </c>
      <c r="S392" s="6">
        <v>85</v>
      </c>
      <c r="T392" s="6">
        <v>83</v>
      </c>
      <c r="U392" s="6">
        <v>85</v>
      </c>
      <c r="V392" s="6">
        <v>83</v>
      </c>
      <c r="W392" s="138">
        <v>137431.16771936114</v>
      </c>
      <c r="X392">
        <f ca="1">IF(V392=0,0,OFFSET(CreditMetrics!$B$474,MATCH(RAND(),OFFSET(CreditMetrics!$C$474,1,MATCH(BDClientes!V392,CreditMetrics!$B$475:$B$491,0),COUNT(CreditMetrics!$B$475:$B$491),1),1),0,1,1))</f>
        <v>83</v>
      </c>
      <c r="Z392" s="79"/>
    </row>
    <row r="393" spans="1:26" x14ac:dyDescent="0.25">
      <c r="A393" s="4">
        <v>392</v>
      </c>
      <c r="B393" s="5" t="s">
        <v>394</v>
      </c>
      <c r="C393" s="6">
        <v>0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85</v>
      </c>
      <c r="N393" s="6">
        <v>87</v>
      </c>
      <c r="O393" s="6">
        <v>85</v>
      </c>
      <c r="P393" s="6">
        <v>87</v>
      </c>
      <c r="Q393" s="6">
        <v>87</v>
      </c>
      <c r="R393" s="6">
        <v>87</v>
      </c>
      <c r="S393" s="6">
        <v>0</v>
      </c>
      <c r="T393" s="6">
        <v>0</v>
      </c>
      <c r="U393" s="6">
        <v>0</v>
      </c>
      <c r="V393" s="6">
        <v>0</v>
      </c>
      <c r="X393">
        <f ca="1">IF(V393=0,0,OFFSET(CreditMetrics!$B$474,MATCH(RAND(),OFFSET(CreditMetrics!$C$474,1,MATCH(BDClientes!V393,CreditMetrics!$B$475:$B$491,0),COUNT(CreditMetrics!$B$475:$B$491),1),1),0,1,1))</f>
        <v>0</v>
      </c>
      <c r="Z393" s="79"/>
    </row>
    <row r="394" spans="1:26" x14ac:dyDescent="0.25">
      <c r="A394" s="4">
        <v>393</v>
      </c>
      <c r="B394" s="5" t="s">
        <v>395</v>
      </c>
      <c r="C394" s="6">
        <v>0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87</v>
      </c>
      <c r="O394" s="6">
        <v>85</v>
      </c>
      <c r="P394" s="6">
        <v>85</v>
      </c>
      <c r="Q394" s="6">
        <v>87</v>
      </c>
      <c r="R394" s="6">
        <v>87</v>
      </c>
      <c r="S394" s="6">
        <v>87</v>
      </c>
      <c r="T394" s="6">
        <v>87</v>
      </c>
      <c r="U394" s="6">
        <v>87</v>
      </c>
      <c r="V394" s="6">
        <v>87</v>
      </c>
      <c r="W394" s="138">
        <v>232547.50425731871</v>
      </c>
      <c r="X394">
        <f ca="1">IF(V394=0,0,OFFSET(CreditMetrics!$B$474,MATCH(RAND(),OFFSET(CreditMetrics!$C$474,1,MATCH(BDClientes!V394,CreditMetrics!$B$475:$B$491,0),COUNT(CreditMetrics!$B$475:$B$491),1),1),0,1,1))</f>
        <v>87</v>
      </c>
      <c r="Z394" s="79"/>
    </row>
    <row r="395" spans="1:26" x14ac:dyDescent="0.25">
      <c r="A395" s="4">
        <v>394</v>
      </c>
      <c r="B395" s="5" t="s">
        <v>396</v>
      </c>
      <c r="C395" s="6">
        <v>0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0</v>
      </c>
      <c r="K395" s="6">
        <v>0</v>
      </c>
      <c r="L395" s="6">
        <v>0</v>
      </c>
      <c r="M395" s="6">
        <v>90</v>
      </c>
      <c r="N395" s="6">
        <v>87</v>
      </c>
      <c r="O395" s="6">
        <v>0</v>
      </c>
      <c r="P395" s="6">
        <v>0</v>
      </c>
      <c r="Q395" s="6">
        <v>90</v>
      </c>
      <c r="R395" s="6">
        <v>87</v>
      </c>
      <c r="S395" s="6">
        <v>90</v>
      </c>
      <c r="T395" s="6">
        <v>90</v>
      </c>
      <c r="U395" s="6">
        <v>90</v>
      </c>
      <c r="V395" s="6">
        <v>90</v>
      </c>
      <c r="W395" s="138">
        <v>185761.17014377611</v>
      </c>
      <c r="X395">
        <f ca="1">IF(V395=0,0,OFFSET(CreditMetrics!$B$474,MATCH(RAND(),OFFSET(CreditMetrics!$C$474,1,MATCH(BDClientes!V395,CreditMetrics!$B$475:$B$491,0),COUNT(CreditMetrics!$B$475:$B$491),1),1),0,1,1))</f>
        <v>90</v>
      </c>
      <c r="Z395" s="79"/>
    </row>
    <row r="396" spans="1:26" x14ac:dyDescent="0.25">
      <c r="A396" s="4">
        <v>395</v>
      </c>
      <c r="B396" s="5" t="s">
        <v>397</v>
      </c>
      <c r="C396" s="6">
        <v>0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83</v>
      </c>
      <c r="N396" s="6">
        <v>85</v>
      </c>
      <c r="O396" s="6">
        <v>80</v>
      </c>
      <c r="P396" s="6">
        <v>83</v>
      </c>
      <c r="Q396" s="6">
        <v>83</v>
      </c>
      <c r="R396" s="6">
        <v>85</v>
      </c>
      <c r="S396" s="6">
        <v>85</v>
      </c>
      <c r="T396" s="6">
        <v>85</v>
      </c>
      <c r="U396" s="6">
        <v>85</v>
      </c>
      <c r="V396" s="6">
        <v>85</v>
      </c>
      <c r="W396" s="138">
        <v>190011.57581542691</v>
      </c>
      <c r="X396">
        <f ca="1">IF(V396=0,0,OFFSET(CreditMetrics!$B$474,MATCH(RAND(),OFFSET(CreditMetrics!$C$474,1,MATCH(BDClientes!V396,CreditMetrics!$B$475:$B$491,0),COUNT(CreditMetrics!$B$475:$B$491),1),1),0,1,1))</f>
        <v>85</v>
      </c>
      <c r="Z396" s="79"/>
    </row>
    <row r="397" spans="1:26" x14ac:dyDescent="0.25">
      <c r="A397" s="4">
        <v>396</v>
      </c>
      <c r="B397" s="5" t="s">
        <v>398</v>
      </c>
      <c r="C397" s="6">
        <v>0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0</v>
      </c>
      <c r="K397" s="6">
        <v>0</v>
      </c>
      <c r="L397" s="6">
        <v>0</v>
      </c>
      <c r="M397" s="6">
        <v>85</v>
      </c>
      <c r="N397" s="6">
        <v>87</v>
      </c>
      <c r="O397" s="6">
        <v>85</v>
      </c>
      <c r="P397" s="6">
        <v>85</v>
      </c>
      <c r="Q397" s="6">
        <v>85</v>
      </c>
      <c r="R397" s="6">
        <v>87</v>
      </c>
      <c r="S397" s="6">
        <v>0</v>
      </c>
      <c r="T397" s="6">
        <v>0</v>
      </c>
      <c r="U397" s="6">
        <v>0</v>
      </c>
      <c r="V397" s="6">
        <v>0</v>
      </c>
      <c r="X397">
        <f ca="1">IF(V397=0,0,OFFSET(CreditMetrics!$B$474,MATCH(RAND(),OFFSET(CreditMetrics!$C$474,1,MATCH(BDClientes!V397,CreditMetrics!$B$475:$B$491,0),COUNT(CreditMetrics!$B$475:$B$491),1),1),0,1,1))</f>
        <v>0</v>
      </c>
      <c r="Z397" s="79"/>
    </row>
    <row r="398" spans="1:26" x14ac:dyDescent="0.25">
      <c r="A398" s="4">
        <v>397</v>
      </c>
      <c r="B398" s="5" t="s">
        <v>399</v>
      </c>
      <c r="C398" s="6">
        <v>0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75</v>
      </c>
      <c r="O398" s="6">
        <v>83</v>
      </c>
      <c r="P398" s="6">
        <v>85</v>
      </c>
      <c r="Q398" s="6">
        <v>85</v>
      </c>
      <c r="R398" s="6">
        <v>85</v>
      </c>
      <c r="S398" s="6">
        <v>85</v>
      </c>
      <c r="T398" s="6">
        <v>85</v>
      </c>
      <c r="U398" s="6">
        <v>85</v>
      </c>
      <c r="V398" s="6">
        <v>85</v>
      </c>
      <c r="W398" s="138">
        <v>259856.65623402453</v>
      </c>
      <c r="X398">
        <f ca="1">IF(V398=0,0,OFFSET(CreditMetrics!$B$474,MATCH(RAND(),OFFSET(CreditMetrics!$C$474,1,MATCH(BDClientes!V398,CreditMetrics!$B$475:$B$491,0),COUNT(CreditMetrics!$B$475:$B$491),1),1),0,1,1))</f>
        <v>83</v>
      </c>
      <c r="Z398" s="79"/>
    </row>
    <row r="399" spans="1:26" x14ac:dyDescent="0.25">
      <c r="A399" s="4">
        <v>398</v>
      </c>
      <c r="B399" s="5" t="s">
        <v>400</v>
      </c>
      <c r="C399" s="6">
        <v>0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85</v>
      </c>
      <c r="N399" s="6">
        <v>85</v>
      </c>
      <c r="O399" s="6">
        <v>85</v>
      </c>
      <c r="P399" s="6">
        <v>85</v>
      </c>
      <c r="Q399" s="6">
        <v>85</v>
      </c>
      <c r="R399" s="6">
        <v>85</v>
      </c>
      <c r="S399" s="6">
        <v>85</v>
      </c>
      <c r="T399" s="6">
        <v>85</v>
      </c>
      <c r="U399" s="6">
        <v>85</v>
      </c>
      <c r="V399" s="6">
        <v>85</v>
      </c>
      <c r="W399" s="138">
        <v>570256.69104460895</v>
      </c>
      <c r="X399">
        <f ca="1">IF(V399=0,0,OFFSET(CreditMetrics!$B$474,MATCH(RAND(),OFFSET(CreditMetrics!$C$474,1,MATCH(BDClientes!V399,CreditMetrics!$B$475:$B$491,0),COUNT(CreditMetrics!$B$475:$B$491),1),1),0,1,1))</f>
        <v>85</v>
      </c>
      <c r="Z399" s="79"/>
    </row>
    <row r="400" spans="1:26" x14ac:dyDescent="0.25">
      <c r="A400" s="4">
        <v>399</v>
      </c>
      <c r="B400" s="5" t="s">
        <v>401</v>
      </c>
      <c r="C400" s="6">
        <v>0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83</v>
      </c>
      <c r="O400" s="6">
        <v>80</v>
      </c>
      <c r="P400" s="6">
        <v>83</v>
      </c>
      <c r="Q400" s="6">
        <v>80</v>
      </c>
      <c r="R400" s="6">
        <v>85</v>
      </c>
      <c r="S400" s="6">
        <v>85</v>
      </c>
      <c r="T400" s="6">
        <v>85</v>
      </c>
      <c r="U400" s="6">
        <v>83</v>
      </c>
      <c r="V400" s="6">
        <v>85</v>
      </c>
      <c r="W400" s="138">
        <v>154982.24712583993</v>
      </c>
      <c r="X400">
        <f ca="1">IF(V400=0,0,OFFSET(CreditMetrics!$B$474,MATCH(RAND(),OFFSET(CreditMetrics!$C$474,1,MATCH(BDClientes!V400,CreditMetrics!$B$475:$B$491,0),COUNT(CreditMetrics!$B$475:$B$491),1),1),0,1,1))</f>
        <v>80</v>
      </c>
      <c r="Z400" s="79"/>
    </row>
    <row r="401" spans="1:26" x14ac:dyDescent="0.25">
      <c r="A401" s="4">
        <v>400</v>
      </c>
      <c r="B401" s="5" t="s">
        <v>402</v>
      </c>
      <c r="C401" s="6">
        <v>0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6">
        <v>83</v>
      </c>
      <c r="O401" s="6">
        <v>83</v>
      </c>
      <c r="P401" s="6">
        <v>85</v>
      </c>
      <c r="Q401" s="6">
        <v>85</v>
      </c>
      <c r="R401" s="6">
        <v>85</v>
      </c>
      <c r="S401" s="6">
        <v>83</v>
      </c>
      <c r="T401" s="6">
        <v>83</v>
      </c>
      <c r="U401" s="6">
        <v>80</v>
      </c>
      <c r="V401" s="6">
        <v>77</v>
      </c>
      <c r="W401" s="138">
        <v>275013.46076481527</v>
      </c>
      <c r="X401">
        <f ca="1">IF(V401=0,0,OFFSET(CreditMetrics!$B$474,MATCH(RAND(),OFFSET(CreditMetrics!$C$474,1,MATCH(BDClientes!V401,CreditMetrics!$B$475:$B$491,0),COUNT(CreditMetrics!$B$475:$B$491),1),1),0,1,1))</f>
        <v>77</v>
      </c>
      <c r="Z401" s="79"/>
    </row>
    <row r="402" spans="1:26" x14ac:dyDescent="0.25">
      <c r="A402" s="4">
        <v>401</v>
      </c>
      <c r="B402" s="5" t="s">
        <v>403</v>
      </c>
      <c r="C402" s="6">
        <v>0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83</v>
      </c>
      <c r="O402" s="6">
        <v>83</v>
      </c>
      <c r="P402" s="6">
        <v>83</v>
      </c>
      <c r="Q402" s="6">
        <v>83</v>
      </c>
      <c r="R402" s="6">
        <v>83</v>
      </c>
      <c r="S402" s="6">
        <v>83</v>
      </c>
      <c r="T402" s="6">
        <v>85</v>
      </c>
      <c r="U402" s="6">
        <v>85</v>
      </c>
      <c r="V402" s="6">
        <v>83</v>
      </c>
      <c r="W402" s="138">
        <v>145885.71408866864</v>
      </c>
      <c r="X402">
        <f ca="1">IF(V402=0,0,OFFSET(CreditMetrics!$B$474,MATCH(RAND(),OFFSET(CreditMetrics!$C$474,1,MATCH(BDClientes!V402,CreditMetrics!$B$475:$B$491,0),COUNT(CreditMetrics!$B$475:$B$491),1),1),0,1,1))</f>
        <v>83</v>
      </c>
      <c r="Z402" s="79"/>
    </row>
    <row r="403" spans="1:26" x14ac:dyDescent="0.25">
      <c r="A403" s="4">
        <v>402</v>
      </c>
      <c r="B403" s="5" t="s">
        <v>404</v>
      </c>
      <c r="C403" s="6">
        <v>0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6">
        <v>75</v>
      </c>
      <c r="O403" s="6">
        <v>75</v>
      </c>
      <c r="P403" s="6">
        <v>75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X403">
        <f ca="1">IF(V403=0,0,OFFSET(CreditMetrics!$B$474,MATCH(RAND(),OFFSET(CreditMetrics!$C$474,1,MATCH(BDClientes!V403,CreditMetrics!$B$475:$B$491,0),COUNT(CreditMetrics!$B$475:$B$491),1),1),0,1,1))</f>
        <v>0</v>
      </c>
      <c r="Z403" s="79"/>
    </row>
    <row r="404" spans="1:26" x14ac:dyDescent="0.25">
      <c r="A404" s="4">
        <v>403</v>
      </c>
      <c r="B404" s="5" t="s">
        <v>405</v>
      </c>
      <c r="C404" s="6">
        <v>0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85</v>
      </c>
      <c r="O404" s="6">
        <v>85</v>
      </c>
      <c r="P404" s="6">
        <v>85</v>
      </c>
      <c r="Q404" s="6">
        <v>85</v>
      </c>
      <c r="R404" s="6">
        <v>85</v>
      </c>
      <c r="S404" s="6">
        <v>85</v>
      </c>
      <c r="T404" s="6">
        <v>85</v>
      </c>
      <c r="U404" s="6">
        <v>85</v>
      </c>
      <c r="V404" s="6">
        <v>85</v>
      </c>
      <c r="W404" s="138">
        <v>163193.71270007518</v>
      </c>
      <c r="X404">
        <f ca="1">IF(V404=0,0,OFFSET(CreditMetrics!$B$474,MATCH(RAND(),OFFSET(CreditMetrics!$C$474,1,MATCH(BDClientes!V404,CreditMetrics!$B$475:$B$491,0),COUNT(CreditMetrics!$B$475:$B$491),1),1),0,1,1))</f>
        <v>85</v>
      </c>
      <c r="Z404" s="79"/>
    </row>
    <row r="405" spans="1:26" x14ac:dyDescent="0.25">
      <c r="A405" s="4">
        <v>404</v>
      </c>
      <c r="B405" s="5" t="s">
        <v>406</v>
      </c>
      <c r="C405" s="6">
        <v>0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6">
        <v>83</v>
      </c>
      <c r="O405" s="6">
        <v>73</v>
      </c>
      <c r="P405" s="6">
        <v>70</v>
      </c>
      <c r="Q405" s="6">
        <v>70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X405">
        <f ca="1">IF(V405=0,0,OFFSET(CreditMetrics!$B$474,MATCH(RAND(),OFFSET(CreditMetrics!$C$474,1,MATCH(BDClientes!V405,CreditMetrics!$B$475:$B$491,0),COUNT(CreditMetrics!$B$475:$B$491),1),1),0,1,1))</f>
        <v>0</v>
      </c>
      <c r="Z405" s="79"/>
    </row>
    <row r="406" spans="1:26" x14ac:dyDescent="0.25">
      <c r="A406" s="4">
        <v>405</v>
      </c>
      <c r="B406" s="5" t="s">
        <v>407</v>
      </c>
      <c r="C406" s="6">
        <v>0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85</v>
      </c>
      <c r="O406" s="6">
        <v>85</v>
      </c>
      <c r="P406" s="6">
        <v>85</v>
      </c>
      <c r="Q406" s="6">
        <v>85</v>
      </c>
      <c r="R406" s="6">
        <v>85</v>
      </c>
      <c r="S406" s="6">
        <v>85</v>
      </c>
      <c r="T406" s="6">
        <v>85</v>
      </c>
      <c r="U406" s="6">
        <v>85</v>
      </c>
      <c r="V406" s="6">
        <v>85</v>
      </c>
      <c r="W406" s="138">
        <v>314096.86431197735</v>
      </c>
      <c r="X406">
        <f ca="1">IF(V406=0,0,OFFSET(CreditMetrics!$B$474,MATCH(RAND(),OFFSET(CreditMetrics!$C$474,1,MATCH(BDClientes!V406,CreditMetrics!$B$475:$B$491,0),COUNT(CreditMetrics!$B$475:$B$491),1),1),0,1,1))</f>
        <v>85</v>
      </c>
      <c r="Z406" s="79"/>
    </row>
    <row r="407" spans="1:26" x14ac:dyDescent="0.25">
      <c r="A407" s="4">
        <v>406</v>
      </c>
      <c r="B407" s="5" t="s">
        <v>408</v>
      </c>
      <c r="C407" s="6">
        <v>0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6">
        <v>85</v>
      </c>
      <c r="O407" s="6">
        <v>85</v>
      </c>
      <c r="P407" s="6">
        <v>85</v>
      </c>
      <c r="Q407" s="6">
        <v>85</v>
      </c>
      <c r="R407" s="6">
        <v>85</v>
      </c>
      <c r="S407" s="6">
        <v>85</v>
      </c>
      <c r="T407" s="6">
        <v>85</v>
      </c>
      <c r="U407" s="6">
        <v>85</v>
      </c>
      <c r="V407" s="6">
        <v>85</v>
      </c>
      <c r="W407" s="138">
        <v>444424.50952980074</v>
      </c>
      <c r="X407">
        <f ca="1">IF(V407=0,0,OFFSET(CreditMetrics!$B$474,MATCH(RAND(),OFFSET(CreditMetrics!$C$474,1,MATCH(BDClientes!V407,CreditMetrics!$B$475:$B$491,0),COUNT(CreditMetrics!$B$475:$B$491),1),1),0,1,1))</f>
        <v>80</v>
      </c>
      <c r="Z407" s="79"/>
    </row>
    <row r="408" spans="1:26" x14ac:dyDescent="0.25">
      <c r="A408" s="4">
        <v>407</v>
      </c>
      <c r="B408" s="5" t="s">
        <v>409</v>
      </c>
      <c r="C408" s="6">
        <v>0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83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X408">
        <f ca="1">IF(V408=0,0,OFFSET(CreditMetrics!$B$474,MATCH(RAND(),OFFSET(CreditMetrics!$C$474,1,MATCH(BDClientes!V408,CreditMetrics!$B$475:$B$491,0),COUNT(CreditMetrics!$B$475:$B$491),1),1),0,1,1))</f>
        <v>0</v>
      </c>
      <c r="Z408" s="79"/>
    </row>
    <row r="409" spans="1:26" x14ac:dyDescent="0.25">
      <c r="A409" s="4">
        <v>408</v>
      </c>
      <c r="B409" s="5" t="s">
        <v>410</v>
      </c>
      <c r="C409" s="6">
        <v>0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6">
        <v>85</v>
      </c>
      <c r="O409" s="6">
        <v>85</v>
      </c>
      <c r="P409" s="6">
        <v>85</v>
      </c>
      <c r="Q409" s="6">
        <v>85</v>
      </c>
      <c r="R409" s="6">
        <v>85</v>
      </c>
      <c r="S409" s="6">
        <v>85</v>
      </c>
      <c r="T409" s="6">
        <v>85</v>
      </c>
      <c r="U409" s="6">
        <v>83</v>
      </c>
      <c r="V409" s="6">
        <v>83</v>
      </c>
      <c r="W409" s="138">
        <v>137823.42714023913</v>
      </c>
      <c r="X409">
        <f ca="1">IF(V409=0,0,OFFSET(CreditMetrics!$B$474,MATCH(RAND(),OFFSET(CreditMetrics!$C$474,1,MATCH(BDClientes!V409,CreditMetrics!$B$475:$B$491,0),COUNT(CreditMetrics!$B$475:$B$491),1),1),0,1,1))</f>
        <v>83</v>
      </c>
      <c r="Z409" s="79"/>
    </row>
    <row r="410" spans="1:26" x14ac:dyDescent="0.25">
      <c r="A410" s="4">
        <v>409</v>
      </c>
      <c r="B410" s="5" t="s">
        <v>411</v>
      </c>
      <c r="C410" s="6">
        <v>0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85</v>
      </c>
      <c r="O410" s="6">
        <v>85</v>
      </c>
      <c r="P410" s="6">
        <v>85</v>
      </c>
      <c r="Q410" s="6">
        <v>85</v>
      </c>
      <c r="R410" s="6">
        <v>87</v>
      </c>
      <c r="S410" s="6">
        <v>87</v>
      </c>
      <c r="T410" s="6">
        <v>87</v>
      </c>
      <c r="U410" s="6">
        <v>87</v>
      </c>
      <c r="V410" s="6">
        <v>87</v>
      </c>
      <c r="W410" s="138">
        <v>318939.89652042504</v>
      </c>
      <c r="X410">
        <f ca="1">IF(V410=0,0,OFFSET(CreditMetrics!$B$474,MATCH(RAND(),OFFSET(CreditMetrics!$C$474,1,MATCH(BDClientes!V410,CreditMetrics!$B$475:$B$491,0),COUNT(CreditMetrics!$B$475:$B$491),1),1),0,1,1))</f>
        <v>87</v>
      </c>
      <c r="Z410" s="79"/>
    </row>
    <row r="411" spans="1:26" x14ac:dyDescent="0.25">
      <c r="A411" s="4">
        <v>410</v>
      </c>
      <c r="B411" s="5" t="s">
        <v>412</v>
      </c>
      <c r="C411" s="6">
        <v>0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6">
        <v>77</v>
      </c>
      <c r="O411" s="6">
        <v>80</v>
      </c>
      <c r="P411" s="6">
        <v>83</v>
      </c>
      <c r="Q411" s="6">
        <v>80</v>
      </c>
      <c r="R411" s="6">
        <v>83</v>
      </c>
      <c r="S411" s="6">
        <v>83</v>
      </c>
      <c r="T411" s="6">
        <v>80</v>
      </c>
      <c r="U411" s="6">
        <v>80</v>
      </c>
      <c r="V411" s="6">
        <v>80</v>
      </c>
      <c r="W411" s="138">
        <v>352251.71010326373</v>
      </c>
      <c r="X411">
        <f ca="1">IF(V411=0,0,OFFSET(CreditMetrics!$B$474,MATCH(RAND(),OFFSET(CreditMetrics!$C$474,1,MATCH(BDClientes!V411,CreditMetrics!$B$475:$B$491,0),COUNT(CreditMetrics!$B$475:$B$491),1),1),0,1,1))</f>
        <v>75</v>
      </c>
      <c r="Z411" s="79"/>
    </row>
    <row r="412" spans="1:26" x14ac:dyDescent="0.25">
      <c r="A412" s="4">
        <v>411</v>
      </c>
      <c r="B412" s="5" t="s">
        <v>413</v>
      </c>
      <c r="C412" s="6">
        <v>0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85</v>
      </c>
      <c r="O412" s="6">
        <v>85</v>
      </c>
      <c r="P412" s="6">
        <v>85</v>
      </c>
      <c r="Q412" s="6">
        <v>85</v>
      </c>
      <c r="R412" s="6">
        <v>85</v>
      </c>
      <c r="S412" s="6">
        <v>85</v>
      </c>
      <c r="T412" s="6">
        <v>85</v>
      </c>
      <c r="U412" s="6">
        <v>83</v>
      </c>
      <c r="V412" s="6">
        <v>83</v>
      </c>
      <c r="W412" s="138">
        <v>647420.59954186389</v>
      </c>
      <c r="X412">
        <f ca="1">IF(V412=0,0,OFFSET(CreditMetrics!$B$474,MATCH(RAND(),OFFSET(CreditMetrics!$C$474,1,MATCH(BDClientes!V412,CreditMetrics!$B$475:$B$491,0),COUNT(CreditMetrics!$B$475:$B$491),1),1),0,1,1))</f>
        <v>83</v>
      </c>
      <c r="Z412" s="79"/>
    </row>
    <row r="413" spans="1:26" x14ac:dyDescent="0.25">
      <c r="A413" s="4">
        <v>412</v>
      </c>
      <c r="B413" s="5" t="s">
        <v>414</v>
      </c>
      <c r="C413" s="6">
        <v>0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6">
        <v>85</v>
      </c>
      <c r="O413" s="6">
        <v>85</v>
      </c>
      <c r="P413" s="6">
        <v>85</v>
      </c>
      <c r="Q413" s="6">
        <v>85</v>
      </c>
      <c r="R413" s="6">
        <v>85</v>
      </c>
      <c r="S413" s="6">
        <v>85</v>
      </c>
      <c r="T413" s="6">
        <v>85</v>
      </c>
      <c r="U413" s="6">
        <v>85</v>
      </c>
      <c r="V413" s="6">
        <v>85</v>
      </c>
      <c r="W413" s="138">
        <v>722051.60060496547</v>
      </c>
      <c r="X413">
        <f ca="1">IF(V413=0,0,OFFSET(CreditMetrics!$B$474,MATCH(RAND(),OFFSET(CreditMetrics!$C$474,1,MATCH(BDClientes!V413,CreditMetrics!$B$475:$B$491,0),COUNT(CreditMetrics!$B$475:$B$491),1),1),0,1,1))</f>
        <v>85</v>
      </c>
      <c r="Z413" s="79"/>
    </row>
    <row r="414" spans="1:26" x14ac:dyDescent="0.25">
      <c r="A414" s="4">
        <v>413</v>
      </c>
      <c r="B414" s="5" t="s">
        <v>415</v>
      </c>
      <c r="C414" s="6">
        <v>0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85</v>
      </c>
      <c r="O414" s="6">
        <v>85</v>
      </c>
      <c r="P414" s="6">
        <v>85</v>
      </c>
      <c r="Q414" s="6">
        <v>85</v>
      </c>
      <c r="R414" s="6">
        <v>85</v>
      </c>
      <c r="S414" s="6">
        <v>85</v>
      </c>
      <c r="T414" s="6">
        <v>85</v>
      </c>
      <c r="U414" s="6">
        <v>85</v>
      </c>
      <c r="V414" s="6">
        <v>85</v>
      </c>
      <c r="W414" s="138">
        <v>231071.5014969513</v>
      </c>
      <c r="X414">
        <f ca="1">IF(V414=0,0,OFFSET(CreditMetrics!$B$474,MATCH(RAND(),OFFSET(CreditMetrics!$C$474,1,MATCH(BDClientes!V414,CreditMetrics!$B$475:$B$491,0),COUNT(CreditMetrics!$B$475:$B$491),1),1),0,1,1))</f>
        <v>83</v>
      </c>
      <c r="Z414" s="79"/>
    </row>
    <row r="415" spans="1:26" x14ac:dyDescent="0.25">
      <c r="A415" s="4">
        <v>414</v>
      </c>
      <c r="B415" s="5" t="s">
        <v>416</v>
      </c>
      <c r="C415" s="6">
        <v>0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6">
        <v>80</v>
      </c>
      <c r="O415" s="6">
        <v>83</v>
      </c>
      <c r="P415" s="6">
        <v>85</v>
      </c>
      <c r="Q415" s="6">
        <v>83</v>
      </c>
      <c r="R415" s="6">
        <v>85</v>
      </c>
      <c r="S415" s="6">
        <v>85</v>
      </c>
      <c r="T415" s="6">
        <v>85</v>
      </c>
      <c r="U415" s="6">
        <v>85</v>
      </c>
      <c r="V415" s="6">
        <v>85</v>
      </c>
      <c r="W415" s="138">
        <v>226302.45868353522</v>
      </c>
      <c r="X415">
        <f ca="1">IF(V415=0,0,OFFSET(CreditMetrics!$B$474,MATCH(RAND(),OFFSET(CreditMetrics!$C$474,1,MATCH(BDClientes!V415,CreditMetrics!$B$475:$B$491,0),COUNT(CreditMetrics!$B$475:$B$491),1),1),0,1,1))</f>
        <v>80</v>
      </c>
      <c r="Z415" s="79"/>
    </row>
    <row r="416" spans="1:26" x14ac:dyDescent="0.25">
      <c r="A416" s="4">
        <v>415</v>
      </c>
      <c r="B416" s="5" t="s">
        <v>417</v>
      </c>
      <c r="C416" s="6">
        <v>0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83</v>
      </c>
      <c r="O416" s="6">
        <v>80</v>
      </c>
      <c r="P416" s="6">
        <v>83</v>
      </c>
      <c r="Q416" s="6">
        <v>83</v>
      </c>
      <c r="R416" s="6">
        <v>85</v>
      </c>
      <c r="S416" s="6">
        <v>85</v>
      </c>
      <c r="T416" s="6">
        <v>83</v>
      </c>
      <c r="U416" s="6">
        <v>0</v>
      </c>
      <c r="V416" s="6">
        <v>0</v>
      </c>
      <c r="X416">
        <f ca="1">IF(V416=0,0,OFFSET(CreditMetrics!$B$474,MATCH(RAND(),OFFSET(CreditMetrics!$C$474,1,MATCH(BDClientes!V416,CreditMetrics!$B$475:$B$491,0),COUNT(CreditMetrics!$B$475:$B$491),1),1),0,1,1))</f>
        <v>0</v>
      </c>
      <c r="Z416" s="79"/>
    </row>
    <row r="417" spans="1:26" x14ac:dyDescent="0.25">
      <c r="A417" s="4">
        <v>416</v>
      </c>
      <c r="B417" s="5" t="s">
        <v>418</v>
      </c>
      <c r="C417" s="6">
        <v>0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6">
        <v>77</v>
      </c>
      <c r="O417" s="6">
        <v>75</v>
      </c>
      <c r="P417" s="6">
        <v>77</v>
      </c>
      <c r="Q417" s="6">
        <v>77</v>
      </c>
      <c r="R417" s="6">
        <v>77</v>
      </c>
      <c r="S417" s="6">
        <v>77</v>
      </c>
      <c r="T417" s="6">
        <v>80</v>
      </c>
      <c r="U417" s="6">
        <v>75</v>
      </c>
      <c r="V417" s="6">
        <v>0</v>
      </c>
      <c r="X417">
        <f ca="1">IF(V417=0,0,OFFSET(CreditMetrics!$B$474,MATCH(RAND(),OFFSET(CreditMetrics!$C$474,1,MATCH(BDClientes!V417,CreditMetrics!$B$475:$B$491,0),COUNT(CreditMetrics!$B$475:$B$491),1),1),0,1,1))</f>
        <v>0</v>
      </c>
      <c r="Z417" s="79"/>
    </row>
    <row r="418" spans="1:26" x14ac:dyDescent="0.25">
      <c r="A418" s="4">
        <v>417</v>
      </c>
      <c r="B418" s="5" t="s">
        <v>419</v>
      </c>
      <c r="C418" s="6">
        <v>0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85</v>
      </c>
      <c r="O418" s="6">
        <v>85</v>
      </c>
      <c r="P418" s="6">
        <v>85</v>
      </c>
      <c r="Q418" s="6">
        <v>85</v>
      </c>
      <c r="R418" s="6">
        <v>85</v>
      </c>
      <c r="S418" s="6">
        <v>85</v>
      </c>
      <c r="T418" s="6">
        <v>85</v>
      </c>
      <c r="U418" s="6">
        <v>85</v>
      </c>
      <c r="V418" s="6">
        <v>85</v>
      </c>
      <c r="W418" s="138">
        <v>449780.72847551596</v>
      </c>
      <c r="X418">
        <f ca="1">IF(V418=0,0,OFFSET(CreditMetrics!$B$474,MATCH(RAND(),OFFSET(CreditMetrics!$C$474,1,MATCH(BDClientes!V418,CreditMetrics!$B$475:$B$491,0),COUNT(CreditMetrics!$B$475:$B$491),1),1),0,1,1))</f>
        <v>85</v>
      </c>
      <c r="Z418" s="79"/>
    </row>
    <row r="419" spans="1:26" x14ac:dyDescent="0.25">
      <c r="A419" s="4">
        <v>418</v>
      </c>
      <c r="B419" s="5" t="s">
        <v>420</v>
      </c>
      <c r="C419" s="6">
        <v>0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6">
        <v>85</v>
      </c>
      <c r="O419" s="6">
        <v>85</v>
      </c>
      <c r="P419" s="6">
        <v>85</v>
      </c>
      <c r="Q419" s="6">
        <v>85</v>
      </c>
      <c r="R419" s="6">
        <v>85</v>
      </c>
      <c r="S419" s="6">
        <v>85</v>
      </c>
      <c r="T419" s="6">
        <v>85</v>
      </c>
      <c r="U419" s="6">
        <v>85</v>
      </c>
      <c r="V419" s="6">
        <v>85</v>
      </c>
      <c r="W419" s="138">
        <v>318988.25463239511</v>
      </c>
      <c r="X419">
        <f ca="1">IF(V419=0,0,OFFSET(CreditMetrics!$B$474,MATCH(RAND(),OFFSET(CreditMetrics!$C$474,1,MATCH(BDClientes!V419,CreditMetrics!$B$475:$B$491,0),COUNT(CreditMetrics!$B$475:$B$491),1),1),0,1,1))</f>
        <v>77</v>
      </c>
      <c r="Z419" s="79"/>
    </row>
    <row r="420" spans="1:26" x14ac:dyDescent="0.25">
      <c r="A420" s="4">
        <v>419</v>
      </c>
      <c r="B420" s="5" t="s">
        <v>421</v>
      </c>
      <c r="C420" s="6">
        <v>0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80</v>
      </c>
      <c r="O420" s="6">
        <v>83</v>
      </c>
      <c r="P420" s="6">
        <v>0</v>
      </c>
      <c r="Q420" s="6">
        <v>85</v>
      </c>
      <c r="R420" s="6">
        <v>85</v>
      </c>
      <c r="S420" s="6">
        <v>83</v>
      </c>
      <c r="T420" s="6">
        <v>0</v>
      </c>
      <c r="U420" s="6">
        <v>0</v>
      </c>
      <c r="V420" s="6">
        <v>80</v>
      </c>
      <c r="W420" s="138">
        <v>1421788.9016984415</v>
      </c>
      <c r="X420">
        <f ca="1">IF(V420=0,0,OFFSET(CreditMetrics!$B$474,MATCH(RAND(),OFFSET(CreditMetrics!$C$474,1,MATCH(BDClientes!V420,CreditMetrics!$B$475:$B$491,0),COUNT(CreditMetrics!$B$475:$B$491),1),1),0,1,1))</f>
        <v>70</v>
      </c>
      <c r="Z420" s="79"/>
    </row>
    <row r="421" spans="1:26" x14ac:dyDescent="0.25">
      <c r="A421" s="4">
        <v>420</v>
      </c>
      <c r="B421" s="5" t="s">
        <v>422</v>
      </c>
      <c r="C421" s="6">
        <v>65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6">
        <v>0</v>
      </c>
      <c r="O421" s="6"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X421">
        <f ca="1">IF(V421=0,0,OFFSET(CreditMetrics!$B$474,MATCH(RAND(),OFFSET(CreditMetrics!$C$474,1,MATCH(BDClientes!V421,CreditMetrics!$B$475:$B$491,0),COUNT(CreditMetrics!$B$475:$B$491),1),1),0,1,1))</f>
        <v>0</v>
      </c>
      <c r="Z421" s="79"/>
    </row>
    <row r="422" spans="1:26" x14ac:dyDescent="0.25">
      <c r="A422" s="4">
        <v>421</v>
      </c>
      <c r="B422" s="5" t="s">
        <v>423</v>
      </c>
      <c r="C422" s="6">
        <v>83</v>
      </c>
      <c r="D422" s="6">
        <v>85</v>
      </c>
      <c r="E422" s="6">
        <v>75</v>
      </c>
      <c r="F422" s="6">
        <v>75</v>
      </c>
      <c r="G422" s="6">
        <v>75</v>
      </c>
      <c r="H422" s="6">
        <v>75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X422">
        <f ca="1">IF(V422=0,0,OFFSET(CreditMetrics!$B$474,MATCH(RAND(),OFFSET(CreditMetrics!$C$474,1,MATCH(BDClientes!V422,CreditMetrics!$B$475:$B$491,0),COUNT(CreditMetrics!$B$475:$B$491),1),1),0,1,1))</f>
        <v>0</v>
      </c>
      <c r="Z422" s="79"/>
    </row>
    <row r="423" spans="1:26" x14ac:dyDescent="0.25">
      <c r="A423" s="4">
        <v>422</v>
      </c>
      <c r="B423" s="5" t="s">
        <v>424</v>
      </c>
      <c r="C423" s="6">
        <v>85</v>
      </c>
      <c r="D423" s="6">
        <v>87</v>
      </c>
      <c r="E423" s="6">
        <v>87</v>
      </c>
      <c r="F423" s="6">
        <v>87</v>
      </c>
      <c r="G423" s="6">
        <v>87</v>
      </c>
      <c r="H423" s="6">
        <v>87</v>
      </c>
      <c r="I423" s="6">
        <v>90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X423">
        <f ca="1">IF(V423=0,0,OFFSET(CreditMetrics!$B$474,MATCH(RAND(),OFFSET(CreditMetrics!$C$474,1,MATCH(BDClientes!V423,CreditMetrics!$B$475:$B$491,0),COUNT(CreditMetrics!$B$475:$B$491),1),1),0,1,1))</f>
        <v>0</v>
      </c>
      <c r="Z423" s="79"/>
    </row>
    <row r="424" spans="1:26" x14ac:dyDescent="0.25">
      <c r="A424" s="4">
        <v>423</v>
      </c>
      <c r="B424" s="5" t="s">
        <v>425</v>
      </c>
      <c r="C424" s="6">
        <v>87</v>
      </c>
      <c r="D424" s="6">
        <v>85</v>
      </c>
      <c r="E424" s="6">
        <v>75</v>
      </c>
      <c r="F424" s="6">
        <v>75</v>
      </c>
      <c r="G424" s="6">
        <v>75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X424">
        <f ca="1">IF(V424=0,0,OFFSET(CreditMetrics!$B$474,MATCH(RAND(),OFFSET(CreditMetrics!$C$474,1,MATCH(BDClientes!V424,CreditMetrics!$B$475:$B$491,0),COUNT(CreditMetrics!$B$475:$B$491),1),1),0,1,1))</f>
        <v>0</v>
      </c>
      <c r="Z424" s="79"/>
    </row>
    <row r="425" spans="1:26" x14ac:dyDescent="0.25">
      <c r="A425" s="4">
        <v>424</v>
      </c>
      <c r="B425" s="5" t="s">
        <v>426</v>
      </c>
      <c r="C425" s="6">
        <v>85</v>
      </c>
      <c r="D425" s="6">
        <v>85</v>
      </c>
      <c r="E425" s="6">
        <v>85</v>
      </c>
      <c r="F425" s="6">
        <v>85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6">
        <v>0</v>
      </c>
      <c r="O425" s="6"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X425">
        <f ca="1">IF(V425=0,0,OFFSET(CreditMetrics!$B$474,MATCH(RAND(),OFFSET(CreditMetrics!$C$474,1,MATCH(BDClientes!V425,CreditMetrics!$B$475:$B$491,0),COUNT(CreditMetrics!$B$475:$B$491),1),1),0,1,1))</f>
        <v>0</v>
      </c>
      <c r="Z425" s="79"/>
    </row>
    <row r="426" spans="1:26" x14ac:dyDescent="0.25">
      <c r="A426" s="4">
        <v>425</v>
      </c>
      <c r="B426" s="5" t="s">
        <v>427</v>
      </c>
      <c r="C426" s="6">
        <v>77</v>
      </c>
      <c r="D426" s="6">
        <v>80</v>
      </c>
      <c r="E426" s="6">
        <v>77</v>
      </c>
      <c r="F426" s="6">
        <v>77</v>
      </c>
      <c r="G426" s="6">
        <v>77</v>
      </c>
      <c r="H426" s="6">
        <v>80</v>
      </c>
      <c r="I426" s="6">
        <v>80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X426">
        <f ca="1">IF(V426=0,0,OFFSET(CreditMetrics!$B$474,MATCH(RAND(),OFFSET(CreditMetrics!$C$474,1,MATCH(BDClientes!V426,CreditMetrics!$B$475:$B$491,0),COUNT(CreditMetrics!$B$475:$B$491),1),1),0,1,1))</f>
        <v>0</v>
      </c>
      <c r="Z426" s="79"/>
    </row>
    <row r="427" spans="1:26" x14ac:dyDescent="0.25">
      <c r="A427" s="4">
        <v>426</v>
      </c>
      <c r="B427" s="5" t="s">
        <v>428</v>
      </c>
      <c r="C427" s="6">
        <v>90</v>
      </c>
      <c r="D427" s="6">
        <v>85</v>
      </c>
      <c r="E427" s="6">
        <v>85</v>
      </c>
      <c r="F427" s="6">
        <v>85</v>
      </c>
      <c r="G427" s="6">
        <v>85</v>
      </c>
      <c r="H427" s="6">
        <v>83</v>
      </c>
      <c r="I427" s="6">
        <v>83</v>
      </c>
      <c r="J427" s="6">
        <v>0</v>
      </c>
      <c r="K427" s="6">
        <v>0</v>
      </c>
      <c r="L427" s="6">
        <v>0</v>
      </c>
      <c r="M427" s="6">
        <v>0</v>
      </c>
      <c r="N427" s="6">
        <v>0</v>
      </c>
      <c r="O427" s="6"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X427">
        <f ca="1">IF(V427=0,0,OFFSET(CreditMetrics!$B$474,MATCH(RAND(),OFFSET(CreditMetrics!$C$474,1,MATCH(BDClientes!V427,CreditMetrics!$B$475:$B$491,0),COUNT(CreditMetrics!$B$475:$B$491),1),1),0,1,1))</f>
        <v>0</v>
      </c>
      <c r="Z427" s="79"/>
    </row>
    <row r="428" spans="1:26" x14ac:dyDescent="0.25">
      <c r="A428" s="4">
        <v>427</v>
      </c>
      <c r="B428" s="5" t="s">
        <v>429</v>
      </c>
      <c r="C428" s="6">
        <v>83</v>
      </c>
      <c r="D428" s="6">
        <v>83</v>
      </c>
      <c r="E428" s="6">
        <v>80</v>
      </c>
      <c r="F428" s="6">
        <v>80</v>
      </c>
      <c r="G428" s="6">
        <v>83</v>
      </c>
      <c r="H428" s="6">
        <v>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X428">
        <f ca="1">IF(V428=0,0,OFFSET(CreditMetrics!$B$474,MATCH(RAND(),OFFSET(CreditMetrics!$C$474,1,MATCH(BDClientes!V428,CreditMetrics!$B$475:$B$491,0),COUNT(CreditMetrics!$B$475:$B$491),1),1),0,1,1))</f>
        <v>0</v>
      </c>
      <c r="Z428" s="79"/>
    </row>
    <row r="429" spans="1:26" x14ac:dyDescent="0.25">
      <c r="A429" s="4">
        <v>428</v>
      </c>
      <c r="B429" s="5" t="s">
        <v>430</v>
      </c>
      <c r="C429" s="6">
        <v>40</v>
      </c>
      <c r="D429" s="6">
        <v>65</v>
      </c>
      <c r="E429" s="6">
        <v>60</v>
      </c>
      <c r="F429" s="6">
        <v>65</v>
      </c>
      <c r="G429" s="6">
        <v>75</v>
      </c>
      <c r="H429" s="6">
        <v>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6">
        <v>0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X429">
        <f ca="1">IF(V429=0,0,OFFSET(CreditMetrics!$B$474,MATCH(RAND(),OFFSET(CreditMetrics!$C$474,1,MATCH(BDClientes!V429,CreditMetrics!$B$475:$B$491,0),COUNT(CreditMetrics!$B$475:$B$491),1),1),0,1,1))</f>
        <v>0</v>
      </c>
      <c r="Z429" s="79"/>
    </row>
    <row r="430" spans="1:26" x14ac:dyDescent="0.25">
      <c r="A430" s="4">
        <v>429</v>
      </c>
      <c r="B430" s="5" t="s">
        <v>431</v>
      </c>
      <c r="C430" s="6">
        <v>0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85</v>
      </c>
      <c r="K430" s="6">
        <v>85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X430">
        <f ca="1">IF(V430=0,0,OFFSET(CreditMetrics!$B$474,MATCH(RAND(),OFFSET(CreditMetrics!$C$474,1,MATCH(BDClientes!V430,CreditMetrics!$B$475:$B$491,0),COUNT(CreditMetrics!$B$475:$B$491),1),1),0,1,1))</f>
        <v>0</v>
      </c>
      <c r="Z430" s="79"/>
    </row>
    <row r="431" spans="1:26" x14ac:dyDescent="0.25">
      <c r="A431" s="4">
        <v>430</v>
      </c>
      <c r="B431" s="5" t="s">
        <v>432</v>
      </c>
      <c r="C431" s="6">
        <v>83</v>
      </c>
      <c r="D431" s="6">
        <v>85</v>
      </c>
      <c r="E431" s="6">
        <v>83</v>
      </c>
      <c r="F431" s="6">
        <v>83</v>
      </c>
      <c r="G431" s="6">
        <v>83</v>
      </c>
      <c r="H431" s="6">
        <v>83</v>
      </c>
      <c r="I431" s="6">
        <v>83</v>
      </c>
      <c r="J431" s="6">
        <v>80</v>
      </c>
      <c r="K431" s="6">
        <v>80</v>
      </c>
      <c r="L431" s="6">
        <v>85</v>
      </c>
      <c r="M431" s="6">
        <v>83</v>
      </c>
      <c r="N431" s="6">
        <v>83</v>
      </c>
      <c r="O431" s="6">
        <v>80</v>
      </c>
      <c r="P431" s="6">
        <v>80</v>
      </c>
      <c r="Q431" s="6">
        <v>83</v>
      </c>
      <c r="R431" s="6">
        <v>83</v>
      </c>
      <c r="S431" s="6">
        <v>85</v>
      </c>
      <c r="T431" s="6">
        <v>85</v>
      </c>
      <c r="U431" s="6">
        <v>85</v>
      </c>
      <c r="V431" s="6">
        <v>85</v>
      </c>
      <c r="W431" s="138">
        <v>207027.33995989521</v>
      </c>
      <c r="X431">
        <f ca="1">IF(V431=0,0,OFFSET(CreditMetrics!$B$474,MATCH(RAND(),OFFSET(CreditMetrics!$C$474,1,MATCH(BDClientes!V431,CreditMetrics!$B$475:$B$491,0),COUNT(CreditMetrics!$B$475:$B$491),1),1),0,1,1))</f>
        <v>83</v>
      </c>
      <c r="Z431" s="79"/>
    </row>
    <row r="432" spans="1:26" x14ac:dyDescent="0.25">
      <c r="A432" s="4">
        <v>431</v>
      </c>
      <c r="B432" s="5" t="s">
        <v>433</v>
      </c>
      <c r="C432" s="6">
        <v>87</v>
      </c>
      <c r="D432" s="6">
        <v>85</v>
      </c>
      <c r="E432" s="6">
        <v>83</v>
      </c>
      <c r="F432" s="6">
        <v>83</v>
      </c>
      <c r="G432" s="6">
        <v>80</v>
      </c>
      <c r="H432" s="6">
        <v>83</v>
      </c>
      <c r="I432" s="6">
        <v>83</v>
      </c>
      <c r="J432" s="6">
        <v>0</v>
      </c>
      <c r="K432" s="6">
        <v>83</v>
      </c>
      <c r="L432" s="6">
        <v>80</v>
      </c>
      <c r="M432" s="6">
        <v>80</v>
      </c>
      <c r="N432" s="6">
        <v>80</v>
      </c>
      <c r="O432" s="6">
        <v>75</v>
      </c>
      <c r="P432" s="6">
        <v>0</v>
      </c>
      <c r="Q432" s="6">
        <v>0</v>
      </c>
      <c r="R432" s="6">
        <v>80</v>
      </c>
      <c r="S432" s="6">
        <v>77</v>
      </c>
      <c r="T432" s="6">
        <v>77</v>
      </c>
      <c r="U432" s="6">
        <v>77</v>
      </c>
      <c r="V432" s="6">
        <v>77</v>
      </c>
      <c r="W432" s="138">
        <v>116878.3940199864</v>
      </c>
      <c r="X432">
        <f ca="1">IF(V432=0,0,OFFSET(CreditMetrics!$B$474,MATCH(RAND(),OFFSET(CreditMetrics!$C$474,1,MATCH(BDClientes!V432,CreditMetrics!$B$475:$B$491,0),COUNT(CreditMetrics!$B$475:$B$491),1),1),0,1,1))</f>
        <v>75</v>
      </c>
      <c r="Z432" s="79"/>
    </row>
    <row r="433" spans="1:54" x14ac:dyDescent="0.25">
      <c r="A433" s="4">
        <v>432</v>
      </c>
      <c r="B433" s="5" t="s">
        <v>434</v>
      </c>
      <c r="C433" s="6">
        <v>22</v>
      </c>
      <c r="D433" s="6">
        <v>22</v>
      </c>
      <c r="E433" s="6">
        <v>22</v>
      </c>
      <c r="F433" s="6">
        <v>22</v>
      </c>
      <c r="G433" s="6">
        <v>22</v>
      </c>
      <c r="H433" s="6">
        <v>22</v>
      </c>
      <c r="I433" s="6">
        <v>22</v>
      </c>
      <c r="J433" s="6">
        <v>22</v>
      </c>
      <c r="K433" s="6">
        <v>22</v>
      </c>
      <c r="L433" s="6">
        <v>22</v>
      </c>
      <c r="M433" s="6">
        <v>22</v>
      </c>
      <c r="N433" s="6">
        <v>22</v>
      </c>
      <c r="O433" s="6">
        <v>22</v>
      </c>
      <c r="P433" s="6">
        <v>22</v>
      </c>
      <c r="Q433" s="6">
        <v>22</v>
      </c>
      <c r="R433" s="6">
        <v>22</v>
      </c>
      <c r="S433" s="6">
        <v>22</v>
      </c>
      <c r="T433" s="6">
        <v>22</v>
      </c>
      <c r="U433" s="6">
        <v>22</v>
      </c>
      <c r="V433" s="6">
        <v>22</v>
      </c>
      <c r="W433" s="138">
        <v>408015.91243388399</v>
      </c>
      <c r="X433">
        <f ca="1">IF(V433=0,0,OFFSET(CreditMetrics!$B$474,MATCH(RAND(),OFFSET(CreditMetrics!$C$474,1,MATCH(BDClientes!V433,CreditMetrics!$B$475:$B$491,0),COUNT(CreditMetrics!$B$475:$B$491),1),1),0,1,1))</f>
        <v>22</v>
      </c>
      <c r="Z433" s="79"/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54" x14ac:dyDescent="0.25">
      <c r="A434" s="4">
        <v>433</v>
      </c>
      <c r="B434" s="5" t="s">
        <v>435</v>
      </c>
      <c r="C434" s="6">
        <v>75</v>
      </c>
      <c r="D434" s="6">
        <v>75</v>
      </c>
      <c r="E434" s="6">
        <v>77</v>
      </c>
      <c r="F434" s="6">
        <v>77</v>
      </c>
      <c r="G434" s="6">
        <v>80</v>
      </c>
      <c r="H434" s="6">
        <v>85</v>
      </c>
      <c r="I434" s="6">
        <v>80</v>
      </c>
      <c r="J434" s="6">
        <v>0</v>
      </c>
      <c r="K434" s="6">
        <v>85</v>
      </c>
      <c r="L434" s="6">
        <v>80</v>
      </c>
      <c r="M434" s="6">
        <v>73</v>
      </c>
      <c r="N434" s="6">
        <v>73</v>
      </c>
      <c r="O434" s="6">
        <v>65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X434">
        <f ca="1">IF(V434=0,0,OFFSET(CreditMetrics!$B$474,MATCH(RAND(),OFFSET(CreditMetrics!$C$474,1,MATCH(BDClientes!V434,CreditMetrics!$B$475:$B$491,0),COUNT(CreditMetrics!$B$475:$B$491),1),1),0,1,1))</f>
        <v>0</v>
      </c>
      <c r="Z434" s="79"/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54" x14ac:dyDescent="0.25">
      <c r="A435" s="4">
        <v>434</v>
      </c>
      <c r="B435" s="5" t="s">
        <v>436</v>
      </c>
      <c r="C435" s="6">
        <v>0</v>
      </c>
      <c r="D435" s="6">
        <v>70</v>
      </c>
      <c r="E435" s="6">
        <v>70</v>
      </c>
      <c r="F435" s="6">
        <v>70</v>
      </c>
      <c r="G435" s="6">
        <v>70</v>
      </c>
      <c r="H435" s="6">
        <v>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X435">
        <f ca="1">IF(V435=0,0,OFFSET(CreditMetrics!$B$474,MATCH(RAND(),OFFSET(CreditMetrics!$C$474,1,MATCH(BDClientes!V435,CreditMetrics!$B$475:$B$491,0),COUNT(CreditMetrics!$B$475:$B$491),1),1),0,1,1))</f>
        <v>0</v>
      </c>
      <c r="Z435" s="79"/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1:54" x14ac:dyDescent="0.25">
      <c r="A436" s="4">
        <v>435</v>
      </c>
      <c r="B436" s="5" t="s">
        <v>437</v>
      </c>
      <c r="C436" s="6">
        <v>70</v>
      </c>
      <c r="D436" s="6">
        <v>70</v>
      </c>
      <c r="E436" s="6">
        <v>40</v>
      </c>
      <c r="F436" s="6">
        <v>40</v>
      </c>
      <c r="G436" s="6">
        <v>65</v>
      </c>
      <c r="H436" s="6">
        <v>65</v>
      </c>
      <c r="I436" s="6">
        <v>65</v>
      </c>
      <c r="J436" s="6">
        <v>65</v>
      </c>
      <c r="K436" s="6">
        <v>65</v>
      </c>
      <c r="L436" s="6">
        <v>65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X436">
        <f ca="1">IF(V436=0,0,OFFSET(CreditMetrics!$B$474,MATCH(RAND(),OFFSET(CreditMetrics!$C$474,1,MATCH(BDClientes!V436,CreditMetrics!$B$475:$B$491,0),COUNT(CreditMetrics!$B$475:$B$491),1),1),0,1,1))</f>
        <v>0</v>
      </c>
      <c r="Z436" s="79"/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1:54" x14ac:dyDescent="0.25">
      <c r="A437" s="4">
        <v>436</v>
      </c>
      <c r="B437" s="5" t="s">
        <v>438</v>
      </c>
      <c r="C437" s="6">
        <v>83</v>
      </c>
      <c r="D437" s="6">
        <v>75</v>
      </c>
      <c r="E437" s="6">
        <v>75</v>
      </c>
      <c r="F437" s="6">
        <v>75</v>
      </c>
      <c r="G437" s="6">
        <v>77</v>
      </c>
      <c r="H437" s="6">
        <v>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6">
        <v>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X437">
        <f ca="1">IF(V437=0,0,OFFSET(CreditMetrics!$B$474,MATCH(RAND(),OFFSET(CreditMetrics!$C$474,1,MATCH(BDClientes!V437,CreditMetrics!$B$475:$B$491,0),COUNT(CreditMetrics!$B$475:$B$491),1),1),0,1,1))</f>
        <v>0</v>
      </c>
      <c r="Z437" s="79"/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1:54" x14ac:dyDescent="0.25">
      <c r="A438" s="4">
        <v>437</v>
      </c>
      <c r="B438" s="5" t="s">
        <v>439</v>
      </c>
      <c r="C438" s="6">
        <v>85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X438">
        <f ca="1">IF(V438=0,0,OFFSET(CreditMetrics!$B$474,MATCH(RAND(),OFFSET(CreditMetrics!$C$474,1,MATCH(BDClientes!V438,CreditMetrics!$B$475:$B$491,0),COUNT(CreditMetrics!$B$475:$B$491),1),1),0,1,1))</f>
        <v>0</v>
      </c>
      <c r="Z438" s="79"/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1:54" x14ac:dyDescent="0.25">
      <c r="A439" s="4">
        <v>438</v>
      </c>
      <c r="B439" s="5" t="s">
        <v>440</v>
      </c>
      <c r="C439" s="6">
        <v>0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85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X439">
        <f ca="1">IF(V439=0,0,OFFSET(CreditMetrics!$B$474,MATCH(RAND(),OFFSET(CreditMetrics!$C$474,1,MATCH(BDClientes!V439,CreditMetrics!$B$475:$B$491,0),COUNT(CreditMetrics!$B$475:$B$491),1),1),0,1,1))</f>
        <v>0</v>
      </c>
      <c r="Z439" s="79"/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1:54" x14ac:dyDescent="0.25">
      <c r="A440" s="4">
        <v>439</v>
      </c>
      <c r="B440" s="5" t="s">
        <v>441</v>
      </c>
      <c r="C440" s="6">
        <v>83</v>
      </c>
      <c r="D440" s="6">
        <v>83</v>
      </c>
      <c r="E440" s="6">
        <v>80</v>
      </c>
      <c r="F440" s="6">
        <v>0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X440">
        <f ca="1">IF(V440=0,0,OFFSET(CreditMetrics!$B$474,MATCH(RAND(),OFFSET(CreditMetrics!$C$474,1,MATCH(BDClientes!V440,CreditMetrics!$B$475:$B$491,0),COUNT(CreditMetrics!$B$475:$B$491),1),1),0,1,1))</f>
        <v>0</v>
      </c>
      <c r="Z440" s="79"/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1:54" x14ac:dyDescent="0.25">
      <c r="A441" s="4">
        <v>440</v>
      </c>
      <c r="B441" s="5" t="s">
        <v>442</v>
      </c>
      <c r="C441" s="6">
        <v>87</v>
      </c>
      <c r="D441" s="6">
        <v>87</v>
      </c>
      <c r="E441" s="6">
        <v>80</v>
      </c>
      <c r="F441" s="6">
        <v>80</v>
      </c>
      <c r="G441" s="6">
        <v>0</v>
      </c>
      <c r="H441" s="6">
        <v>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X441">
        <f ca="1">IF(V441=0,0,OFFSET(CreditMetrics!$B$474,MATCH(RAND(),OFFSET(CreditMetrics!$C$474,1,MATCH(BDClientes!V441,CreditMetrics!$B$475:$B$491,0),COUNT(CreditMetrics!$B$475:$B$491),1),1),0,1,1))</f>
        <v>0</v>
      </c>
      <c r="Z441" s="79"/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1:54" x14ac:dyDescent="0.25">
      <c r="A442" s="4">
        <v>441</v>
      </c>
      <c r="B442" s="5" t="s">
        <v>443</v>
      </c>
      <c r="C442" s="6">
        <v>65</v>
      </c>
      <c r="D442" s="6">
        <v>73</v>
      </c>
      <c r="E442" s="6">
        <v>73</v>
      </c>
      <c r="F442" s="6">
        <v>73</v>
      </c>
      <c r="G442" s="6">
        <v>75</v>
      </c>
      <c r="H442" s="6">
        <v>73</v>
      </c>
      <c r="I442" s="6">
        <v>73</v>
      </c>
      <c r="J442" s="6">
        <v>73</v>
      </c>
      <c r="K442" s="6">
        <v>70</v>
      </c>
      <c r="L442" s="6">
        <v>65</v>
      </c>
      <c r="M442" s="6">
        <v>65</v>
      </c>
      <c r="N442" s="6">
        <v>60</v>
      </c>
      <c r="O442" s="6">
        <v>60</v>
      </c>
      <c r="P442" s="6">
        <v>70</v>
      </c>
      <c r="Q442" s="6">
        <v>65</v>
      </c>
      <c r="R442" s="6">
        <v>22</v>
      </c>
      <c r="S442" s="6">
        <v>22</v>
      </c>
      <c r="T442" s="6">
        <v>22</v>
      </c>
      <c r="U442" s="6">
        <v>22</v>
      </c>
      <c r="V442" s="6">
        <v>22</v>
      </c>
      <c r="W442" s="138">
        <v>1043299.5869952884</v>
      </c>
      <c r="X442">
        <f ca="1">IF(V442=0,0,OFFSET(CreditMetrics!$B$474,MATCH(RAND(),OFFSET(CreditMetrics!$C$474,1,MATCH(BDClientes!V442,CreditMetrics!$B$475:$B$491,0),COUNT(CreditMetrics!$B$475:$B$491),1),1),0,1,1))</f>
        <v>22</v>
      </c>
      <c r="Z442" s="79"/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1:54" x14ac:dyDescent="0.25">
      <c r="A443" s="4">
        <v>442</v>
      </c>
      <c r="B443" s="5" t="s">
        <v>444</v>
      </c>
      <c r="C443" s="6">
        <v>0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0</v>
      </c>
      <c r="K443" s="6">
        <v>0</v>
      </c>
      <c r="L443" s="6">
        <v>65</v>
      </c>
      <c r="M443" s="6">
        <v>73</v>
      </c>
      <c r="N443" s="6">
        <v>73</v>
      </c>
      <c r="O443" s="6">
        <v>73</v>
      </c>
      <c r="P443" s="6">
        <v>75</v>
      </c>
      <c r="Q443" s="6">
        <v>73</v>
      </c>
      <c r="R443" s="6">
        <v>73</v>
      </c>
      <c r="S443" s="6">
        <v>75</v>
      </c>
      <c r="T443" s="6">
        <v>0</v>
      </c>
      <c r="U443" s="6">
        <v>0</v>
      </c>
      <c r="V443" s="6">
        <v>0</v>
      </c>
      <c r="X443">
        <f ca="1">IF(V443=0,0,OFFSET(CreditMetrics!$B$474,MATCH(RAND(),OFFSET(CreditMetrics!$C$474,1,MATCH(BDClientes!V443,CreditMetrics!$B$475:$B$491,0),COUNT(CreditMetrics!$B$475:$B$491),1),1),0,1,1))</f>
        <v>0</v>
      </c>
      <c r="Z443" s="79"/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1:54" x14ac:dyDescent="0.25">
      <c r="A444" s="4">
        <v>443</v>
      </c>
      <c r="B444" s="5" t="s">
        <v>445</v>
      </c>
      <c r="C444" s="6">
        <v>0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75</v>
      </c>
      <c r="M444" s="6">
        <v>73</v>
      </c>
      <c r="N444" s="6">
        <v>0</v>
      </c>
      <c r="O444" s="6">
        <v>80</v>
      </c>
      <c r="P444" s="6">
        <v>80</v>
      </c>
      <c r="Q444" s="6">
        <v>0</v>
      </c>
      <c r="R444" s="6">
        <v>80</v>
      </c>
      <c r="S444" s="6">
        <v>83</v>
      </c>
      <c r="T444" s="6">
        <v>80</v>
      </c>
      <c r="U444" s="6">
        <v>77</v>
      </c>
      <c r="V444" s="6">
        <v>77</v>
      </c>
      <c r="W444" s="138">
        <v>291867.90064153908</v>
      </c>
      <c r="X444">
        <f ca="1">IF(V444=0,0,OFFSET(CreditMetrics!$B$474,MATCH(RAND(),OFFSET(CreditMetrics!$C$474,1,MATCH(BDClientes!V444,CreditMetrics!$B$475:$B$491,0),COUNT(CreditMetrics!$B$475:$B$491),1),1),0,1,1))</f>
        <v>85</v>
      </c>
      <c r="Z444" s="79"/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1:54" x14ac:dyDescent="0.25">
      <c r="A445" s="4">
        <v>444</v>
      </c>
      <c r="B445" s="5" t="s">
        <v>446</v>
      </c>
      <c r="C445" s="6">
        <v>80</v>
      </c>
      <c r="D445" s="6">
        <v>70</v>
      </c>
      <c r="E445" s="6">
        <v>65</v>
      </c>
      <c r="F445" s="6">
        <v>65</v>
      </c>
      <c r="G445" s="6">
        <v>70</v>
      </c>
      <c r="H445" s="6">
        <v>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6">
        <v>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X445">
        <f ca="1">IF(V445=0,0,OFFSET(CreditMetrics!$B$474,MATCH(RAND(),OFFSET(CreditMetrics!$C$474,1,MATCH(BDClientes!V445,CreditMetrics!$B$475:$B$491,0),COUNT(CreditMetrics!$B$475:$B$491),1),1),0,1,1))</f>
        <v>0</v>
      </c>
      <c r="Z445" s="79"/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1:54" x14ac:dyDescent="0.25">
      <c r="A446" s="4">
        <v>445</v>
      </c>
      <c r="B446" s="5" t="s">
        <v>447</v>
      </c>
      <c r="C446" s="6">
        <v>87</v>
      </c>
      <c r="D446" s="6">
        <v>87</v>
      </c>
      <c r="E446" s="6">
        <v>0</v>
      </c>
      <c r="F446" s="6">
        <v>80</v>
      </c>
      <c r="G446" s="6">
        <v>80</v>
      </c>
      <c r="H446" s="6">
        <v>80</v>
      </c>
      <c r="I446" s="6">
        <v>77</v>
      </c>
      <c r="J446" s="6">
        <v>77</v>
      </c>
      <c r="K446" s="6">
        <v>80</v>
      </c>
      <c r="L446" s="6">
        <v>80</v>
      </c>
      <c r="M446" s="6">
        <v>80</v>
      </c>
      <c r="N446" s="6">
        <v>80</v>
      </c>
      <c r="O446" s="6">
        <v>65</v>
      </c>
      <c r="P446" s="6">
        <v>70</v>
      </c>
      <c r="Q446" s="6">
        <v>70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X446">
        <f ca="1">IF(V446=0,0,OFFSET(CreditMetrics!$B$474,MATCH(RAND(),OFFSET(CreditMetrics!$C$474,1,MATCH(BDClientes!V446,CreditMetrics!$B$475:$B$491,0),COUNT(CreditMetrics!$B$475:$B$491),1),1),0,1,1))</f>
        <v>0</v>
      </c>
      <c r="Z446" s="79"/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1:54" x14ac:dyDescent="0.25">
      <c r="A447" s="4">
        <v>446</v>
      </c>
      <c r="B447" s="5" t="s">
        <v>448</v>
      </c>
      <c r="C447" s="6">
        <v>0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0</v>
      </c>
      <c r="K447" s="6">
        <v>0</v>
      </c>
      <c r="L447" s="6">
        <v>80</v>
      </c>
      <c r="M447" s="6">
        <v>80</v>
      </c>
      <c r="N447" s="6">
        <v>80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80</v>
      </c>
      <c r="V447" s="6">
        <v>0</v>
      </c>
      <c r="X447">
        <f ca="1">IF(V447=0,0,OFFSET(CreditMetrics!$B$474,MATCH(RAND(),OFFSET(CreditMetrics!$C$474,1,MATCH(BDClientes!V447,CreditMetrics!$B$475:$B$491,0),COUNT(CreditMetrics!$B$475:$B$491),1),1),0,1,1))</f>
        <v>0</v>
      </c>
      <c r="Z447" s="79"/>
      <c r="AP447">
        <v>0</v>
      </c>
    </row>
    <row r="448" spans="1:54" x14ac:dyDescent="0.25">
      <c r="A448" s="4">
        <v>447</v>
      </c>
      <c r="B448" s="5" t="s">
        <v>449</v>
      </c>
      <c r="C448" s="6">
        <v>83</v>
      </c>
      <c r="D448" s="6">
        <v>83</v>
      </c>
      <c r="E448" s="6">
        <v>83</v>
      </c>
      <c r="F448" s="6">
        <v>83</v>
      </c>
      <c r="G448" s="6">
        <v>85</v>
      </c>
      <c r="H448" s="6">
        <v>85</v>
      </c>
      <c r="I448" s="6">
        <v>85</v>
      </c>
      <c r="J448" s="6">
        <v>85</v>
      </c>
      <c r="K448" s="6">
        <v>85</v>
      </c>
      <c r="L448" s="6">
        <v>85</v>
      </c>
      <c r="M448" s="6">
        <v>83</v>
      </c>
      <c r="N448" s="6">
        <v>83</v>
      </c>
      <c r="O448" s="6">
        <v>99</v>
      </c>
      <c r="P448" s="6">
        <v>83</v>
      </c>
      <c r="Q448" s="6">
        <v>85</v>
      </c>
      <c r="R448" s="6">
        <v>87</v>
      </c>
      <c r="S448" s="6">
        <v>85</v>
      </c>
      <c r="T448" s="6">
        <v>85</v>
      </c>
      <c r="U448" s="6">
        <v>85</v>
      </c>
      <c r="V448" s="6">
        <v>85</v>
      </c>
      <c r="W448" s="138">
        <v>808414.45750011387</v>
      </c>
      <c r="X448">
        <f ca="1">IF(V448=0,0,OFFSET(CreditMetrics!$B$474,MATCH(RAND(),OFFSET(CreditMetrics!$C$474,1,MATCH(BDClientes!V448,CreditMetrics!$B$475:$B$491,0),COUNT(CreditMetrics!$B$475:$B$491),1),1),0,1,1))</f>
        <v>83</v>
      </c>
      <c r="Z448" s="79"/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49" spans="1:27" x14ac:dyDescent="0.25">
      <c r="A449" s="4">
        <v>448</v>
      </c>
      <c r="B449" s="5" t="s">
        <v>450</v>
      </c>
      <c r="C449" s="6">
        <v>85</v>
      </c>
      <c r="D449" s="6">
        <v>85</v>
      </c>
      <c r="E449" s="6">
        <v>75</v>
      </c>
      <c r="F449" s="6">
        <v>75</v>
      </c>
      <c r="G449" s="6">
        <v>75</v>
      </c>
      <c r="H449" s="6">
        <v>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6">
        <v>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X449">
        <f ca="1">IF(V449=0,0,OFFSET(CreditMetrics!$B$474,MATCH(RAND(),OFFSET(CreditMetrics!$C$474,1,MATCH(BDClientes!V449,CreditMetrics!$B$475:$B$491,0),COUNT(CreditMetrics!$B$475:$B$491),1),1),0,1,1))</f>
        <v>0</v>
      </c>
      <c r="Z449" s="79"/>
    </row>
    <row r="450" spans="1:27" x14ac:dyDescent="0.25">
      <c r="A450" s="4">
        <v>449</v>
      </c>
      <c r="B450" s="5" t="s">
        <v>451</v>
      </c>
      <c r="C450" s="6">
        <v>90</v>
      </c>
      <c r="D450" s="6">
        <v>90</v>
      </c>
      <c r="E450" s="6">
        <v>85</v>
      </c>
      <c r="F450" s="6">
        <v>85</v>
      </c>
      <c r="G450" s="6">
        <v>85</v>
      </c>
      <c r="H450" s="6">
        <v>83</v>
      </c>
      <c r="I450" s="6">
        <v>83</v>
      </c>
      <c r="J450" s="6">
        <v>85</v>
      </c>
      <c r="K450" s="6">
        <v>87</v>
      </c>
      <c r="L450" s="6">
        <v>85</v>
      </c>
      <c r="M450" s="6">
        <v>85</v>
      </c>
      <c r="N450" s="6">
        <v>87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X450">
        <f ca="1">IF(V450=0,0,OFFSET(CreditMetrics!$B$474,MATCH(RAND(),OFFSET(CreditMetrics!$C$474,1,MATCH(BDClientes!V450,CreditMetrics!$B$475:$B$491,0),COUNT(CreditMetrics!$B$475:$B$491),1),1),0,1,1))</f>
        <v>0</v>
      </c>
      <c r="Z450" s="79"/>
      <c r="AA450" s="184" t="e">
        <f t="array" ref="AA450">SQRT(MMULT(MMULT(TRANSPOSE(H433:H448),AA433:AP448),H433:H448))</f>
        <v>#VALUE!</v>
      </c>
    </row>
    <row r="451" spans="1:27" x14ac:dyDescent="0.25">
      <c r="A451" s="4">
        <v>450</v>
      </c>
      <c r="B451" s="5" t="s">
        <v>452</v>
      </c>
      <c r="C451" s="6">
        <v>77</v>
      </c>
      <c r="D451" s="6">
        <v>0</v>
      </c>
      <c r="E451" s="6">
        <v>73</v>
      </c>
      <c r="F451" s="6">
        <v>0</v>
      </c>
      <c r="G451" s="6">
        <v>0</v>
      </c>
      <c r="H451" s="6">
        <v>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X451">
        <f ca="1">IF(V451=0,0,OFFSET(CreditMetrics!$B$474,MATCH(RAND(),OFFSET(CreditMetrics!$C$474,1,MATCH(BDClientes!V451,CreditMetrics!$B$475:$B$491,0),COUNT(CreditMetrics!$B$475:$B$491),1),1),0,1,1))</f>
        <v>0</v>
      </c>
      <c r="Z451" s="79"/>
    </row>
    <row r="452" spans="1:27" x14ac:dyDescent="0.25">
      <c r="A452" s="4">
        <v>451</v>
      </c>
      <c r="B452" s="5" t="s">
        <v>453</v>
      </c>
      <c r="C452" s="6">
        <v>77</v>
      </c>
      <c r="D452" s="6">
        <v>85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X452">
        <f ca="1">IF(V452=0,0,OFFSET(CreditMetrics!$B$474,MATCH(RAND(),OFFSET(CreditMetrics!$C$474,1,MATCH(BDClientes!V452,CreditMetrics!$B$475:$B$491,0),COUNT(CreditMetrics!$B$475:$B$491),1),1),0,1,1))</f>
        <v>0</v>
      </c>
      <c r="Z452" s="79"/>
    </row>
    <row r="453" spans="1:27" x14ac:dyDescent="0.25">
      <c r="A453" s="4">
        <v>452</v>
      </c>
      <c r="B453" s="5" t="s">
        <v>454</v>
      </c>
      <c r="C453" s="6">
        <v>83</v>
      </c>
      <c r="D453" s="6">
        <v>85</v>
      </c>
      <c r="E453" s="6">
        <v>85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X453">
        <f ca="1">IF(V453=0,0,OFFSET(CreditMetrics!$B$474,MATCH(RAND(),OFFSET(CreditMetrics!$C$474,1,MATCH(BDClientes!V453,CreditMetrics!$B$475:$B$491,0),COUNT(CreditMetrics!$B$475:$B$491),1),1),0,1,1))</f>
        <v>0</v>
      </c>
      <c r="Z453" s="79"/>
    </row>
    <row r="454" spans="1:27" x14ac:dyDescent="0.25">
      <c r="A454" s="4">
        <v>453</v>
      </c>
      <c r="B454" s="5" t="s">
        <v>455</v>
      </c>
      <c r="C454" s="6">
        <v>77</v>
      </c>
      <c r="D454" s="6">
        <v>83</v>
      </c>
      <c r="E454" s="6">
        <v>83</v>
      </c>
      <c r="F454" s="6">
        <v>83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X454">
        <f ca="1">IF(V454=0,0,OFFSET(CreditMetrics!$B$474,MATCH(RAND(),OFFSET(CreditMetrics!$C$474,1,MATCH(BDClientes!V454,CreditMetrics!$B$475:$B$491,0),COUNT(CreditMetrics!$B$475:$B$491),1),1),0,1,1))</f>
        <v>0</v>
      </c>
      <c r="Z454" s="79"/>
    </row>
    <row r="455" spans="1:27" x14ac:dyDescent="0.25">
      <c r="A455" s="4">
        <v>454</v>
      </c>
      <c r="B455" s="5" t="s">
        <v>456</v>
      </c>
      <c r="C455" s="6">
        <v>75</v>
      </c>
      <c r="D455" s="6">
        <v>80</v>
      </c>
      <c r="E455" s="6">
        <v>83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X455">
        <f ca="1">IF(V455=0,0,OFFSET(CreditMetrics!$B$474,MATCH(RAND(),OFFSET(CreditMetrics!$C$474,1,MATCH(BDClientes!V455,CreditMetrics!$B$475:$B$491,0),COUNT(CreditMetrics!$B$475:$B$491),1),1),0,1,1))</f>
        <v>0</v>
      </c>
      <c r="Z455" s="79"/>
    </row>
    <row r="456" spans="1:27" x14ac:dyDescent="0.25">
      <c r="A456" s="4">
        <v>455</v>
      </c>
      <c r="B456" s="5" t="s">
        <v>457</v>
      </c>
      <c r="C456" s="6">
        <v>90</v>
      </c>
      <c r="D456" s="6">
        <v>83</v>
      </c>
      <c r="E456" s="6">
        <v>83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X456">
        <f ca="1">IF(V456=0,0,OFFSET(CreditMetrics!$B$474,MATCH(RAND(),OFFSET(CreditMetrics!$C$474,1,MATCH(BDClientes!V456,CreditMetrics!$B$475:$B$491,0),COUNT(CreditMetrics!$B$475:$B$491),1),1),0,1,1))</f>
        <v>0</v>
      </c>
      <c r="Z456" s="79"/>
    </row>
    <row r="457" spans="1:27" x14ac:dyDescent="0.25">
      <c r="A457" s="4">
        <v>456</v>
      </c>
      <c r="B457" s="5" t="s">
        <v>458</v>
      </c>
      <c r="C457" s="6">
        <v>0</v>
      </c>
      <c r="D457" s="6">
        <v>0</v>
      </c>
      <c r="E457" s="6">
        <v>0</v>
      </c>
      <c r="F457" s="6">
        <v>83</v>
      </c>
      <c r="G457" s="6">
        <v>0</v>
      </c>
      <c r="H457" s="6">
        <v>85</v>
      </c>
      <c r="I457" s="6">
        <v>83</v>
      </c>
      <c r="J457" s="6">
        <v>77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X457">
        <f ca="1">IF(V457=0,0,OFFSET(CreditMetrics!$B$474,MATCH(RAND(),OFFSET(CreditMetrics!$C$474,1,MATCH(BDClientes!V457,CreditMetrics!$B$475:$B$491,0),COUNT(CreditMetrics!$B$475:$B$491),1),1),0,1,1))</f>
        <v>0</v>
      </c>
      <c r="Z457" s="79"/>
    </row>
    <row r="458" spans="1:27" x14ac:dyDescent="0.25">
      <c r="A458" s="4">
        <v>457</v>
      </c>
      <c r="B458" s="5" t="s">
        <v>459</v>
      </c>
      <c r="C458" s="6">
        <v>87</v>
      </c>
      <c r="D458" s="6">
        <v>83</v>
      </c>
      <c r="E458" s="6">
        <v>83</v>
      </c>
      <c r="F458" s="6">
        <v>83</v>
      </c>
      <c r="G458" s="6">
        <v>83</v>
      </c>
      <c r="H458" s="6">
        <v>85</v>
      </c>
      <c r="I458" s="6">
        <v>85</v>
      </c>
      <c r="J458" s="6">
        <v>83</v>
      </c>
      <c r="K458" s="6">
        <v>83</v>
      </c>
      <c r="L458" s="6">
        <v>83</v>
      </c>
      <c r="M458" s="6">
        <v>83</v>
      </c>
      <c r="N458" s="6">
        <v>80</v>
      </c>
      <c r="O458" s="6">
        <v>80</v>
      </c>
      <c r="P458" s="6">
        <v>75</v>
      </c>
      <c r="Q458" s="6">
        <v>80</v>
      </c>
      <c r="R458" s="6">
        <v>83</v>
      </c>
      <c r="S458" s="6">
        <v>85</v>
      </c>
      <c r="T458" s="6">
        <v>83</v>
      </c>
      <c r="U458" s="6">
        <v>85</v>
      </c>
      <c r="V458" s="6">
        <v>80</v>
      </c>
      <c r="W458" s="138">
        <v>397124.46651750873</v>
      </c>
      <c r="X458">
        <f ca="1">IF(V458=0,0,OFFSET(CreditMetrics!$B$474,MATCH(RAND(),OFFSET(CreditMetrics!$C$474,1,MATCH(BDClientes!V458,CreditMetrics!$B$475:$B$491,0),COUNT(CreditMetrics!$B$475:$B$491),1),1),0,1,1))</f>
        <v>85</v>
      </c>
      <c r="Z458" s="79"/>
    </row>
    <row r="459" spans="1:27" x14ac:dyDescent="0.25">
      <c r="A459" s="4">
        <v>458</v>
      </c>
      <c r="B459" s="5" t="s">
        <v>460</v>
      </c>
      <c r="C459" s="6">
        <v>83</v>
      </c>
      <c r="D459" s="6">
        <v>85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X459">
        <f ca="1">IF(V459=0,0,OFFSET(CreditMetrics!$B$474,MATCH(RAND(),OFFSET(CreditMetrics!$C$474,1,MATCH(BDClientes!V459,CreditMetrics!$B$475:$B$491,0),COUNT(CreditMetrics!$B$475:$B$491),1),1),0,1,1))</f>
        <v>0</v>
      </c>
      <c r="Z459" s="79"/>
    </row>
    <row r="460" spans="1:27" x14ac:dyDescent="0.25">
      <c r="A460" s="4">
        <v>459</v>
      </c>
      <c r="B460" s="5" t="s">
        <v>461</v>
      </c>
      <c r="C460" s="6">
        <v>0</v>
      </c>
      <c r="D460" s="6">
        <v>87</v>
      </c>
      <c r="E460" s="6">
        <v>0</v>
      </c>
      <c r="F460" s="6">
        <v>87</v>
      </c>
      <c r="G460" s="6">
        <v>0</v>
      </c>
      <c r="H460" s="6">
        <v>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X460">
        <f ca="1">IF(V460=0,0,OFFSET(CreditMetrics!$B$474,MATCH(RAND(),OFFSET(CreditMetrics!$C$474,1,MATCH(BDClientes!V460,CreditMetrics!$B$475:$B$491,0),COUNT(CreditMetrics!$B$475:$B$491),1),1),0,1,1))</f>
        <v>0</v>
      </c>
      <c r="Z460" s="79"/>
    </row>
    <row r="461" spans="1:27" x14ac:dyDescent="0.25">
      <c r="A461" s="4">
        <v>460</v>
      </c>
      <c r="B461" s="5" t="s">
        <v>462</v>
      </c>
      <c r="C461" s="6">
        <v>90</v>
      </c>
      <c r="D461" s="6">
        <v>90</v>
      </c>
      <c r="E461" s="6">
        <v>85</v>
      </c>
      <c r="F461" s="6">
        <v>85</v>
      </c>
      <c r="G461" s="6">
        <v>85</v>
      </c>
      <c r="H461" s="6">
        <v>85</v>
      </c>
      <c r="I461" s="6">
        <v>85</v>
      </c>
      <c r="J461" s="6">
        <v>87</v>
      </c>
      <c r="K461" s="6">
        <v>87</v>
      </c>
      <c r="L461" s="6">
        <v>87</v>
      </c>
      <c r="M461" s="6">
        <v>87</v>
      </c>
      <c r="N461" s="6">
        <v>90</v>
      </c>
      <c r="O461" s="6">
        <v>83</v>
      </c>
      <c r="P461" s="6">
        <v>83</v>
      </c>
      <c r="Q461" s="6">
        <v>83</v>
      </c>
      <c r="R461" s="6">
        <v>65</v>
      </c>
      <c r="S461" s="6">
        <v>85</v>
      </c>
      <c r="T461" s="6">
        <v>0</v>
      </c>
      <c r="U461" s="6">
        <v>0</v>
      </c>
      <c r="V461" s="6">
        <v>0</v>
      </c>
      <c r="X461">
        <f ca="1">IF(V461=0,0,OFFSET(CreditMetrics!$B$474,MATCH(RAND(),OFFSET(CreditMetrics!$C$474,1,MATCH(BDClientes!V461,CreditMetrics!$B$475:$B$491,0),COUNT(CreditMetrics!$B$475:$B$491),1),1),0,1,1))</f>
        <v>0</v>
      </c>
      <c r="Z461" s="79"/>
    </row>
    <row r="462" spans="1:27" x14ac:dyDescent="0.25">
      <c r="A462" s="4">
        <v>461</v>
      </c>
      <c r="B462" s="5" t="s">
        <v>463</v>
      </c>
      <c r="C462" s="6">
        <v>87</v>
      </c>
      <c r="D462" s="6">
        <v>87</v>
      </c>
      <c r="E462" s="6">
        <v>85</v>
      </c>
      <c r="F462" s="6">
        <v>85</v>
      </c>
      <c r="G462" s="6">
        <v>0</v>
      </c>
      <c r="H462" s="6">
        <v>87</v>
      </c>
      <c r="I462" s="6">
        <v>87</v>
      </c>
      <c r="J462" s="6">
        <v>87</v>
      </c>
      <c r="K462" s="6">
        <v>0</v>
      </c>
      <c r="L462" s="6">
        <v>87</v>
      </c>
      <c r="M462" s="6">
        <v>87</v>
      </c>
      <c r="N462" s="6">
        <v>83</v>
      </c>
      <c r="O462" s="6">
        <v>0</v>
      </c>
      <c r="P462" s="6">
        <v>0</v>
      </c>
      <c r="Q462" s="6">
        <v>0</v>
      </c>
      <c r="R462" s="6">
        <v>0</v>
      </c>
      <c r="S462" s="6">
        <v>80</v>
      </c>
      <c r="T462" s="6">
        <v>83</v>
      </c>
      <c r="U462" s="6">
        <v>83</v>
      </c>
      <c r="V462" s="6">
        <v>0</v>
      </c>
      <c r="X462">
        <f ca="1">IF(V462=0,0,OFFSET(CreditMetrics!$B$474,MATCH(RAND(),OFFSET(CreditMetrics!$C$474,1,MATCH(BDClientes!V462,CreditMetrics!$B$475:$B$491,0),COUNT(CreditMetrics!$B$475:$B$491),1),1),0,1,1))</f>
        <v>0</v>
      </c>
      <c r="Z462" s="79"/>
    </row>
    <row r="463" spans="1:27" x14ac:dyDescent="0.25">
      <c r="A463" s="4">
        <v>462</v>
      </c>
      <c r="B463" s="5" t="s">
        <v>464</v>
      </c>
      <c r="C463" s="6">
        <v>87</v>
      </c>
      <c r="D463" s="6">
        <v>85</v>
      </c>
      <c r="E463" s="6">
        <v>85</v>
      </c>
      <c r="F463" s="6">
        <v>85</v>
      </c>
      <c r="G463" s="6">
        <v>87</v>
      </c>
      <c r="H463" s="6">
        <v>85</v>
      </c>
      <c r="I463" s="6">
        <v>83</v>
      </c>
      <c r="J463" s="6">
        <v>80</v>
      </c>
      <c r="K463" s="6">
        <v>83</v>
      </c>
      <c r="L463" s="6">
        <v>80</v>
      </c>
      <c r="M463" s="6">
        <v>83</v>
      </c>
      <c r="N463" s="6">
        <v>80</v>
      </c>
      <c r="O463" s="6">
        <v>83</v>
      </c>
      <c r="P463" s="6">
        <v>80</v>
      </c>
      <c r="Q463" s="6">
        <v>0</v>
      </c>
      <c r="R463" s="6">
        <v>83</v>
      </c>
      <c r="S463" s="6">
        <v>0</v>
      </c>
      <c r="T463" s="6">
        <v>83</v>
      </c>
      <c r="U463" s="6">
        <v>0</v>
      </c>
      <c r="V463" s="6">
        <v>0</v>
      </c>
      <c r="X463">
        <f ca="1">IF(V463=0,0,OFFSET(CreditMetrics!$B$474,MATCH(RAND(),OFFSET(CreditMetrics!$C$474,1,MATCH(BDClientes!V463,CreditMetrics!$B$475:$B$491,0),COUNT(CreditMetrics!$B$475:$B$491),1),1),0,1,1))</f>
        <v>0</v>
      </c>
      <c r="Z463" s="79"/>
    </row>
    <row r="464" spans="1:27" x14ac:dyDescent="0.25">
      <c r="A464" s="4">
        <v>463</v>
      </c>
      <c r="B464" s="5" t="s">
        <v>465</v>
      </c>
      <c r="C464" s="6">
        <v>73</v>
      </c>
      <c r="D464" s="6">
        <v>0</v>
      </c>
      <c r="E464" s="6">
        <v>75</v>
      </c>
      <c r="F464" s="6">
        <v>0</v>
      </c>
      <c r="G464" s="6">
        <v>77</v>
      </c>
      <c r="H464" s="6">
        <v>75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X464">
        <f ca="1">IF(V464=0,0,OFFSET(CreditMetrics!$B$474,MATCH(RAND(),OFFSET(CreditMetrics!$C$474,1,MATCH(BDClientes!V464,CreditMetrics!$B$475:$B$491,0),COUNT(CreditMetrics!$B$475:$B$491),1),1),0,1,1))</f>
        <v>0</v>
      </c>
      <c r="Z464" s="79"/>
    </row>
    <row r="465" spans="1:26" x14ac:dyDescent="0.25">
      <c r="A465" s="4">
        <v>464</v>
      </c>
      <c r="B465" s="5" t="s">
        <v>466</v>
      </c>
      <c r="C465" s="6">
        <v>80</v>
      </c>
      <c r="D465" s="6">
        <v>85</v>
      </c>
      <c r="E465" s="6">
        <v>85</v>
      </c>
      <c r="F465" s="6">
        <v>85</v>
      </c>
      <c r="G465" s="6">
        <v>83</v>
      </c>
      <c r="H465" s="6">
        <v>85</v>
      </c>
      <c r="I465" s="6">
        <v>85</v>
      </c>
      <c r="J465" s="6">
        <v>0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X465">
        <f ca="1">IF(V465=0,0,OFFSET(CreditMetrics!$B$474,MATCH(RAND(),OFFSET(CreditMetrics!$C$474,1,MATCH(BDClientes!V465,CreditMetrics!$B$475:$B$491,0),COUNT(CreditMetrics!$B$475:$B$491),1),1),0,1,1))</f>
        <v>0</v>
      </c>
      <c r="Z465" s="79"/>
    </row>
    <row r="466" spans="1:26" x14ac:dyDescent="0.25">
      <c r="A466" s="4">
        <v>465</v>
      </c>
      <c r="B466" s="5" t="s">
        <v>467</v>
      </c>
      <c r="C466" s="6">
        <v>90</v>
      </c>
      <c r="D466" s="6">
        <v>85</v>
      </c>
      <c r="E466" s="6">
        <v>85</v>
      </c>
      <c r="F466" s="6">
        <v>85</v>
      </c>
      <c r="G466" s="6">
        <v>85</v>
      </c>
      <c r="H466" s="6">
        <v>83</v>
      </c>
      <c r="I466" s="6">
        <v>83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X466">
        <f ca="1">IF(V466=0,0,OFFSET(CreditMetrics!$B$474,MATCH(RAND(),OFFSET(CreditMetrics!$C$474,1,MATCH(BDClientes!V466,CreditMetrics!$B$475:$B$491,0),COUNT(CreditMetrics!$B$475:$B$491),1),1),0,1,1))</f>
        <v>0</v>
      </c>
      <c r="Z466" s="79"/>
    </row>
    <row r="467" spans="1:26" x14ac:dyDescent="0.25">
      <c r="A467" s="4">
        <v>466</v>
      </c>
      <c r="B467" s="5" t="s">
        <v>468</v>
      </c>
      <c r="C467" s="6">
        <v>0</v>
      </c>
      <c r="D467" s="6">
        <v>0</v>
      </c>
      <c r="E467" s="6">
        <v>0</v>
      </c>
      <c r="F467" s="6">
        <v>0</v>
      </c>
      <c r="G467" s="6">
        <v>83</v>
      </c>
      <c r="H467" s="6">
        <v>85</v>
      </c>
      <c r="I467" s="6">
        <v>85</v>
      </c>
      <c r="J467" s="6">
        <v>0</v>
      </c>
      <c r="K467" s="6">
        <v>0</v>
      </c>
      <c r="L467" s="6">
        <v>0</v>
      </c>
      <c r="M467" s="6">
        <v>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X467">
        <f ca="1">IF(V467=0,0,OFFSET(CreditMetrics!$B$474,MATCH(RAND(),OFFSET(CreditMetrics!$C$474,1,MATCH(BDClientes!V467,CreditMetrics!$B$475:$B$491,0),COUNT(CreditMetrics!$B$475:$B$491),1),1),0,1,1))</f>
        <v>0</v>
      </c>
      <c r="Z467" s="79"/>
    </row>
    <row r="468" spans="1:26" x14ac:dyDescent="0.25">
      <c r="A468" s="4">
        <v>467</v>
      </c>
      <c r="B468" s="5" t="s">
        <v>469</v>
      </c>
      <c r="C468" s="6">
        <v>87</v>
      </c>
      <c r="D468" s="6">
        <v>85</v>
      </c>
      <c r="E468" s="6">
        <v>85</v>
      </c>
      <c r="F468" s="6">
        <v>85</v>
      </c>
      <c r="G468" s="6">
        <v>77</v>
      </c>
      <c r="H468" s="6">
        <v>70</v>
      </c>
      <c r="I468" s="6">
        <v>70</v>
      </c>
      <c r="J468" s="6">
        <v>75</v>
      </c>
      <c r="K468" s="6">
        <v>80</v>
      </c>
      <c r="L468" s="6">
        <v>80</v>
      </c>
      <c r="M468" s="6">
        <v>85</v>
      </c>
      <c r="N468" s="6">
        <v>85</v>
      </c>
      <c r="O468" s="6">
        <v>85</v>
      </c>
      <c r="P468" s="6">
        <v>70</v>
      </c>
      <c r="Q468" s="6">
        <v>70</v>
      </c>
      <c r="R468" s="6">
        <v>73</v>
      </c>
      <c r="S468" s="6">
        <v>75</v>
      </c>
      <c r="T468" s="6">
        <v>73</v>
      </c>
      <c r="U468" s="6">
        <v>73</v>
      </c>
      <c r="V468" s="6">
        <v>75</v>
      </c>
      <c r="W468" s="138">
        <v>117339.62307236424</v>
      </c>
      <c r="X468">
        <f ca="1">IF(V468=0,0,OFFSET(CreditMetrics!$B$474,MATCH(RAND(),OFFSET(CreditMetrics!$C$474,1,MATCH(BDClientes!V468,CreditMetrics!$B$475:$B$491,0),COUNT(CreditMetrics!$B$475:$B$491),1),1),0,1,1))</f>
        <v>80</v>
      </c>
      <c r="Z468" s="79"/>
    </row>
    <row r="469" spans="1:26" x14ac:dyDescent="0.25">
      <c r="A469" s="4">
        <v>468</v>
      </c>
      <c r="B469" s="5" t="s">
        <v>470</v>
      </c>
      <c r="C469" s="6">
        <v>0</v>
      </c>
      <c r="D469" s="6">
        <v>0</v>
      </c>
      <c r="E469" s="6">
        <v>77</v>
      </c>
      <c r="F469" s="6">
        <v>77</v>
      </c>
      <c r="G469" s="6">
        <v>73</v>
      </c>
      <c r="H469" s="6">
        <v>0</v>
      </c>
      <c r="I469" s="6">
        <v>0</v>
      </c>
      <c r="J469" s="6">
        <v>0</v>
      </c>
      <c r="K469" s="6">
        <v>75</v>
      </c>
      <c r="L469" s="6">
        <v>0</v>
      </c>
      <c r="M469" s="6">
        <v>0</v>
      </c>
      <c r="N469" s="6">
        <v>0</v>
      </c>
      <c r="O469" s="6">
        <v>75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X469">
        <f ca="1">IF(V469=0,0,OFFSET(CreditMetrics!$B$474,MATCH(RAND(),OFFSET(CreditMetrics!$C$474,1,MATCH(BDClientes!V469,CreditMetrics!$B$475:$B$491,0),COUNT(CreditMetrics!$B$475:$B$491),1),1),0,1,1))</f>
        <v>0</v>
      </c>
      <c r="Z469" s="79"/>
    </row>
    <row r="470" spans="1:26" x14ac:dyDescent="0.25">
      <c r="A470" s="4">
        <v>469</v>
      </c>
      <c r="B470" s="5" t="s">
        <v>471</v>
      </c>
      <c r="C470" s="6">
        <v>85</v>
      </c>
      <c r="D470" s="6">
        <v>80</v>
      </c>
      <c r="E470" s="6">
        <v>75</v>
      </c>
      <c r="F470" s="6">
        <v>0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X470">
        <f ca="1">IF(V470=0,0,OFFSET(CreditMetrics!$B$474,MATCH(RAND(),OFFSET(CreditMetrics!$C$474,1,MATCH(BDClientes!V470,CreditMetrics!$B$475:$B$491,0),COUNT(CreditMetrics!$B$475:$B$491),1),1),0,1,1))</f>
        <v>0</v>
      </c>
      <c r="Z470" s="79"/>
    </row>
    <row r="471" spans="1:26" x14ac:dyDescent="0.25">
      <c r="A471" s="4">
        <v>470</v>
      </c>
      <c r="B471" s="5" t="s">
        <v>472</v>
      </c>
      <c r="C471" s="6">
        <v>80</v>
      </c>
      <c r="D471" s="6">
        <v>80</v>
      </c>
      <c r="E471" s="6">
        <v>77</v>
      </c>
      <c r="F471" s="6">
        <v>77</v>
      </c>
      <c r="G471" s="6">
        <v>70</v>
      </c>
      <c r="H471" s="6">
        <v>70</v>
      </c>
      <c r="I471" s="6">
        <v>73</v>
      </c>
      <c r="J471" s="6">
        <v>73</v>
      </c>
      <c r="K471" s="6">
        <v>73</v>
      </c>
      <c r="L471" s="6">
        <v>75</v>
      </c>
      <c r="M471" s="6">
        <v>75</v>
      </c>
      <c r="N471" s="6">
        <v>73</v>
      </c>
      <c r="O471" s="6">
        <v>75</v>
      </c>
      <c r="P471" s="6">
        <v>73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X471">
        <f ca="1">IF(V471=0,0,OFFSET(CreditMetrics!$B$474,MATCH(RAND(),OFFSET(CreditMetrics!$C$474,1,MATCH(BDClientes!V471,CreditMetrics!$B$475:$B$491,0),COUNT(CreditMetrics!$B$475:$B$491),1),1),0,1,1))</f>
        <v>0</v>
      </c>
      <c r="Z471" s="79"/>
    </row>
    <row r="472" spans="1:26" x14ac:dyDescent="0.25">
      <c r="A472" s="4">
        <v>471</v>
      </c>
      <c r="B472" s="5" t="s">
        <v>473</v>
      </c>
      <c r="C472" s="6">
        <v>85</v>
      </c>
      <c r="D472" s="6">
        <v>85</v>
      </c>
      <c r="E472" s="6">
        <v>77</v>
      </c>
      <c r="F472" s="6">
        <v>0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X472">
        <f ca="1">IF(V472=0,0,OFFSET(CreditMetrics!$B$474,MATCH(RAND(),OFFSET(CreditMetrics!$C$474,1,MATCH(BDClientes!V472,CreditMetrics!$B$475:$B$491,0),COUNT(CreditMetrics!$B$475:$B$491),1),1),0,1,1))</f>
        <v>0</v>
      </c>
      <c r="Z472" s="79"/>
    </row>
    <row r="473" spans="1:26" x14ac:dyDescent="0.25">
      <c r="A473" s="4">
        <v>472</v>
      </c>
      <c r="B473" s="5" t="s">
        <v>474</v>
      </c>
      <c r="C473" s="6">
        <v>80</v>
      </c>
      <c r="D473" s="6">
        <v>80</v>
      </c>
      <c r="E473" s="6">
        <v>77</v>
      </c>
      <c r="F473" s="6">
        <v>77</v>
      </c>
      <c r="G473" s="6">
        <v>77</v>
      </c>
      <c r="H473" s="6">
        <v>80</v>
      </c>
      <c r="I473" s="6">
        <v>83</v>
      </c>
      <c r="J473" s="6">
        <v>80</v>
      </c>
      <c r="K473" s="6">
        <v>80</v>
      </c>
      <c r="L473" s="6">
        <v>83</v>
      </c>
      <c r="M473" s="6">
        <v>80</v>
      </c>
      <c r="N473" s="6">
        <v>80</v>
      </c>
      <c r="O473" s="6">
        <v>80</v>
      </c>
      <c r="P473" s="6">
        <v>77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X473">
        <f ca="1">IF(V473=0,0,OFFSET(CreditMetrics!$B$474,MATCH(RAND(),OFFSET(CreditMetrics!$C$474,1,MATCH(BDClientes!V473,CreditMetrics!$B$475:$B$491,0),COUNT(CreditMetrics!$B$475:$B$491),1),1),0,1,1))</f>
        <v>0</v>
      </c>
      <c r="Z473" s="79"/>
    </row>
    <row r="474" spans="1:26" x14ac:dyDescent="0.25">
      <c r="A474" s="4">
        <v>473</v>
      </c>
      <c r="B474" s="5" t="s">
        <v>475</v>
      </c>
      <c r="C474" s="6">
        <v>80</v>
      </c>
      <c r="D474" s="6">
        <v>83</v>
      </c>
      <c r="E474" s="6">
        <v>83</v>
      </c>
      <c r="F474" s="6">
        <v>0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X474">
        <f ca="1">IF(V474=0,0,OFFSET(CreditMetrics!$B$474,MATCH(RAND(),OFFSET(CreditMetrics!$C$474,1,MATCH(BDClientes!V474,CreditMetrics!$B$475:$B$491,0),COUNT(CreditMetrics!$B$475:$B$491),1),1),0,1,1))</f>
        <v>0</v>
      </c>
      <c r="Z474" s="79"/>
    </row>
    <row r="475" spans="1:26" x14ac:dyDescent="0.25">
      <c r="A475" s="4">
        <v>474</v>
      </c>
      <c r="B475" s="5" t="s">
        <v>476</v>
      </c>
      <c r="C475" s="6">
        <v>0</v>
      </c>
      <c r="D475" s="6">
        <v>80</v>
      </c>
      <c r="E475" s="6">
        <v>80</v>
      </c>
      <c r="F475" s="6">
        <v>80</v>
      </c>
      <c r="G475" s="6">
        <v>73</v>
      </c>
      <c r="H475" s="6">
        <v>75</v>
      </c>
      <c r="I475" s="6">
        <v>65</v>
      </c>
      <c r="J475" s="6">
        <v>73</v>
      </c>
      <c r="K475" s="6">
        <v>73</v>
      </c>
      <c r="L475" s="6">
        <v>80</v>
      </c>
      <c r="M475" s="6">
        <v>77</v>
      </c>
      <c r="N475" s="6">
        <v>73</v>
      </c>
      <c r="O475" s="6">
        <v>65</v>
      </c>
      <c r="P475" s="6">
        <v>0</v>
      </c>
      <c r="Q475" s="6">
        <v>83</v>
      </c>
      <c r="R475" s="6">
        <v>83</v>
      </c>
      <c r="S475" s="6">
        <v>83</v>
      </c>
      <c r="T475" s="6">
        <v>83</v>
      </c>
      <c r="U475" s="6">
        <v>83</v>
      </c>
      <c r="V475" s="6">
        <v>83</v>
      </c>
      <c r="W475" s="138">
        <v>111683.28192943755</v>
      </c>
      <c r="X475">
        <f ca="1">IF(V475=0,0,OFFSET(CreditMetrics!$B$474,MATCH(RAND(),OFFSET(CreditMetrics!$C$474,1,MATCH(BDClientes!V475,CreditMetrics!$B$475:$B$491,0),COUNT(CreditMetrics!$B$475:$B$491),1),1),0,1,1))</f>
        <v>83</v>
      </c>
      <c r="Z475" s="79"/>
    </row>
    <row r="476" spans="1:26" x14ac:dyDescent="0.25">
      <c r="A476" s="4">
        <v>475</v>
      </c>
      <c r="B476" s="5" t="s">
        <v>477</v>
      </c>
      <c r="C476" s="6">
        <v>0</v>
      </c>
      <c r="D476" s="6">
        <v>85</v>
      </c>
      <c r="E476" s="6">
        <v>83</v>
      </c>
      <c r="F476" s="6">
        <v>83</v>
      </c>
      <c r="G476" s="6">
        <v>83</v>
      </c>
      <c r="H476" s="6">
        <v>85</v>
      </c>
      <c r="I476" s="6">
        <v>85</v>
      </c>
      <c r="J476" s="6">
        <v>83</v>
      </c>
      <c r="K476" s="6">
        <v>0</v>
      </c>
      <c r="L476" s="6">
        <v>85</v>
      </c>
      <c r="M476" s="6">
        <v>77</v>
      </c>
      <c r="N476" s="6">
        <v>85</v>
      </c>
      <c r="O476" s="6">
        <v>80</v>
      </c>
      <c r="P476" s="6">
        <v>83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X476">
        <f ca="1">IF(V476=0,0,OFFSET(CreditMetrics!$B$474,MATCH(RAND(),OFFSET(CreditMetrics!$C$474,1,MATCH(BDClientes!V476,CreditMetrics!$B$475:$B$491,0),COUNT(CreditMetrics!$B$475:$B$491),1),1),0,1,1))</f>
        <v>0</v>
      </c>
      <c r="Z476" s="79"/>
    </row>
    <row r="477" spans="1:26" x14ac:dyDescent="0.25">
      <c r="A477" s="4">
        <v>476</v>
      </c>
      <c r="B477" s="5" t="s">
        <v>478</v>
      </c>
      <c r="C477" s="6">
        <v>0</v>
      </c>
      <c r="D477" s="6">
        <v>87</v>
      </c>
      <c r="E477" s="6">
        <v>85</v>
      </c>
      <c r="F477" s="6">
        <v>85</v>
      </c>
      <c r="G477" s="6">
        <v>0</v>
      </c>
      <c r="H477" s="6">
        <v>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6">
        <v>0</v>
      </c>
      <c r="O477" s="6"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X477">
        <f ca="1">IF(V477=0,0,OFFSET(CreditMetrics!$B$474,MATCH(RAND(),OFFSET(CreditMetrics!$C$474,1,MATCH(BDClientes!V477,CreditMetrics!$B$475:$B$491,0),COUNT(CreditMetrics!$B$475:$B$491),1),1),0,1,1))</f>
        <v>0</v>
      </c>
      <c r="Z477" s="79"/>
    </row>
    <row r="478" spans="1:26" x14ac:dyDescent="0.25">
      <c r="A478" s="4">
        <v>477</v>
      </c>
      <c r="B478" s="5" t="s">
        <v>479</v>
      </c>
      <c r="C478" s="6">
        <v>0</v>
      </c>
      <c r="D478" s="6">
        <v>0</v>
      </c>
      <c r="E478" s="6">
        <v>73</v>
      </c>
      <c r="F478" s="6">
        <v>73</v>
      </c>
      <c r="G478" s="6">
        <v>73</v>
      </c>
      <c r="H478" s="6">
        <v>70</v>
      </c>
      <c r="I478" s="6">
        <v>75</v>
      </c>
      <c r="J478" s="6">
        <v>73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X478">
        <f ca="1">IF(V478=0,0,OFFSET(CreditMetrics!$B$474,MATCH(RAND(),OFFSET(CreditMetrics!$C$474,1,MATCH(BDClientes!V478,CreditMetrics!$B$475:$B$491,0),COUNT(CreditMetrics!$B$475:$B$491),1),1),0,1,1))</f>
        <v>0</v>
      </c>
      <c r="Z478" s="79"/>
    </row>
    <row r="479" spans="1:26" x14ac:dyDescent="0.25">
      <c r="A479" s="4">
        <v>478</v>
      </c>
      <c r="B479" s="5" t="s">
        <v>480</v>
      </c>
      <c r="C479" s="6">
        <v>0</v>
      </c>
      <c r="D479" s="6">
        <v>0</v>
      </c>
      <c r="E479" s="6">
        <v>90</v>
      </c>
      <c r="F479" s="6">
        <v>90</v>
      </c>
      <c r="G479" s="6">
        <v>0</v>
      </c>
      <c r="H479" s="6">
        <v>0</v>
      </c>
      <c r="I479" s="6">
        <v>0</v>
      </c>
      <c r="J479" s="6">
        <v>0</v>
      </c>
      <c r="K479" s="6">
        <v>0</v>
      </c>
      <c r="L479" s="6">
        <v>90</v>
      </c>
      <c r="M479" s="6">
        <v>0</v>
      </c>
      <c r="N479" s="6">
        <v>0</v>
      </c>
      <c r="O479" s="6">
        <v>0</v>
      </c>
      <c r="P479" s="6">
        <v>87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X479">
        <f ca="1">IF(V479=0,0,OFFSET(CreditMetrics!$B$474,MATCH(RAND(),OFFSET(CreditMetrics!$C$474,1,MATCH(BDClientes!V479,CreditMetrics!$B$475:$B$491,0),COUNT(CreditMetrics!$B$475:$B$491),1),1),0,1,1))</f>
        <v>0</v>
      </c>
      <c r="Z479" s="79"/>
    </row>
    <row r="480" spans="1:26" x14ac:dyDescent="0.25">
      <c r="A480" s="4">
        <v>479</v>
      </c>
      <c r="B480" s="5" t="s">
        <v>481</v>
      </c>
      <c r="C480" s="6">
        <v>0</v>
      </c>
      <c r="D480" s="6">
        <v>0</v>
      </c>
      <c r="E480" s="6">
        <v>80</v>
      </c>
      <c r="F480" s="6">
        <v>80</v>
      </c>
      <c r="G480" s="6">
        <v>80</v>
      </c>
      <c r="H480" s="6">
        <v>75</v>
      </c>
      <c r="I480" s="6">
        <v>75</v>
      </c>
      <c r="J480" s="6">
        <v>77</v>
      </c>
      <c r="K480" s="6">
        <v>83</v>
      </c>
      <c r="L480" s="6">
        <v>80</v>
      </c>
      <c r="M480" s="6">
        <v>80</v>
      </c>
      <c r="N480" s="6">
        <v>80</v>
      </c>
      <c r="O480" s="6">
        <v>77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X480">
        <f ca="1">IF(V480=0,0,OFFSET(CreditMetrics!$B$474,MATCH(RAND(),OFFSET(CreditMetrics!$C$474,1,MATCH(BDClientes!V480,CreditMetrics!$B$475:$B$491,0),COUNT(CreditMetrics!$B$475:$B$491),1),1),0,1,1))</f>
        <v>0</v>
      </c>
      <c r="Z480" s="79"/>
    </row>
    <row r="481" spans="1:26" x14ac:dyDescent="0.25">
      <c r="A481" s="4">
        <v>480</v>
      </c>
      <c r="B481" s="5" t="s">
        <v>482</v>
      </c>
      <c r="C481" s="6">
        <v>0</v>
      </c>
      <c r="D481" s="6">
        <v>0</v>
      </c>
      <c r="E481" s="6">
        <v>85</v>
      </c>
      <c r="F481" s="6">
        <v>85</v>
      </c>
      <c r="G481" s="6">
        <v>0</v>
      </c>
      <c r="H481" s="6">
        <v>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X481">
        <f ca="1">IF(V481=0,0,OFFSET(CreditMetrics!$B$474,MATCH(RAND(),OFFSET(CreditMetrics!$C$474,1,MATCH(BDClientes!V481,CreditMetrics!$B$475:$B$491,0),COUNT(CreditMetrics!$B$475:$B$491),1),1),0,1,1))</f>
        <v>0</v>
      </c>
      <c r="Z481" s="79"/>
    </row>
    <row r="482" spans="1:26" x14ac:dyDescent="0.25">
      <c r="A482" s="4">
        <v>481</v>
      </c>
      <c r="B482" s="5" t="s">
        <v>483</v>
      </c>
      <c r="C482" s="6">
        <v>0</v>
      </c>
      <c r="D482" s="6">
        <v>0</v>
      </c>
      <c r="E482" s="6">
        <v>85</v>
      </c>
      <c r="F482" s="6">
        <v>85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X482">
        <f ca="1">IF(V482=0,0,OFFSET(CreditMetrics!$B$474,MATCH(RAND(),OFFSET(CreditMetrics!$C$474,1,MATCH(BDClientes!V482,CreditMetrics!$B$475:$B$491,0),COUNT(CreditMetrics!$B$475:$B$491),1),1),0,1,1))</f>
        <v>0</v>
      </c>
      <c r="Z482" s="79"/>
    </row>
    <row r="483" spans="1:26" x14ac:dyDescent="0.25">
      <c r="A483" s="4">
        <v>482</v>
      </c>
      <c r="B483" s="5" t="s">
        <v>484</v>
      </c>
      <c r="C483" s="6">
        <v>0</v>
      </c>
      <c r="D483" s="6">
        <v>0</v>
      </c>
      <c r="E483" s="6">
        <v>73</v>
      </c>
      <c r="F483" s="6">
        <v>73</v>
      </c>
      <c r="G483" s="6">
        <v>75</v>
      </c>
      <c r="H483" s="6">
        <v>75</v>
      </c>
      <c r="I483" s="6">
        <v>73</v>
      </c>
      <c r="J483" s="6">
        <v>73</v>
      </c>
      <c r="K483" s="6">
        <v>73</v>
      </c>
      <c r="L483" s="6">
        <v>73</v>
      </c>
      <c r="M483" s="6">
        <v>73</v>
      </c>
      <c r="N483" s="6">
        <v>73</v>
      </c>
      <c r="O483" s="6">
        <v>75</v>
      </c>
      <c r="P483" s="6">
        <v>75</v>
      </c>
      <c r="Q483" s="6">
        <v>77</v>
      </c>
      <c r="R483" s="6">
        <v>77</v>
      </c>
      <c r="S483" s="6">
        <v>77</v>
      </c>
      <c r="T483" s="6">
        <v>80</v>
      </c>
      <c r="U483" s="6">
        <v>75</v>
      </c>
      <c r="V483" s="6">
        <v>77</v>
      </c>
      <c r="W483" s="138">
        <v>420484.44659484189</v>
      </c>
      <c r="X483">
        <f ca="1">IF(V483=0,0,OFFSET(CreditMetrics!$B$474,MATCH(RAND(),OFFSET(CreditMetrics!$C$474,1,MATCH(BDClientes!V483,CreditMetrics!$B$475:$B$491,0),COUNT(CreditMetrics!$B$475:$B$491),1),1),0,1,1))</f>
        <v>80</v>
      </c>
      <c r="Z483" s="79"/>
    </row>
    <row r="484" spans="1:26" x14ac:dyDescent="0.25">
      <c r="A484" s="4">
        <v>483</v>
      </c>
      <c r="B484" s="5" t="s">
        <v>485</v>
      </c>
      <c r="C484" s="6">
        <v>0</v>
      </c>
      <c r="D484" s="6">
        <v>0</v>
      </c>
      <c r="E484" s="6">
        <v>85</v>
      </c>
      <c r="F484" s="6">
        <v>85</v>
      </c>
      <c r="G484" s="6">
        <v>83</v>
      </c>
      <c r="H484" s="6">
        <v>83</v>
      </c>
      <c r="I484" s="6">
        <v>87</v>
      </c>
      <c r="J484" s="6">
        <v>85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X484">
        <f ca="1">IF(V484=0,0,OFFSET(CreditMetrics!$B$474,MATCH(RAND(),OFFSET(CreditMetrics!$C$474,1,MATCH(BDClientes!V484,CreditMetrics!$B$475:$B$491,0),COUNT(CreditMetrics!$B$475:$B$491),1),1),0,1,1))</f>
        <v>0</v>
      </c>
      <c r="Z484" s="79"/>
    </row>
    <row r="485" spans="1:26" x14ac:dyDescent="0.25">
      <c r="A485" s="4">
        <v>484</v>
      </c>
      <c r="B485" s="5" t="s">
        <v>486</v>
      </c>
      <c r="C485" s="6">
        <v>0</v>
      </c>
      <c r="D485" s="6">
        <v>0</v>
      </c>
      <c r="E485" s="6">
        <v>80</v>
      </c>
      <c r="F485" s="6">
        <v>80</v>
      </c>
      <c r="G485" s="6">
        <v>80</v>
      </c>
      <c r="H485" s="6">
        <v>83</v>
      </c>
      <c r="I485" s="6">
        <v>83</v>
      </c>
      <c r="J485" s="6">
        <v>83</v>
      </c>
      <c r="K485" s="6">
        <v>83</v>
      </c>
      <c r="L485" s="6">
        <v>80</v>
      </c>
      <c r="M485" s="6">
        <v>0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X485">
        <f ca="1">IF(V485=0,0,OFFSET(CreditMetrics!$B$474,MATCH(RAND(),OFFSET(CreditMetrics!$C$474,1,MATCH(BDClientes!V485,CreditMetrics!$B$475:$B$491,0),COUNT(CreditMetrics!$B$475:$B$491),1),1),0,1,1))</f>
        <v>0</v>
      </c>
      <c r="Z485" s="79"/>
    </row>
    <row r="486" spans="1:26" x14ac:dyDescent="0.25">
      <c r="A486" s="4">
        <v>485</v>
      </c>
      <c r="B486" s="5" t="s">
        <v>487</v>
      </c>
      <c r="C486" s="6">
        <v>0</v>
      </c>
      <c r="D486" s="6">
        <v>0</v>
      </c>
      <c r="E486" s="6">
        <v>83</v>
      </c>
      <c r="F486" s="6">
        <v>80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X486">
        <f ca="1">IF(V486=0,0,OFFSET(CreditMetrics!$B$474,MATCH(RAND(),OFFSET(CreditMetrics!$C$474,1,MATCH(BDClientes!V486,CreditMetrics!$B$475:$B$491,0),COUNT(CreditMetrics!$B$475:$B$491),1),1),0,1,1))</f>
        <v>0</v>
      </c>
      <c r="Z486" s="79"/>
    </row>
    <row r="487" spans="1:26" x14ac:dyDescent="0.25">
      <c r="A487" s="4">
        <v>486</v>
      </c>
      <c r="B487" s="5" t="s">
        <v>488</v>
      </c>
      <c r="C487" s="6">
        <v>0</v>
      </c>
      <c r="D487" s="6">
        <v>0</v>
      </c>
      <c r="E487" s="6">
        <v>73</v>
      </c>
      <c r="F487" s="6">
        <v>0</v>
      </c>
      <c r="G487" s="6">
        <v>0</v>
      </c>
      <c r="H487" s="6">
        <v>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0</v>
      </c>
      <c r="Q487" s="6">
        <v>0</v>
      </c>
      <c r="R487" s="6">
        <v>85</v>
      </c>
      <c r="S487" s="6">
        <v>85</v>
      </c>
      <c r="T487" s="6">
        <v>85</v>
      </c>
      <c r="U487" s="6">
        <v>85</v>
      </c>
      <c r="V487" s="6">
        <v>85</v>
      </c>
      <c r="W487" s="138">
        <v>111322.59523404448</v>
      </c>
      <c r="X487">
        <f ca="1">IF(V487=0,0,OFFSET(CreditMetrics!$B$474,MATCH(RAND(),OFFSET(CreditMetrics!$C$474,1,MATCH(BDClientes!V487,CreditMetrics!$B$475:$B$491,0),COUNT(CreditMetrics!$B$475:$B$491),1),1),0,1,1))</f>
        <v>85</v>
      </c>
      <c r="Z487" s="79"/>
    </row>
    <row r="488" spans="1:26" x14ac:dyDescent="0.25">
      <c r="A488" s="4">
        <v>487</v>
      </c>
      <c r="B488" s="5" t="s">
        <v>489</v>
      </c>
      <c r="C488" s="6">
        <v>0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80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X488">
        <f ca="1">IF(V488=0,0,OFFSET(CreditMetrics!$B$474,MATCH(RAND(),OFFSET(CreditMetrics!$C$474,1,MATCH(BDClientes!V488,CreditMetrics!$B$475:$B$491,0),COUNT(CreditMetrics!$B$475:$B$491),1),1),0,1,1))</f>
        <v>0</v>
      </c>
      <c r="Z488" s="79"/>
    </row>
    <row r="489" spans="1:26" x14ac:dyDescent="0.25">
      <c r="A489" s="4">
        <v>488</v>
      </c>
      <c r="B489" s="5" t="s">
        <v>490</v>
      </c>
      <c r="C489" s="6">
        <v>0</v>
      </c>
      <c r="D489" s="6">
        <v>0</v>
      </c>
      <c r="E489" s="6">
        <v>0</v>
      </c>
      <c r="F489" s="6">
        <v>85</v>
      </c>
      <c r="G489" s="6">
        <v>85</v>
      </c>
      <c r="H489" s="6">
        <v>85</v>
      </c>
      <c r="I489" s="6">
        <v>80</v>
      </c>
      <c r="J489" s="6">
        <v>85</v>
      </c>
      <c r="K489" s="6">
        <v>85</v>
      </c>
      <c r="L489" s="6">
        <v>75</v>
      </c>
      <c r="M489" s="6">
        <v>83</v>
      </c>
      <c r="N489" s="6">
        <v>83</v>
      </c>
      <c r="O489" s="6">
        <v>83</v>
      </c>
      <c r="P489" s="6">
        <v>83</v>
      </c>
      <c r="Q489" s="6">
        <v>85</v>
      </c>
      <c r="R489" s="6">
        <v>85</v>
      </c>
      <c r="S489" s="6">
        <v>85</v>
      </c>
      <c r="T489" s="6">
        <v>75</v>
      </c>
      <c r="U489" s="6">
        <v>75</v>
      </c>
      <c r="V489" s="6">
        <v>0</v>
      </c>
      <c r="X489">
        <f ca="1">IF(V489=0,0,OFFSET(CreditMetrics!$B$474,MATCH(RAND(),OFFSET(CreditMetrics!$C$474,1,MATCH(BDClientes!V489,CreditMetrics!$B$475:$B$491,0),COUNT(CreditMetrics!$B$475:$B$491),1),1),0,1,1))</f>
        <v>0</v>
      </c>
      <c r="Z489" s="79"/>
    </row>
    <row r="490" spans="1:26" x14ac:dyDescent="0.25">
      <c r="A490" s="4">
        <v>489</v>
      </c>
      <c r="B490" s="5" t="s">
        <v>491</v>
      </c>
      <c r="C490" s="6">
        <v>0</v>
      </c>
      <c r="D490" s="6">
        <v>0</v>
      </c>
      <c r="E490" s="6">
        <v>0</v>
      </c>
      <c r="F490" s="6">
        <v>85</v>
      </c>
      <c r="G490" s="6">
        <v>83</v>
      </c>
      <c r="H490" s="6">
        <v>83</v>
      </c>
      <c r="I490" s="6">
        <v>83</v>
      </c>
      <c r="J490" s="6">
        <v>85</v>
      </c>
      <c r="K490" s="6">
        <v>85</v>
      </c>
      <c r="L490" s="6">
        <v>85</v>
      </c>
      <c r="M490" s="6">
        <v>83</v>
      </c>
      <c r="N490" s="6">
        <v>85</v>
      </c>
      <c r="O490" s="6">
        <v>77</v>
      </c>
      <c r="P490" s="6">
        <v>80</v>
      </c>
      <c r="Q490" s="6">
        <v>80</v>
      </c>
      <c r="R490" s="6">
        <v>83</v>
      </c>
      <c r="S490" s="6">
        <v>83</v>
      </c>
      <c r="T490" s="6">
        <v>83</v>
      </c>
      <c r="U490" s="6">
        <v>83</v>
      </c>
      <c r="V490" s="6">
        <v>83</v>
      </c>
      <c r="W490" s="138">
        <v>187923.38240465301</v>
      </c>
      <c r="X490">
        <f ca="1">IF(V490=0,0,OFFSET(CreditMetrics!$B$474,MATCH(RAND(),OFFSET(CreditMetrics!$C$474,1,MATCH(BDClientes!V490,CreditMetrics!$B$475:$B$491,0),COUNT(CreditMetrics!$B$475:$B$491),1),1),0,1,1))</f>
        <v>40</v>
      </c>
      <c r="Z490" s="79"/>
    </row>
    <row r="491" spans="1:26" x14ac:dyDescent="0.25">
      <c r="A491" s="4">
        <v>490</v>
      </c>
      <c r="B491" s="5" t="s">
        <v>492</v>
      </c>
      <c r="C491" s="6">
        <v>0</v>
      </c>
      <c r="D491" s="6">
        <v>0</v>
      </c>
      <c r="E491" s="6">
        <v>0</v>
      </c>
      <c r="F491" s="6">
        <v>83</v>
      </c>
      <c r="G491" s="6">
        <v>83</v>
      </c>
      <c r="H491" s="6">
        <v>83</v>
      </c>
      <c r="I491" s="6">
        <v>83</v>
      </c>
      <c r="J491" s="6">
        <v>83</v>
      </c>
      <c r="K491" s="6">
        <v>83</v>
      </c>
      <c r="L491" s="6">
        <v>85</v>
      </c>
      <c r="M491" s="6">
        <v>85</v>
      </c>
      <c r="N491" s="6">
        <v>83</v>
      </c>
      <c r="O491" s="6">
        <v>83</v>
      </c>
      <c r="P491" s="6">
        <v>83</v>
      </c>
      <c r="Q491" s="6">
        <v>83</v>
      </c>
      <c r="R491" s="6">
        <v>83</v>
      </c>
      <c r="S491" s="6">
        <v>83</v>
      </c>
      <c r="T491" s="6">
        <v>83</v>
      </c>
      <c r="U491" s="6">
        <v>83</v>
      </c>
      <c r="V491" s="6">
        <v>85</v>
      </c>
      <c r="W491" s="138">
        <v>196007.45497260982</v>
      </c>
      <c r="X491">
        <f ca="1">IF(V491=0,0,OFFSET(CreditMetrics!$B$474,MATCH(RAND(),OFFSET(CreditMetrics!$C$474,1,MATCH(BDClientes!V491,CreditMetrics!$B$475:$B$491,0),COUNT(CreditMetrics!$B$475:$B$491),1),1),0,1,1))</f>
        <v>87</v>
      </c>
      <c r="Z491" s="79"/>
    </row>
    <row r="492" spans="1:26" x14ac:dyDescent="0.25">
      <c r="A492" s="4">
        <v>491</v>
      </c>
      <c r="B492" s="5" t="s">
        <v>493</v>
      </c>
      <c r="C492" s="6">
        <v>0</v>
      </c>
      <c r="D492" s="6">
        <v>0</v>
      </c>
      <c r="E492" s="6">
        <v>0</v>
      </c>
      <c r="F492" s="6">
        <v>80</v>
      </c>
      <c r="G492" s="6">
        <v>80</v>
      </c>
      <c r="H492" s="6">
        <v>77</v>
      </c>
      <c r="I492" s="6">
        <v>77</v>
      </c>
      <c r="J492" s="6">
        <v>80</v>
      </c>
      <c r="K492" s="6">
        <v>80</v>
      </c>
      <c r="L492" s="6">
        <v>75</v>
      </c>
      <c r="M492" s="6">
        <v>75</v>
      </c>
      <c r="N492" s="6">
        <v>73</v>
      </c>
      <c r="O492" s="6">
        <v>75</v>
      </c>
      <c r="P492" s="6">
        <v>77</v>
      </c>
      <c r="Q492" s="6">
        <v>77</v>
      </c>
      <c r="R492" s="6">
        <v>77</v>
      </c>
      <c r="S492" s="6">
        <v>83</v>
      </c>
      <c r="T492" s="6">
        <v>83</v>
      </c>
      <c r="U492" s="6">
        <v>75</v>
      </c>
      <c r="V492" s="6">
        <v>75</v>
      </c>
      <c r="W492" s="138">
        <v>296488.82669719763</v>
      </c>
      <c r="X492">
        <f ca="1">IF(V492=0,0,OFFSET(CreditMetrics!$B$474,MATCH(RAND(),OFFSET(CreditMetrics!$C$474,1,MATCH(BDClientes!V492,CreditMetrics!$B$475:$B$491,0),COUNT(CreditMetrics!$B$475:$B$491),1),1),0,1,1))</f>
        <v>87</v>
      </c>
      <c r="Z492" s="79"/>
    </row>
    <row r="493" spans="1:26" x14ac:dyDescent="0.25">
      <c r="A493" s="4">
        <v>492</v>
      </c>
      <c r="B493" s="5" t="s">
        <v>494</v>
      </c>
      <c r="C493" s="6">
        <v>0</v>
      </c>
      <c r="D493" s="6">
        <v>0</v>
      </c>
      <c r="E493" s="6">
        <v>0</v>
      </c>
      <c r="F493" s="6">
        <v>0</v>
      </c>
      <c r="G493" s="6">
        <v>80</v>
      </c>
      <c r="H493" s="6">
        <v>83</v>
      </c>
      <c r="I493" s="6">
        <v>83</v>
      </c>
      <c r="J493" s="6">
        <v>83</v>
      </c>
      <c r="K493" s="6">
        <v>0</v>
      </c>
      <c r="L493" s="6">
        <v>0</v>
      </c>
      <c r="M493" s="6">
        <v>73</v>
      </c>
      <c r="N493" s="6">
        <v>80</v>
      </c>
      <c r="O493" s="6">
        <v>80</v>
      </c>
      <c r="P493" s="6">
        <v>73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X493">
        <f ca="1">IF(V493=0,0,OFFSET(CreditMetrics!$B$474,MATCH(RAND(),OFFSET(CreditMetrics!$C$474,1,MATCH(BDClientes!V493,CreditMetrics!$B$475:$B$491,0),COUNT(CreditMetrics!$B$475:$B$491),1),1),0,1,1))</f>
        <v>0</v>
      </c>
      <c r="Z493" s="79"/>
    </row>
    <row r="494" spans="1:26" x14ac:dyDescent="0.25">
      <c r="A494" s="4">
        <v>493</v>
      </c>
      <c r="B494" s="5" t="s">
        <v>495</v>
      </c>
      <c r="C494" s="6">
        <v>0</v>
      </c>
      <c r="D494" s="6">
        <v>0</v>
      </c>
      <c r="E494" s="6">
        <v>0</v>
      </c>
      <c r="F494" s="6">
        <v>0</v>
      </c>
      <c r="G494" s="6">
        <v>85</v>
      </c>
      <c r="H494" s="6">
        <v>80</v>
      </c>
      <c r="I494" s="6">
        <v>83</v>
      </c>
      <c r="J494" s="6">
        <v>80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X494">
        <f ca="1">IF(V494=0,0,OFFSET(CreditMetrics!$B$474,MATCH(RAND(),OFFSET(CreditMetrics!$C$474,1,MATCH(BDClientes!V494,CreditMetrics!$B$475:$B$491,0),COUNT(CreditMetrics!$B$475:$B$491),1),1),0,1,1))</f>
        <v>0</v>
      </c>
      <c r="Z494" s="79"/>
    </row>
    <row r="495" spans="1:26" x14ac:dyDescent="0.25">
      <c r="A495" s="4">
        <v>494</v>
      </c>
      <c r="B495" s="5" t="s">
        <v>496</v>
      </c>
      <c r="C495" s="6">
        <v>0</v>
      </c>
      <c r="D495" s="6">
        <v>0</v>
      </c>
      <c r="E495" s="6">
        <v>0</v>
      </c>
      <c r="F495" s="6">
        <v>0</v>
      </c>
      <c r="G495" s="6">
        <v>83</v>
      </c>
      <c r="H495" s="6">
        <v>80</v>
      </c>
      <c r="I495" s="6">
        <v>80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X495">
        <f ca="1">IF(V495=0,0,OFFSET(CreditMetrics!$B$474,MATCH(RAND(),OFFSET(CreditMetrics!$C$474,1,MATCH(BDClientes!V495,CreditMetrics!$B$475:$B$491,0),COUNT(CreditMetrics!$B$475:$B$491),1),1),0,1,1))</f>
        <v>0</v>
      </c>
      <c r="Z495" s="79"/>
    </row>
    <row r="496" spans="1:26" x14ac:dyDescent="0.25">
      <c r="A496" s="4">
        <v>495</v>
      </c>
      <c r="B496" s="5" t="s">
        <v>497</v>
      </c>
      <c r="C496" s="6">
        <v>0</v>
      </c>
      <c r="D496" s="6">
        <v>0</v>
      </c>
      <c r="E496" s="6">
        <v>0</v>
      </c>
      <c r="F496" s="6">
        <v>0</v>
      </c>
      <c r="G496" s="6">
        <v>85</v>
      </c>
      <c r="H496" s="6">
        <v>85</v>
      </c>
      <c r="I496" s="6">
        <v>85</v>
      </c>
      <c r="J496" s="6">
        <v>85</v>
      </c>
      <c r="K496" s="6">
        <v>87</v>
      </c>
      <c r="L496" s="6">
        <v>85</v>
      </c>
      <c r="M496" s="6">
        <v>85</v>
      </c>
      <c r="N496" s="6">
        <v>85</v>
      </c>
      <c r="O496" s="6">
        <v>85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X496">
        <f ca="1">IF(V496=0,0,OFFSET(CreditMetrics!$B$474,MATCH(RAND(),OFFSET(CreditMetrics!$C$474,1,MATCH(BDClientes!V496,CreditMetrics!$B$475:$B$491,0),COUNT(CreditMetrics!$B$475:$B$491),1),1),0,1,1))</f>
        <v>0</v>
      </c>
      <c r="Z496" s="79"/>
    </row>
    <row r="497" spans="1:26" x14ac:dyDescent="0.25">
      <c r="A497" s="4">
        <v>496</v>
      </c>
      <c r="B497" s="5" t="s">
        <v>498</v>
      </c>
      <c r="C497" s="6">
        <v>0</v>
      </c>
      <c r="D497" s="6">
        <v>0</v>
      </c>
      <c r="E497" s="6">
        <v>0</v>
      </c>
      <c r="F497" s="6">
        <v>0</v>
      </c>
      <c r="G497" s="6">
        <v>83</v>
      </c>
      <c r="H497" s="6">
        <v>85</v>
      </c>
      <c r="I497" s="6">
        <v>0</v>
      </c>
      <c r="J497" s="6">
        <v>0</v>
      </c>
      <c r="K497" s="6">
        <v>0</v>
      </c>
      <c r="L497" s="6">
        <v>80</v>
      </c>
      <c r="M497" s="6">
        <v>70</v>
      </c>
      <c r="N497" s="6">
        <v>73</v>
      </c>
      <c r="O497" s="6">
        <v>70</v>
      </c>
      <c r="P497" s="6">
        <v>65</v>
      </c>
      <c r="Q497" s="6">
        <v>85</v>
      </c>
      <c r="R497" s="6">
        <v>0</v>
      </c>
      <c r="S497" s="6">
        <v>0</v>
      </c>
      <c r="T497" s="6">
        <v>83</v>
      </c>
      <c r="U497" s="6">
        <v>0</v>
      </c>
      <c r="V497" s="6">
        <v>0</v>
      </c>
      <c r="X497">
        <f ca="1">IF(V497=0,0,OFFSET(CreditMetrics!$B$474,MATCH(RAND(),OFFSET(CreditMetrics!$C$474,1,MATCH(BDClientes!V497,CreditMetrics!$B$475:$B$491,0),COUNT(CreditMetrics!$B$475:$B$491),1),1),0,1,1))</f>
        <v>0</v>
      </c>
      <c r="Z497" s="79"/>
    </row>
    <row r="498" spans="1:26" x14ac:dyDescent="0.25">
      <c r="A498" s="4">
        <v>497</v>
      </c>
      <c r="B498" s="5" t="s">
        <v>499</v>
      </c>
      <c r="C498" s="6">
        <v>0</v>
      </c>
      <c r="D498" s="6">
        <v>0</v>
      </c>
      <c r="E498" s="6">
        <v>0</v>
      </c>
      <c r="F498" s="6">
        <v>0</v>
      </c>
      <c r="G498" s="6">
        <v>0</v>
      </c>
      <c r="H498" s="6">
        <v>85</v>
      </c>
      <c r="I498" s="6">
        <v>85</v>
      </c>
      <c r="J498" s="6">
        <v>83</v>
      </c>
      <c r="K498" s="6">
        <v>83</v>
      </c>
      <c r="L498" s="6">
        <v>83</v>
      </c>
      <c r="M498" s="6">
        <v>83</v>
      </c>
      <c r="N498" s="6">
        <v>83</v>
      </c>
      <c r="O498" s="6">
        <v>83</v>
      </c>
      <c r="P498" s="6">
        <v>85</v>
      </c>
      <c r="Q498" s="6">
        <v>75</v>
      </c>
      <c r="R498" s="6">
        <v>85</v>
      </c>
      <c r="S498" s="6">
        <v>0</v>
      </c>
      <c r="T498" s="6">
        <v>0</v>
      </c>
      <c r="U498" s="6">
        <v>0</v>
      </c>
      <c r="V498" s="6">
        <v>0</v>
      </c>
      <c r="X498">
        <f ca="1">IF(V498=0,0,OFFSET(CreditMetrics!$B$474,MATCH(RAND(),OFFSET(CreditMetrics!$C$474,1,MATCH(BDClientes!V498,CreditMetrics!$B$475:$B$491,0),COUNT(CreditMetrics!$B$475:$B$491),1),1),0,1,1))</f>
        <v>0</v>
      </c>
      <c r="Z498" s="79"/>
    </row>
    <row r="499" spans="1:26" x14ac:dyDescent="0.25">
      <c r="A499" s="4">
        <v>498</v>
      </c>
      <c r="B499" s="5" t="s">
        <v>500</v>
      </c>
      <c r="C499" s="6">
        <v>0</v>
      </c>
      <c r="D499" s="6">
        <v>0</v>
      </c>
      <c r="E499" s="6">
        <v>0</v>
      </c>
      <c r="F499" s="6">
        <v>0</v>
      </c>
      <c r="G499" s="6">
        <v>0</v>
      </c>
      <c r="H499" s="6">
        <v>83</v>
      </c>
      <c r="I499" s="6">
        <v>83</v>
      </c>
      <c r="J499" s="6">
        <v>0</v>
      </c>
      <c r="K499" s="6">
        <v>83</v>
      </c>
      <c r="L499" s="6">
        <v>85</v>
      </c>
      <c r="M499" s="6">
        <v>77</v>
      </c>
      <c r="N499" s="6">
        <v>77</v>
      </c>
      <c r="O499" s="6">
        <v>0</v>
      </c>
      <c r="P499" s="6">
        <v>0</v>
      </c>
      <c r="Q499" s="6">
        <v>0</v>
      </c>
      <c r="R499" s="6">
        <v>75</v>
      </c>
      <c r="S499" s="6">
        <v>0</v>
      </c>
      <c r="T499" s="6">
        <v>0</v>
      </c>
      <c r="U499" s="6">
        <v>0</v>
      </c>
      <c r="V499" s="6">
        <v>0</v>
      </c>
      <c r="X499">
        <f ca="1">IF(V499=0,0,OFFSET(CreditMetrics!$B$474,MATCH(RAND(),OFFSET(CreditMetrics!$C$474,1,MATCH(BDClientes!V499,CreditMetrics!$B$475:$B$491,0),COUNT(CreditMetrics!$B$475:$B$491),1),1),0,1,1))</f>
        <v>0</v>
      </c>
      <c r="Z499" s="79"/>
    </row>
    <row r="500" spans="1:26" x14ac:dyDescent="0.25">
      <c r="A500" s="4">
        <v>499</v>
      </c>
      <c r="B500" s="5" t="s">
        <v>501</v>
      </c>
      <c r="C500" s="6">
        <v>0</v>
      </c>
      <c r="D500" s="6">
        <v>0</v>
      </c>
      <c r="E500" s="6">
        <v>0</v>
      </c>
      <c r="F500" s="6">
        <v>0</v>
      </c>
      <c r="G500" s="6">
        <v>0</v>
      </c>
      <c r="H500" s="6">
        <v>83</v>
      </c>
      <c r="I500" s="6">
        <v>80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X500">
        <f ca="1">IF(V500=0,0,OFFSET(CreditMetrics!$B$474,MATCH(RAND(),OFFSET(CreditMetrics!$C$474,1,MATCH(BDClientes!V500,CreditMetrics!$B$475:$B$491,0),COUNT(CreditMetrics!$B$475:$B$491),1),1),0,1,1))</f>
        <v>0</v>
      </c>
      <c r="Z500" s="79"/>
    </row>
    <row r="501" spans="1:26" x14ac:dyDescent="0.25">
      <c r="A501" s="4">
        <v>500</v>
      </c>
      <c r="B501" s="5" t="s">
        <v>502</v>
      </c>
      <c r="C501" s="6">
        <v>0</v>
      </c>
      <c r="D501" s="6">
        <v>0</v>
      </c>
      <c r="E501" s="6">
        <v>0</v>
      </c>
      <c r="F501" s="6">
        <v>0</v>
      </c>
      <c r="G501" s="6">
        <v>0</v>
      </c>
      <c r="H501" s="6">
        <v>80</v>
      </c>
      <c r="I501" s="6">
        <v>80</v>
      </c>
      <c r="J501" s="6">
        <v>83</v>
      </c>
      <c r="K501" s="6">
        <v>83</v>
      </c>
      <c r="L501" s="6">
        <v>83</v>
      </c>
      <c r="M501" s="6">
        <v>83</v>
      </c>
      <c r="N501" s="6">
        <v>80</v>
      </c>
      <c r="O501" s="6">
        <v>80</v>
      </c>
      <c r="P501" s="6">
        <v>80</v>
      </c>
      <c r="Q501" s="6">
        <v>75</v>
      </c>
      <c r="R501" s="6">
        <v>77</v>
      </c>
      <c r="S501" s="6">
        <v>80</v>
      </c>
      <c r="T501" s="6">
        <v>80</v>
      </c>
      <c r="U501" s="6">
        <v>77</v>
      </c>
      <c r="V501" s="6">
        <v>77</v>
      </c>
      <c r="W501" s="138">
        <v>180182.07683164068</v>
      </c>
      <c r="X501">
        <f ca="1">IF(V501=0,0,OFFSET(CreditMetrics!$B$474,MATCH(RAND(),OFFSET(CreditMetrics!$C$474,1,MATCH(BDClientes!V501,CreditMetrics!$B$475:$B$491,0),COUNT(CreditMetrics!$B$475:$B$491),1),1),0,1,1))</f>
        <v>80</v>
      </c>
      <c r="Z501" s="79"/>
    </row>
    <row r="502" spans="1:26" x14ac:dyDescent="0.25">
      <c r="A502" s="4">
        <v>501</v>
      </c>
      <c r="B502" s="5" t="s">
        <v>503</v>
      </c>
      <c r="C502" s="6">
        <v>0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85</v>
      </c>
      <c r="J502" s="6">
        <v>83</v>
      </c>
      <c r="K502" s="6">
        <v>85</v>
      </c>
      <c r="L502" s="6">
        <v>87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X502">
        <f ca="1">IF(V502=0,0,OFFSET(CreditMetrics!$B$474,MATCH(RAND(),OFFSET(CreditMetrics!$C$474,1,MATCH(BDClientes!V502,CreditMetrics!$B$475:$B$491,0),COUNT(CreditMetrics!$B$475:$B$491),1),1),0,1,1))</f>
        <v>0</v>
      </c>
      <c r="Z502" s="79"/>
    </row>
    <row r="503" spans="1:26" x14ac:dyDescent="0.25">
      <c r="A503" s="4">
        <v>502</v>
      </c>
      <c r="B503" s="5" t="s">
        <v>504</v>
      </c>
      <c r="C503" s="6">
        <v>0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85</v>
      </c>
      <c r="J503" s="6">
        <v>85</v>
      </c>
      <c r="K503" s="6">
        <v>87</v>
      </c>
      <c r="L503" s="6">
        <v>87</v>
      </c>
      <c r="M503" s="6">
        <v>87</v>
      </c>
      <c r="N503" s="6">
        <v>87</v>
      </c>
      <c r="O503" s="6">
        <v>87</v>
      </c>
      <c r="P503" s="6">
        <v>87</v>
      </c>
      <c r="Q503" s="6">
        <v>87</v>
      </c>
      <c r="R503" s="6">
        <v>90</v>
      </c>
      <c r="S503" s="6">
        <v>85</v>
      </c>
      <c r="T503" s="6">
        <v>87</v>
      </c>
      <c r="U503" s="6">
        <v>87</v>
      </c>
      <c r="V503" s="6">
        <v>87</v>
      </c>
      <c r="W503" s="138">
        <v>670667.95966117876</v>
      </c>
      <c r="X503">
        <f ca="1">IF(V503=0,0,OFFSET(CreditMetrics!$B$474,MATCH(RAND(),OFFSET(CreditMetrics!$C$474,1,MATCH(BDClientes!V503,CreditMetrics!$B$475:$B$491,0),COUNT(CreditMetrics!$B$475:$B$491),1),1),0,1,1))</f>
        <v>83</v>
      </c>
      <c r="Z503" s="79"/>
    </row>
    <row r="504" spans="1:26" x14ac:dyDescent="0.25">
      <c r="A504" s="4">
        <v>503</v>
      </c>
      <c r="B504" s="5" t="s">
        <v>505</v>
      </c>
      <c r="C504" s="6">
        <v>0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73</v>
      </c>
      <c r="K504" s="6">
        <v>70</v>
      </c>
      <c r="L504" s="6">
        <v>73</v>
      </c>
      <c r="M504" s="6">
        <v>65</v>
      </c>
      <c r="N504" s="6">
        <v>65</v>
      </c>
      <c r="O504" s="6">
        <v>65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X504">
        <f ca="1">IF(V504=0,0,OFFSET(CreditMetrics!$B$474,MATCH(RAND(),OFFSET(CreditMetrics!$C$474,1,MATCH(BDClientes!V504,CreditMetrics!$B$475:$B$491,0),COUNT(CreditMetrics!$B$475:$B$491),1),1),0,1,1))</f>
        <v>0</v>
      </c>
      <c r="Z504" s="79"/>
    </row>
    <row r="505" spans="1:26" x14ac:dyDescent="0.25">
      <c r="A505" s="4">
        <v>504</v>
      </c>
      <c r="B505" s="5" t="s">
        <v>506</v>
      </c>
      <c r="C505" s="6">
        <v>0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80</v>
      </c>
      <c r="J505" s="6">
        <v>77</v>
      </c>
      <c r="K505" s="6">
        <v>80</v>
      </c>
      <c r="L505" s="6">
        <v>83</v>
      </c>
      <c r="M505" s="6">
        <v>83</v>
      </c>
      <c r="N505" s="6">
        <v>83</v>
      </c>
      <c r="O505" s="6">
        <v>83</v>
      </c>
      <c r="P505" s="6">
        <v>83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X505">
        <f ca="1">IF(V505=0,0,OFFSET(CreditMetrics!$B$474,MATCH(RAND(),OFFSET(CreditMetrics!$C$474,1,MATCH(BDClientes!V505,CreditMetrics!$B$475:$B$491,0),COUNT(CreditMetrics!$B$475:$B$491),1),1),0,1,1))</f>
        <v>0</v>
      </c>
      <c r="Z505" s="79"/>
    </row>
    <row r="506" spans="1:26" x14ac:dyDescent="0.25">
      <c r="A506" s="4">
        <v>505</v>
      </c>
      <c r="B506" s="5" t="s">
        <v>507</v>
      </c>
      <c r="C506" s="6">
        <v>0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83</v>
      </c>
      <c r="J506" s="6">
        <v>80</v>
      </c>
      <c r="K506" s="6">
        <v>75</v>
      </c>
      <c r="L506" s="6">
        <v>70</v>
      </c>
      <c r="M506" s="6">
        <v>65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X506">
        <f ca="1">IF(V506=0,0,OFFSET(CreditMetrics!$B$474,MATCH(RAND(),OFFSET(CreditMetrics!$C$474,1,MATCH(BDClientes!V506,CreditMetrics!$B$475:$B$491,0),COUNT(CreditMetrics!$B$475:$B$491),1),1),0,1,1))</f>
        <v>0</v>
      </c>
      <c r="Z506" s="79"/>
    </row>
    <row r="507" spans="1:26" x14ac:dyDescent="0.25">
      <c r="A507" s="4">
        <v>506</v>
      </c>
      <c r="B507" s="5" t="s">
        <v>508</v>
      </c>
      <c r="C507" s="6">
        <v>0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85</v>
      </c>
      <c r="K507" s="6">
        <v>85</v>
      </c>
      <c r="L507" s="6">
        <v>83</v>
      </c>
      <c r="M507" s="6">
        <v>77</v>
      </c>
      <c r="N507" s="6">
        <v>80</v>
      </c>
      <c r="O507" s="6">
        <v>83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X507">
        <f ca="1">IF(V507=0,0,OFFSET(CreditMetrics!$B$474,MATCH(RAND(),OFFSET(CreditMetrics!$C$474,1,MATCH(BDClientes!V507,CreditMetrics!$B$475:$B$491,0),COUNT(CreditMetrics!$B$475:$B$491),1),1),0,1,1))</f>
        <v>0</v>
      </c>
      <c r="Z507" s="79"/>
    </row>
    <row r="508" spans="1:26" x14ac:dyDescent="0.25">
      <c r="A508" s="4">
        <v>507</v>
      </c>
      <c r="B508" s="5" t="s">
        <v>509</v>
      </c>
      <c r="C508" s="6">
        <v>0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80</v>
      </c>
      <c r="K508" s="6">
        <v>0</v>
      </c>
      <c r="L508" s="6">
        <v>83</v>
      </c>
      <c r="M508" s="6">
        <v>80</v>
      </c>
      <c r="N508" s="6">
        <v>80</v>
      </c>
      <c r="O508" s="6">
        <v>83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X508">
        <f ca="1">IF(V508=0,0,OFFSET(CreditMetrics!$B$474,MATCH(RAND(),OFFSET(CreditMetrics!$C$474,1,MATCH(BDClientes!V508,CreditMetrics!$B$475:$B$491,0),COUNT(CreditMetrics!$B$475:$B$491),1),1),0,1,1))</f>
        <v>0</v>
      </c>
      <c r="Z508" s="79"/>
    </row>
    <row r="509" spans="1:26" x14ac:dyDescent="0.25">
      <c r="A509" s="4">
        <v>508</v>
      </c>
      <c r="B509" s="5" t="s">
        <v>510</v>
      </c>
      <c r="C509" s="6">
        <v>0</v>
      </c>
      <c r="D509" s="6">
        <v>0</v>
      </c>
      <c r="E509" s="6">
        <v>0</v>
      </c>
      <c r="F509" s="6">
        <v>0</v>
      </c>
      <c r="G509" s="6">
        <v>0</v>
      </c>
      <c r="H509" s="6">
        <v>75</v>
      </c>
      <c r="I509" s="6">
        <v>73</v>
      </c>
      <c r="J509" s="6">
        <v>80</v>
      </c>
      <c r="K509" s="6">
        <v>83</v>
      </c>
      <c r="L509" s="6">
        <v>83</v>
      </c>
      <c r="M509" s="6">
        <v>77</v>
      </c>
      <c r="N509" s="6">
        <v>75</v>
      </c>
      <c r="O509" s="6">
        <v>77</v>
      </c>
      <c r="P509" s="6">
        <v>75</v>
      </c>
      <c r="Q509" s="6">
        <v>75</v>
      </c>
      <c r="R509" s="6">
        <v>75</v>
      </c>
      <c r="S509" s="6">
        <v>73</v>
      </c>
      <c r="T509" s="6">
        <v>75</v>
      </c>
      <c r="U509" s="6">
        <v>77</v>
      </c>
      <c r="V509" s="6">
        <v>77</v>
      </c>
      <c r="W509" s="138">
        <v>203632.09108954982</v>
      </c>
      <c r="X509">
        <f ca="1">IF(V509=0,0,OFFSET(CreditMetrics!$B$474,MATCH(RAND(),OFFSET(CreditMetrics!$C$474,1,MATCH(BDClientes!V509,CreditMetrics!$B$475:$B$491,0),COUNT(CreditMetrics!$B$475:$B$491),1),1),0,1,1))</f>
        <v>77</v>
      </c>
      <c r="Z509" s="79"/>
    </row>
    <row r="510" spans="1:26" x14ac:dyDescent="0.25">
      <c r="A510" s="4">
        <v>509</v>
      </c>
      <c r="B510" s="5" t="s">
        <v>511</v>
      </c>
      <c r="C510" s="6">
        <v>0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83</v>
      </c>
      <c r="J510" s="6">
        <v>80</v>
      </c>
      <c r="K510" s="6">
        <v>80</v>
      </c>
      <c r="L510" s="6">
        <v>75</v>
      </c>
      <c r="M510" s="6">
        <v>75</v>
      </c>
      <c r="N510" s="6">
        <v>73</v>
      </c>
      <c r="O510" s="6">
        <v>75</v>
      </c>
      <c r="P510" s="6">
        <v>77</v>
      </c>
      <c r="Q510" s="6">
        <v>77</v>
      </c>
      <c r="R510" s="6">
        <v>77</v>
      </c>
      <c r="S510" s="6">
        <v>77</v>
      </c>
      <c r="T510" s="6">
        <v>77</v>
      </c>
      <c r="U510" s="6">
        <v>77</v>
      </c>
      <c r="V510" s="6">
        <v>77</v>
      </c>
      <c r="W510" s="138">
        <v>126059.23789794785</v>
      </c>
      <c r="X510">
        <f ca="1">IF(V510=0,0,OFFSET(CreditMetrics!$B$474,MATCH(RAND(),OFFSET(CreditMetrics!$C$474,1,MATCH(BDClientes!V510,CreditMetrics!$B$475:$B$491,0),COUNT(CreditMetrics!$B$475:$B$491),1),1),0,1,1))</f>
        <v>77</v>
      </c>
      <c r="Z510" s="79"/>
    </row>
    <row r="511" spans="1:26" x14ac:dyDescent="0.25">
      <c r="A511" s="4">
        <v>510</v>
      </c>
      <c r="B511" s="5" t="s">
        <v>512</v>
      </c>
      <c r="C511" s="6">
        <v>0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87</v>
      </c>
      <c r="J511" s="6">
        <v>87</v>
      </c>
      <c r="K511" s="6">
        <v>87</v>
      </c>
      <c r="L511" s="6">
        <v>80</v>
      </c>
      <c r="M511" s="6">
        <v>80</v>
      </c>
      <c r="N511" s="6">
        <v>83</v>
      </c>
      <c r="O511" s="6">
        <v>80</v>
      </c>
      <c r="P511" s="6">
        <v>83</v>
      </c>
      <c r="Q511" s="6">
        <v>80</v>
      </c>
      <c r="R511" s="6">
        <v>0</v>
      </c>
      <c r="S511" s="6">
        <v>83</v>
      </c>
      <c r="T511" s="6">
        <v>83</v>
      </c>
      <c r="U511" s="6">
        <v>0</v>
      </c>
      <c r="V511" s="6">
        <v>83</v>
      </c>
      <c r="W511" s="138">
        <v>177085.85005025705</v>
      </c>
      <c r="X511">
        <f ca="1">IF(V511=0,0,OFFSET(CreditMetrics!$B$474,MATCH(RAND(),OFFSET(CreditMetrics!$C$474,1,MATCH(BDClientes!V511,CreditMetrics!$B$475:$B$491,0),COUNT(CreditMetrics!$B$475:$B$491),1),1),0,1,1))</f>
        <v>80</v>
      </c>
      <c r="Z511" s="79"/>
    </row>
    <row r="512" spans="1:26" x14ac:dyDescent="0.25">
      <c r="A512" s="4">
        <v>511</v>
      </c>
      <c r="B512" s="5" t="s">
        <v>513</v>
      </c>
      <c r="C512" s="6">
        <v>0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80</v>
      </c>
      <c r="J512" s="6">
        <v>80</v>
      </c>
      <c r="K512" s="6">
        <v>83</v>
      </c>
      <c r="L512" s="6">
        <v>85</v>
      </c>
      <c r="M512" s="6">
        <v>85</v>
      </c>
      <c r="N512" s="6">
        <v>85</v>
      </c>
      <c r="O512" s="6">
        <v>85</v>
      </c>
      <c r="P512" s="6">
        <v>85</v>
      </c>
      <c r="Q512" s="6">
        <v>85</v>
      </c>
      <c r="R512" s="6">
        <v>85</v>
      </c>
      <c r="S512" s="6">
        <v>83</v>
      </c>
      <c r="T512" s="6">
        <v>83</v>
      </c>
      <c r="U512" s="6">
        <v>85</v>
      </c>
      <c r="V512" s="6">
        <v>83</v>
      </c>
      <c r="W512" s="138">
        <v>150473.42122523551</v>
      </c>
      <c r="X512">
        <f ca="1">IF(V512=0,0,OFFSET(CreditMetrics!$B$474,MATCH(RAND(),OFFSET(CreditMetrics!$C$474,1,MATCH(BDClientes!V512,CreditMetrics!$B$475:$B$491,0),COUNT(CreditMetrics!$B$475:$B$491),1),1),0,1,1))</f>
        <v>83</v>
      </c>
      <c r="Z512" s="79"/>
    </row>
    <row r="513" spans="1:26" x14ac:dyDescent="0.25">
      <c r="A513" s="4">
        <v>512</v>
      </c>
      <c r="B513" s="5" t="s">
        <v>514</v>
      </c>
      <c r="C513" s="6">
        <v>0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83</v>
      </c>
      <c r="J513" s="6">
        <v>83</v>
      </c>
      <c r="K513" s="6">
        <v>0</v>
      </c>
      <c r="L513" s="6">
        <v>0</v>
      </c>
      <c r="M513" s="6">
        <v>0</v>
      </c>
      <c r="N513" s="6">
        <v>0</v>
      </c>
      <c r="O513" s="6">
        <v>0</v>
      </c>
      <c r="P513" s="6">
        <v>0</v>
      </c>
      <c r="Q513" s="6">
        <v>83</v>
      </c>
      <c r="R513" s="6">
        <v>85</v>
      </c>
      <c r="S513" s="6">
        <v>0</v>
      </c>
      <c r="T513" s="6">
        <v>0</v>
      </c>
      <c r="U513" s="6">
        <v>0</v>
      </c>
      <c r="V513" s="6">
        <v>0</v>
      </c>
      <c r="X513">
        <f ca="1">IF(V513=0,0,OFFSET(CreditMetrics!$B$474,MATCH(RAND(),OFFSET(CreditMetrics!$C$474,1,MATCH(BDClientes!V513,CreditMetrics!$B$475:$B$491,0),COUNT(CreditMetrics!$B$475:$B$491),1),1),0,1,1))</f>
        <v>0</v>
      </c>
      <c r="Z513" s="79"/>
    </row>
    <row r="514" spans="1:26" x14ac:dyDescent="0.25">
      <c r="A514" s="4">
        <v>513</v>
      </c>
      <c r="B514" s="5" t="s">
        <v>515</v>
      </c>
      <c r="C514" s="6">
        <v>0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87</v>
      </c>
      <c r="J514" s="6">
        <v>87</v>
      </c>
      <c r="K514" s="6">
        <v>85</v>
      </c>
      <c r="L514" s="6">
        <v>85</v>
      </c>
      <c r="M514" s="6">
        <v>87</v>
      </c>
      <c r="N514" s="6">
        <v>87</v>
      </c>
      <c r="O514" s="6">
        <v>83</v>
      </c>
      <c r="P514" s="6">
        <v>83</v>
      </c>
      <c r="Q514" s="6">
        <v>80</v>
      </c>
      <c r="R514" s="6">
        <v>80</v>
      </c>
      <c r="S514" s="6">
        <v>80</v>
      </c>
      <c r="T514" s="6">
        <v>95</v>
      </c>
      <c r="U514" s="6">
        <v>95</v>
      </c>
      <c r="V514" s="6">
        <v>0</v>
      </c>
      <c r="X514">
        <f ca="1">IF(V514=0,0,OFFSET(CreditMetrics!$B$474,MATCH(RAND(),OFFSET(CreditMetrics!$C$474,1,MATCH(BDClientes!V514,CreditMetrics!$B$475:$B$491,0),COUNT(CreditMetrics!$B$475:$B$491),1),1),0,1,1))</f>
        <v>0</v>
      </c>
      <c r="Z514" s="79"/>
    </row>
    <row r="515" spans="1:26" x14ac:dyDescent="0.25">
      <c r="A515" s="4">
        <v>514</v>
      </c>
      <c r="B515" s="5" t="s">
        <v>516</v>
      </c>
      <c r="C515" s="6">
        <v>0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85</v>
      </c>
      <c r="J515" s="6">
        <v>80</v>
      </c>
      <c r="K515" s="6">
        <v>83</v>
      </c>
      <c r="L515" s="6">
        <v>83</v>
      </c>
      <c r="M515" s="6">
        <v>83</v>
      </c>
      <c r="N515" s="6">
        <v>83</v>
      </c>
      <c r="O515" s="6">
        <v>80</v>
      </c>
      <c r="P515" s="6">
        <v>80</v>
      </c>
      <c r="Q515" s="6">
        <v>83</v>
      </c>
      <c r="R515" s="6">
        <v>83</v>
      </c>
      <c r="S515" s="6">
        <v>70</v>
      </c>
      <c r="T515" s="6">
        <v>0</v>
      </c>
      <c r="U515" s="6">
        <v>95</v>
      </c>
      <c r="V515" s="6">
        <v>95</v>
      </c>
      <c r="W515" s="138">
        <v>2900803.7503954438</v>
      </c>
      <c r="X515">
        <f ca="1">IF(V515=0,0,OFFSET(CreditMetrics!$B$474,MATCH(RAND(),OFFSET(CreditMetrics!$C$474,1,MATCH(BDClientes!V515,CreditMetrics!$B$475:$B$491,0),COUNT(CreditMetrics!$B$475:$B$491),1),1),0,1,1))</f>
        <v>95</v>
      </c>
      <c r="Z515" s="79"/>
    </row>
    <row r="516" spans="1:26" x14ac:dyDescent="0.25">
      <c r="A516" s="4">
        <v>515</v>
      </c>
      <c r="B516" s="5" t="s">
        <v>517</v>
      </c>
      <c r="C516" s="6">
        <v>0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73</v>
      </c>
      <c r="K516" s="6">
        <v>75</v>
      </c>
      <c r="L516" s="6">
        <v>73</v>
      </c>
      <c r="M516" s="6">
        <v>73</v>
      </c>
      <c r="N516" s="6">
        <v>77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X516">
        <f ca="1">IF(V516=0,0,OFFSET(CreditMetrics!$B$474,MATCH(RAND(),OFFSET(CreditMetrics!$C$474,1,MATCH(BDClientes!V516,CreditMetrics!$B$475:$B$491,0),COUNT(CreditMetrics!$B$475:$B$491),1),1),0,1,1))</f>
        <v>0</v>
      </c>
      <c r="Z516" s="79"/>
    </row>
    <row r="517" spans="1:26" x14ac:dyDescent="0.25">
      <c r="A517" s="4">
        <v>516</v>
      </c>
      <c r="B517" s="5" t="s">
        <v>518</v>
      </c>
      <c r="C517" s="6">
        <v>0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80</v>
      </c>
      <c r="K517" s="6">
        <v>83</v>
      </c>
      <c r="L517" s="6">
        <v>83</v>
      </c>
      <c r="M517" s="6">
        <v>77</v>
      </c>
      <c r="N517" s="6">
        <v>75</v>
      </c>
      <c r="O517" s="6">
        <v>77</v>
      </c>
      <c r="P517" s="6">
        <v>75</v>
      </c>
      <c r="Q517" s="6">
        <v>75</v>
      </c>
      <c r="R517" s="6">
        <v>75</v>
      </c>
      <c r="S517" s="6">
        <v>73</v>
      </c>
      <c r="T517" s="6">
        <v>70</v>
      </c>
      <c r="U517" s="6">
        <v>77</v>
      </c>
      <c r="V517" s="6">
        <v>0</v>
      </c>
      <c r="X517">
        <f ca="1">IF(V517=0,0,OFFSET(CreditMetrics!$B$474,MATCH(RAND(),OFFSET(CreditMetrics!$C$474,1,MATCH(BDClientes!V517,CreditMetrics!$B$475:$B$491,0),COUNT(CreditMetrics!$B$475:$B$491),1),1),0,1,1))</f>
        <v>0</v>
      </c>
      <c r="Z517" s="79"/>
    </row>
    <row r="518" spans="1:26" x14ac:dyDescent="0.25">
      <c r="A518" s="4">
        <v>517</v>
      </c>
      <c r="B518" s="5" t="s">
        <v>519</v>
      </c>
      <c r="C518" s="6">
        <v>0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77</v>
      </c>
      <c r="K518" s="6">
        <v>80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X518">
        <f ca="1">IF(V518=0,0,OFFSET(CreditMetrics!$B$474,MATCH(RAND(),OFFSET(CreditMetrics!$C$474,1,MATCH(BDClientes!V518,CreditMetrics!$B$475:$B$491,0),COUNT(CreditMetrics!$B$475:$B$491),1),1),0,1,1))</f>
        <v>0</v>
      </c>
      <c r="Z518" s="79"/>
    </row>
    <row r="519" spans="1:26" x14ac:dyDescent="0.25">
      <c r="A519" s="4">
        <v>518</v>
      </c>
      <c r="B519" s="5" t="s">
        <v>520</v>
      </c>
      <c r="C519" s="6">
        <v>0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80</v>
      </c>
      <c r="K519" s="6">
        <v>83</v>
      </c>
      <c r="L519" s="6">
        <v>83</v>
      </c>
      <c r="M519" s="6">
        <v>83</v>
      </c>
      <c r="N519" s="6">
        <v>83</v>
      </c>
      <c r="O519" s="6">
        <v>85</v>
      </c>
      <c r="P519" s="6">
        <v>83</v>
      </c>
      <c r="Q519" s="6">
        <v>83</v>
      </c>
      <c r="R519" s="6">
        <v>83</v>
      </c>
      <c r="S519" s="6">
        <v>0</v>
      </c>
      <c r="T519" s="6">
        <v>0</v>
      </c>
      <c r="U519" s="6">
        <v>0</v>
      </c>
      <c r="V519" s="6">
        <v>0</v>
      </c>
      <c r="X519">
        <f ca="1">IF(V519=0,0,OFFSET(CreditMetrics!$B$474,MATCH(RAND(),OFFSET(CreditMetrics!$C$474,1,MATCH(BDClientes!V519,CreditMetrics!$B$475:$B$491,0),COUNT(CreditMetrics!$B$475:$B$491),1),1),0,1,1))</f>
        <v>0</v>
      </c>
      <c r="Z519" s="79"/>
    </row>
    <row r="520" spans="1:26" x14ac:dyDescent="0.25">
      <c r="A520" s="4">
        <v>519</v>
      </c>
      <c r="B520" s="5" t="s">
        <v>521</v>
      </c>
      <c r="C520" s="6">
        <v>0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80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77</v>
      </c>
      <c r="V520" s="6">
        <v>0</v>
      </c>
      <c r="X520">
        <f ca="1">IF(V520=0,0,OFFSET(CreditMetrics!$B$474,MATCH(RAND(),OFFSET(CreditMetrics!$C$474,1,MATCH(BDClientes!V520,CreditMetrics!$B$475:$B$491,0),COUNT(CreditMetrics!$B$475:$B$491),1),1),0,1,1))</f>
        <v>0</v>
      </c>
      <c r="Z520" s="79"/>
    </row>
    <row r="521" spans="1:26" x14ac:dyDescent="0.25">
      <c r="A521" s="4">
        <v>520</v>
      </c>
      <c r="B521" s="5" t="s">
        <v>522</v>
      </c>
      <c r="C521" s="6">
        <v>0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80</v>
      </c>
      <c r="K521" s="6">
        <v>83</v>
      </c>
      <c r="L521" s="6">
        <v>0</v>
      </c>
      <c r="M521" s="6">
        <v>83</v>
      </c>
      <c r="N521" s="6">
        <v>83</v>
      </c>
      <c r="O521" s="6">
        <v>83</v>
      </c>
      <c r="P521" s="6">
        <v>83</v>
      </c>
      <c r="Q521" s="6">
        <v>83</v>
      </c>
      <c r="R521" s="6">
        <v>83</v>
      </c>
      <c r="S521" s="6">
        <v>85</v>
      </c>
      <c r="T521" s="6">
        <v>85</v>
      </c>
      <c r="U521" s="6">
        <v>0</v>
      </c>
      <c r="V521" s="6">
        <v>0</v>
      </c>
      <c r="X521">
        <f ca="1">IF(V521=0,0,OFFSET(CreditMetrics!$B$474,MATCH(RAND(),OFFSET(CreditMetrics!$C$474,1,MATCH(BDClientes!V521,CreditMetrics!$B$475:$B$491,0),COUNT(CreditMetrics!$B$475:$B$491),1),1),0,1,1))</f>
        <v>0</v>
      </c>
      <c r="Z521" s="79"/>
    </row>
    <row r="522" spans="1:26" x14ac:dyDescent="0.25">
      <c r="A522" s="4">
        <v>521</v>
      </c>
      <c r="B522" s="5" t="s">
        <v>523</v>
      </c>
      <c r="C522" s="6">
        <v>0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80</v>
      </c>
      <c r="O522" s="6">
        <v>75</v>
      </c>
      <c r="P522" s="6">
        <v>75</v>
      </c>
      <c r="Q522" s="6">
        <v>77</v>
      </c>
      <c r="R522" s="6">
        <v>77</v>
      </c>
      <c r="S522" s="6">
        <v>80</v>
      </c>
      <c r="T522" s="6">
        <v>80</v>
      </c>
      <c r="U522" s="6">
        <v>77</v>
      </c>
      <c r="V522" s="6">
        <v>77</v>
      </c>
      <c r="W522" s="138">
        <v>375627.82864885853</v>
      </c>
      <c r="X522">
        <f ca="1">IF(V522=0,0,OFFSET(CreditMetrics!$B$474,MATCH(RAND(),OFFSET(CreditMetrics!$C$474,1,MATCH(BDClientes!V522,CreditMetrics!$B$475:$B$491,0),COUNT(CreditMetrics!$B$475:$B$491),1),1),0,1,1))</f>
        <v>83</v>
      </c>
      <c r="Z522" s="79"/>
    </row>
    <row r="523" spans="1:26" x14ac:dyDescent="0.25">
      <c r="A523" s="4">
        <v>522</v>
      </c>
      <c r="B523" s="5" t="s">
        <v>524</v>
      </c>
      <c r="C523" s="6">
        <v>0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80</v>
      </c>
      <c r="K523" s="6">
        <v>0</v>
      </c>
      <c r="L523" s="6">
        <v>0</v>
      </c>
      <c r="M523" s="6">
        <v>0</v>
      </c>
      <c r="N523" s="6">
        <v>77</v>
      </c>
      <c r="O523" s="6">
        <v>83</v>
      </c>
      <c r="P523" s="6">
        <v>83</v>
      </c>
      <c r="Q523" s="6">
        <v>83</v>
      </c>
      <c r="R523" s="6">
        <v>83</v>
      </c>
      <c r="S523" s="6">
        <v>83</v>
      </c>
      <c r="T523" s="6">
        <v>83</v>
      </c>
      <c r="U523" s="6">
        <v>83</v>
      </c>
      <c r="V523" s="6">
        <v>83</v>
      </c>
      <c r="W523" s="138">
        <v>611863.06104340916</v>
      </c>
      <c r="X523">
        <f ca="1">IF(V523=0,0,OFFSET(CreditMetrics!$B$474,MATCH(RAND(),OFFSET(CreditMetrics!$C$474,1,MATCH(BDClientes!V523,CreditMetrics!$B$475:$B$491,0),COUNT(CreditMetrics!$B$475:$B$491),1),1),0,1,1))</f>
        <v>83</v>
      </c>
      <c r="Z523" s="79"/>
    </row>
    <row r="524" spans="1:26" x14ac:dyDescent="0.25">
      <c r="A524" s="4">
        <v>523</v>
      </c>
      <c r="B524" s="5" t="s">
        <v>525</v>
      </c>
      <c r="C524" s="6">
        <v>0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0</v>
      </c>
      <c r="K524" s="6">
        <v>87</v>
      </c>
      <c r="L524" s="6">
        <v>87</v>
      </c>
      <c r="M524" s="6">
        <v>75</v>
      </c>
      <c r="N524" s="6">
        <v>75</v>
      </c>
      <c r="O524" s="6">
        <v>73</v>
      </c>
      <c r="P524" s="6">
        <v>73</v>
      </c>
      <c r="Q524" s="6">
        <v>75</v>
      </c>
      <c r="R524" s="6">
        <v>70</v>
      </c>
      <c r="S524" s="6">
        <v>70</v>
      </c>
      <c r="T524" s="6">
        <v>73</v>
      </c>
      <c r="U524" s="6">
        <v>73</v>
      </c>
      <c r="V524" s="6">
        <v>75</v>
      </c>
      <c r="W524" s="138">
        <v>145791.2070743473</v>
      </c>
      <c r="X524">
        <f ca="1">IF(V524=0,0,OFFSET(CreditMetrics!$B$474,MATCH(RAND(),OFFSET(CreditMetrics!$C$474,1,MATCH(BDClientes!V524,CreditMetrics!$B$475:$B$491,0),COUNT(CreditMetrics!$B$475:$B$491),1),1),0,1,1))</f>
        <v>73</v>
      </c>
      <c r="Z524" s="79"/>
    </row>
    <row r="525" spans="1:26" x14ac:dyDescent="0.25">
      <c r="A525" s="4">
        <v>524</v>
      </c>
      <c r="B525" s="5" t="s">
        <v>526</v>
      </c>
      <c r="C525" s="6">
        <v>0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6">
        <v>0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X525">
        <f ca="1">IF(V525=0,0,OFFSET(CreditMetrics!$B$474,MATCH(RAND(),OFFSET(CreditMetrics!$C$474,1,MATCH(BDClientes!V525,CreditMetrics!$B$475:$B$491,0),COUNT(CreditMetrics!$B$475:$B$491),1),1),0,1,1))</f>
        <v>0</v>
      </c>
      <c r="Z525" s="79"/>
    </row>
    <row r="526" spans="1:26" x14ac:dyDescent="0.25">
      <c r="A526" s="4">
        <v>525</v>
      </c>
      <c r="B526" s="5" t="s">
        <v>527</v>
      </c>
      <c r="C526" s="6">
        <v>0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80</v>
      </c>
      <c r="M526" s="6">
        <v>80</v>
      </c>
      <c r="N526" s="6">
        <v>83</v>
      </c>
      <c r="O526" s="6">
        <v>77</v>
      </c>
      <c r="P526" s="6">
        <v>77</v>
      </c>
      <c r="Q526" s="6">
        <v>80</v>
      </c>
      <c r="R526" s="6">
        <v>83</v>
      </c>
      <c r="S526" s="6">
        <v>83</v>
      </c>
      <c r="T526" s="6">
        <v>83</v>
      </c>
      <c r="U526" s="6">
        <v>83</v>
      </c>
      <c r="V526" s="6">
        <v>83</v>
      </c>
      <c r="W526" s="138">
        <v>193592.25043252169</v>
      </c>
      <c r="X526">
        <f ca="1">IF(V526=0,0,OFFSET(CreditMetrics!$B$474,MATCH(RAND(),OFFSET(CreditMetrics!$C$474,1,MATCH(BDClientes!V526,CreditMetrics!$B$475:$B$491,0),COUNT(CreditMetrics!$B$475:$B$491),1),1),0,1,1))</f>
        <v>83</v>
      </c>
      <c r="Z526" s="79"/>
    </row>
    <row r="527" spans="1:26" x14ac:dyDescent="0.25">
      <c r="A527" s="4">
        <v>526</v>
      </c>
      <c r="B527" s="5" t="s">
        <v>528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0</v>
      </c>
      <c r="K527" s="6">
        <v>0</v>
      </c>
      <c r="L527" s="6">
        <v>75</v>
      </c>
      <c r="M527" s="6">
        <v>0</v>
      </c>
      <c r="N527" s="6">
        <v>0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X527">
        <f ca="1">IF(V527=0,0,OFFSET(CreditMetrics!$B$474,MATCH(RAND(),OFFSET(CreditMetrics!$C$474,1,MATCH(BDClientes!V527,CreditMetrics!$B$475:$B$491,0),COUNT(CreditMetrics!$B$475:$B$491),1),1),0,1,1))</f>
        <v>0</v>
      </c>
      <c r="Z527" s="79"/>
    </row>
    <row r="528" spans="1:26" x14ac:dyDescent="0.25">
      <c r="A528" s="4">
        <v>527</v>
      </c>
      <c r="B528" s="5" t="s">
        <v>529</v>
      </c>
      <c r="C528" s="6">
        <v>0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75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X528">
        <f ca="1">IF(V528=0,0,OFFSET(CreditMetrics!$B$474,MATCH(RAND(),OFFSET(CreditMetrics!$C$474,1,MATCH(BDClientes!V528,CreditMetrics!$B$475:$B$491,0),COUNT(CreditMetrics!$B$475:$B$491),1),1),0,1,1))</f>
        <v>0</v>
      </c>
      <c r="Z528" s="79"/>
    </row>
    <row r="529" spans="1:26" x14ac:dyDescent="0.25">
      <c r="A529" s="4">
        <v>528</v>
      </c>
      <c r="B529" s="5" t="s">
        <v>530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0</v>
      </c>
      <c r="K529" s="6">
        <v>0</v>
      </c>
      <c r="L529" s="6">
        <v>80</v>
      </c>
      <c r="M529" s="6">
        <v>0</v>
      </c>
      <c r="N529" s="6">
        <v>80</v>
      </c>
      <c r="O529" s="6">
        <v>77</v>
      </c>
      <c r="P529" s="6">
        <v>0</v>
      </c>
      <c r="Q529" s="6">
        <v>0</v>
      </c>
      <c r="R529" s="6">
        <v>80</v>
      </c>
      <c r="S529" s="6">
        <v>83</v>
      </c>
      <c r="T529" s="6">
        <v>0</v>
      </c>
      <c r="U529" s="6">
        <v>0</v>
      </c>
      <c r="V529" s="6">
        <v>0</v>
      </c>
      <c r="X529">
        <f ca="1">IF(V529=0,0,OFFSET(CreditMetrics!$B$474,MATCH(RAND(),OFFSET(CreditMetrics!$C$474,1,MATCH(BDClientes!V529,CreditMetrics!$B$475:$B$491,0),COUNT(CreditMetrics!$B$475:$B$491),1),1),0,1,1))</f>
        <v>0</v>
      </c>
      <c r="Z529" s="79"/>
    </row>
    <row r="530" spans="1:26" x14ac:dyDescent="0.25">
      <c r="A530" s="4">
        <v>529</v>
      </c>
      <c r="B530" s="5" t="s">
        <v>531</v>
      </c>
      <c r="C530" s="6">
        <v>0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0</v>
      </c>
      <c r="K530" s="6">
        <v>83</v>
      </c>
      <c r="L530" s="6">
        <v>83</v>
      </c>
      <c r="M530" s="6">
        <v>83</v>
      </c>
      <c r="N530" s="6">
        <v>83</v>
      </c>
      <c r="O530" s="6">
        <v>80</v>
      </c>
      <c r="P530" s="6">
        <v>80</v>
      </c>
      <c r="Q530" s="6">
        <v>83</v>
      </c>
      <c r="R530" s="6">
        <v>83</v>
      </c>
      <c r="S530" s="6">
        <v>70</v>
      </c>
      <c r="T530" s="6">
        <v>0</v>
      </c>
      <c r="U530" s="6">
        <v>0</v>
      </c>
      <c r="V530" s="6">
        <v>0</v>
      </c>
      <c r="X530">
        <f ca="1">IF(V530=0,0,OFFSET(CreditMetrics!$B$474,MATCH(RAND(),OFFSET(CreditMetrics!$C$474,1,MATCH(BDClientes!V530,CreditMetrics!$B$475:$B$491,0),COUNT(CreditMetrics!$B$475:$B$491),1),1),0,1,1))</f>
        <v>0</v>
      </c>
      <c r="Z530" s="79"/>
    </row>
    <row r="531" spans="1:26" x14ac:dyDescent="0.25">
      <c r="A531" s="4">
        <v>530</v>
      </c>
      <c r="B531" s="5" t="s">
        <v>532</v>
      </c>
      <c r="C531" s="6">
        <v>0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0</v>
      </c>
      <c r="K531" s="6">
        <v>0</v>
      </c>
      <c r="L531" s="6">
        <v>85</v>
      </c>
      <c r="M531" s="6">
        <v>80</v>
      </c>
      <c r="N531" s="6">
        <v>80</v>
      </c>
      <c r="O531" s="6">
        <v>0</v>
      </c>
      <c r="P531" s="6">
        <v>0</v>
      </c>
      <c r="Q531" s="6">
        <v>0</v>
      </c>
      <c r="R531" s="6">
        <v>0</v>
      </c>
      <c r="S531" s="6">
        <v>85</v>
      </c>
      <c r="T531" s="6">
        <v>85</v>
      </c>
      <c r="U531" s="6">
        <v>85</v>
      </c>
      <c r="V531" s="6">
        <v>83</v>
      </c>
      <c r="W531" s="138">
        <v>330502.82433332189</v>
      </c>
      <c r="X531">
        <f ca="1">IF(V531=0,0,OFFSET(CreditMetrics!$B$474,MATCH(RAND(),OFFSET(CreditMetrics!$C$474,1,MATCH(BDClientes!V531,CreditMetrics!$B$475:$B$491,0),COUNT(CreditMetrics!$B$475:$B$491),1),1),0,1,1))</f>
        <v>83</v>
      </c>
      <c r="Z531" s="79"/>
    </row>
    <row r="532" spans="1:26" x14ac:dyDescent="0.25">
      <c r="A532" s="4">
        <v>531</v>
      </c>
      <c r="B532" s="5" t="s">
        <v>533</v>
      </c>
      <c r="C532" s="6">
        <v>0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73</v>
      </c>
      <c r="O532" s="6">
        <v>70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X532">
        <f ca="1">IF(V532=0,0,OFFSET(CreditMetrics!$B$474,MATCH(RAND(),OFFSET(CreditMetrics!$C$474,1,MATCH(BDClientes!V532,CreditMetrics!$B$475:$B$491,0),COUNT(CreditMetrics!$B$475:$B$491),1),1),0,1,1))</f>
        <v>0</v>
      </c>
      <c r="Z532" s="79"/>
    </row>
    <row r="533" spans="1:26" x14ac:dyDescent="0.25">
      <c r="A533" s="4">
        <v>532</v>
      </c>
      <c r="B533" s="5" t="s">
        <v>534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80</v>
      </c>
      <c r="N533" s="6">
        <v>83</v>
      </c>
      <c r="O533" s="6">
        <v>83</v>
      </c>
      <c r="P533" s="6">
        <v>83</v>
      </c>
      <c r="Q533" s="6">
        <v>80</v>
      </c>
      <c r="R533" s="6">
        <v>77</v>
      </c>
      <c r="S533" s="6">
        <v>80</v>
      </c>
      <c r="T533" s="6">
        <v>83</v>
      </c>
      <c r="U533" s="6">
        <v>83</v>
      </c>
      <c r="V533" s="6">
        <v>83</v>
      </c>
      <c r="W533" s="138">
        <v>419171.89071151067</v>
      </c>
      <c r="X533">
        <f ca="1">IF(V533=0,0,OFFSET(CreditMetrics!$B$474,MATCH(RAND(),OFFSET(CreditMetrics!$C$474,1,MATCH(BDClientes!V533,CreditMetrics!$B$475:$B$491,0),COUNT(CreditMetrics!$B$475:$B$491),1),1),0,1,1))</f>
        <v>73</v>
      </c>
      <c r="Z533" s="79"/>
    </row>
    <row r="534" spans="1:26" x14ac:dyDescent="0.25">
      <c r="A534" s="4">
        <v>533</v>
      </c>
      <c r="B534" s="5" t="s">
        <v>535</v>
      </c>
      <c r="C534" s="6">
        <v>0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85</v>
      </c>
      <c r="M534" s="6">
        <v>85</v>
      </c>
      <c r="N534" s="6">
        <v>83</v>
      </c>
      <c r="O534" s="6">
        <v>85</v>
      </c>
      <c r="P534" s="6">
        <v>85</v>
      </c>
      <c r="Q534" s="6">
        <v>85</v>
      </c>
      <c r="R534" s="6">
        <v>85</v>
      </c>
      <c r="S534" s="6">
        <v>85</v>
      </c>
      <c r="T534" s="6">
        <v>87</v>
      </c>
      <c r="U534" s="6">
        <v>85</v>
      </c>
      <c r="V534" s="6">
        <v>85</v>
      </c>
      <c r="W534" s="138">
        <v>118356.30681677618</v>
      </c>
      <c r="X534">
        <f ca="1">IF(V534=0,0,OFFSET(CreditMetrics!$B$474,MATCH(RAND(),OFFSET(CreditMetrics!$C$474,1,MATCH(BDClientes!V534,CreditMetrics!$B$475:$B$491,0),COUNT(CreditMetrics!$B$475:$B$491),1),1),0,1,1))</f>
        <v>80</v>
      </c>
      <c r="Z534" s="79"/>
    </row>
    <row r="535" spans="1:26" x14ac:dyDescent="0.25">
      <c r="A535" s="4">
        <v>534</v>
      </c>
      <c r="B535" s="5" t="s">
        <v>536</v>
      </c>
      <c r="C535" s="6">
        <v>0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87</v>
      </c>
      <c r="M535" s="6">
        <v>87</v>
      </c>
      <c r="N535" s="6">
        <v>87</v>
      </c>
      <c r="O535" s="6">
        <v>87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X535">
        <f ca="1">IF(V535=0,0,OFFSET(CreditMetrics!$B$474,MATCH(RAND(),OFFSET(CreditMetrics!$C$474,1,MATCH(BDClientes!V535,CreditMetrics!$B$475:$B$491,0),COUNT(CreditMetrics!$B$475:$B$491),1),1),0,1,1))</f>
        <v>0</v>
      </c>
      <c r="Z535" s="79"/>
    </row>
    <row r="536" spans="1:26" x14ac:dyDescent="0.25">
      <c r="A536" s="4">
        <v>535</v>
      </c>
      <c r="B536" s="5" t="s">
        <v>537</v>
      </c>
      <c r="C536" s="6">
        <v>0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83</v>
      </c>
      <c r="M536" s="6">
        <v>83</v>
      </c>
      <c r="N536" s="6">
        <v>85</v>
      </c>
      <c r="O536" s="6">
        <v>83</v>
      </c>
      <c r="P536" s="6">
        <v>85</v>
      </c>
      <c r="Q536" s="6">
        <v>0</v>
      </c>
      <c r="R536" s="6">
        <v>85</v>
      </c>
      <c r="S536" s="6">
        <v>87</v>
      </c>
      <c r="T536" s="6">
        <v>87</v>
      </c>
      <c r="U536" s="6">
        <v>87</v>
      </c>
      <c r="V536" s="6">
        <v>87</v>
      </c>
      <c r="W536" s="138">
        <v>195496.6169107864</v>
      </c>
      <c r="X536">
        <f ca="1">IF(V536=0,0,OFFSET(CreditMetrics!$B$474,MATCH(RAND(),OFFSET(CreditMetrics!$C$474,1,MATCH(BDClientes!V536,CreditMetrics!$B$475:$B$491,0),COUNT(CreditMetrics!$B$475:$B$491),1),1),0,1,1))</f>
        <v>87</v>
      </c>
      <c r="Z536" s="79"/>
    </row>
    <row r="537" spans="1:26" x14ac:dyDescent="0.25">
      <c r="A537" s="4">
        <v>536</v>
      </c>
      <c r="B537" s="5" t="s">
        <v>538</v>
      </c>
      <c r="C537" s="6">
        <v>0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70</v>
      </c>
      <c r="M537" s="6">
        <v>70</v>
      </c>
      <c r="N537" s="6">
        <v>70</v>
      </c>
      <c r="O537" s="6">
        <v>70</v>
      </c>
      <c r="P537" s="6">
        <v>70</v>
      </c>
      <c r="Q537" s="6">
        <v>70</v>
      </c>
      <c r="R537" s="6">
        <v>70</v>
      </c>
      <c r="S537" s="6">
        <v>70</v>
      </c>
      <c r="T537" s="6">
        <v>65</v>
      </c>
      <c r="U537" s="6">
        <v>65</v>
      </c>
      <c r="V537" s="6">
        <v>65</v>
      </c>
      <c r="W537" s="138">
        <v>157499.98354993903</v>
      </c>
      <c r="X537">
        <f ca="1">IF(V537=0,0,OFFSET(CreditMetrics!$B$474,MATCH(RAND(),OFFSET(CreditMetrics!$C$474,1,MATCH(BDClientes!V537,CreditMetrics!$B$475:$B$491,0),COUNT(CreditMetrics!$B$475:$B$491),1),1),0,1,1))</f>
        <v>65</v>
      </c>
      <c r="Z537" s="79"/>
    </row>
    <row r="538" spans="1:26" x14ac:dyDescent="0.25">
      <c r="A538" s="4">
        <v>537</v>
      </c>
      <c r="B538" s="5" t="s">
        <v>539</v>
      </c>
      <c r="C538" s="6">
        <v>0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77</v>
      </c>
      <c r="N538" s="6">
        <v>77</v>
      </c>
      <c r="O538" s="6">
        <v>0</v>
      </c>
      <c r="P538" s="6">
        <v>77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X538">
        <f ca="1">IF(V538=0,0,OFFSET(CreditMetrics!$B$474,MATCH(RAND(),OFFSET(CreditMetrics!$C$474,1,MATCH(BDClientes!V538,CreditMetrics!$B$475:$B$491,0),COUNT(CreditMetrics!$B$475:$B$491),1),1),0,1,1))</f>
        <v>0</v>
      </c>
      <c r="Z538" s="79"/>
    </row>
    <row r="539" spans="1:26" x14ac:dyDescent="0.25">
      <c r="A539" s="4">
        <v>538</v>
      </c>
      <c r="B539" s="5" t="s">
        <v>540</v>
      </c>
      <c r="C539" s="6">
        <v>0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0</v>
      </c>
      <c r="K539" s="6">
        <v>0</v>
      </c>
      <c r="L539" s="6">
        <v>0</v>
      </c>
      <c r="M539" s="6">
        <v>83</v>
      </c>
      <c r="N539" s="6">
        <v>80</v>
      </c>
      <c r="O539" s="6">
        <v>77</v>
      </c>
      <c r="P539" s="6">
        <v>75</v>
      </c>
      <c r="Q539" s="6">
        <v>75</v>
      </c>
      <c r="R539" s="6">
        <v>75</v>
      </c>
      <c r="S539" s="6">
        <v>73</v>
      </c>
      <c r="T539" s="6">
        <v>70</v>
      </c>
      <c r="U539" s="6">
        <v>77</v>
      </c>
      <c r="V539" s="6">
        <v>77</v>
      </c>
      <c r="W539" s="138">
        <v>251515.35673855184</v>
      </c>
      <c r="X539">
        <f ca="1">IF(V539=0,0,OFFSET(CreditMetrics!$B$474,MATCH(RAND(),OFFSET(CreditMetrics!$C$474,1,MATCH(BDClientes!V539,CreditMetrics!$B$475:$B$491,0),COUNT(CreditMetrics!$B$475:$B$491),1),1),0,1,1))</f>
        <v>83</v>
      </c>
      <c r="Z539" s="79"/>
    </row>
    <row r="540" spans="1:26" x14ac:dyDescent="0.25">
      <c r="A540" s="4">
        <v>539</v>
      </c>
      <c r="B540" s="5" t="s">
        <v>541</v>
      </c>
      <c r="C540" s="6">
        <v>0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85</v>
      </c>
      <c r="N540" s="6">
        <v>85</v>
      </c>
      <c r="O540" s="6">
        <v>85</v>
      </c>
      <c r="P540" s="6">
        <v>85</v>
      </c>
      <c r="Q540" s="6">
        <v>85</v>
      </c>
      <c r="R540" s="6">
        <v>87</v>
      </c>
      <c r="S540" s="6">
        <v>87</v>
      </c>
      <c r="T540" s="6">
        <v>87</v>
      </c>
      <c r="U540" s="6">
        <v>77</v>
      </c>
      <c r="V540" s="6">
        <v>77</v>
      </c>
      <c r="W540" s="138">
        <v>118197.01451738997</v>
      </c>
      <c r="X540">
        <f ca="1">IF(V540=0,0,OFFSET(CreditMetrics!$B$474,MATCH(RAND(),OFFSET(CreditMetrics!$C$474,1,MATCH(BDClientes!V540,CreditMetrics!$B$475:$B$491,0),COUNT(CreditMetrics!$B$475:$B$491),1),1),0,1,1))</f>
        <v>73</v>
      </c>
      <c r="Z540" s="79"/>
    </row>
    <row r="541" spans="1:26" x14ac:dyDescent="0.25">
      <c r="A541" s="4">
        <v>540</v>
      </c>
      <c r="B541" s="5" t="s">
        <v>542</v>
      </c>
      <c r="C541" s="6">
        <v>0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0</v>
      </c>
      <c r="K541" s="6">
        <v>0</v>
      </c>
      <c r="L541" s="6">
        <v>0</v>
      </c>
      <c r="M541" s="6">
        <v>73</v>
      </c>
      <c r="N541" s="6">
        <v>80</v>
      </c>
      <c r="O541" s="6">
        <v>80</v>
      </c>
      <c r="P541" s="6">
        <v>80</v>
      </c>
      <c r="Q541" s="6">
        <v>80</v>
      </c>
      <c r="R541" s="6">
        <v>80</v>
      </c>
      <c r="S541" s="6">
        <v>80</v>
      </c>
      <c r="T541" s="6">
        <v>80</v>
      </c>
      <c r="U541" s="6">
        <v>77</v>
      </c>
      <c r="V541" s="6">
        <v>0</v>
      </c>
      <c r="X541">
        <f ca="1">IF(V541=0,0,OFFSET(CreditMetrics!$B$474,MATCH(RAND(),OFFSET(CreditMetrics!$C$474,1,MATCH(BDClientes!V541,CreditMetrics!$B$475:$B$491,0),COUNT(CreditMetrics!$B$475:$B$491),1),1),0,1,1))</f>
        <v>0</v>
      </c>
      <c r="Z541" s="79"/>
    </row>
    <row r="542" spans="1:26" x14ac:dyDescent="0.25">
      <c r="A542" s="4">
        <v>541</v>
      </c>
      <c r="B542" s="5" t="s">
        <v>543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83</v>
      </c>
      <c r="O542" s="6">
        <v>83</v>
      </c>
      <c r="P542" s="6">
        <v>77</v>
      </c>
      <c r="Q542" s="6">
        <v>80</v>
      </c>
      <c r="R542" s="6">
        <v>77</v>
      </c>
      <c r="S542" s="6">
        <v>80</v>
      </c>
      <c r="T542" s="6">
        <v>80</v>
      </c>
      <c r="U542" s="6">
        <v>80</v>
      </c>
      <c r="V542" s="6">
        <v>80</v>
      </c>
      <c r="W542" s="138">
        <v>319075.36099515151</v>
      </c>
      <c r="X542">
        <f ca="1">IF(V542=0,0,OFFSET(CreditMetrics!$B$474,MATCH(RAND(),OFFSET(CreditMetrics!$C$474,1,MATCH(BDClientes!V542,CreditMetrics!$B$475:$B$491,0),COUNT(CreditMetrics!$B$475:$B$491),1),1),0,1,1))</f>
        <v>77</v>
      </c>
      <c r="Z542" s="79"/>
    </row>
    <row r="543" spans="1:26" x14ac:dyDescent="0.25">
      <c r="A543" s="4">
        <v>542</v>
      </c>
      <c r="B543" s="5" t="s">
        <v>544</v>
      </c>
      <c r="C543" s="6">
        <v>0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6">
        <v>77</v>
      </c>
      <c r="O543" s="6">
        <v>77</v>
      </c>
      <c r="P543" s="6">
        <v>80</v>
      </c>
      <c r="Q543" s="6">
        <v>77</v>
      </c>
      <c r="R543" s="6">
        <v>77</v>
      </c>
      <c r="S543" s="6">
        <v>77</v>
      </c>
      <c r="T543" s="6">
        <v>77</v>
      </c>
      <c r="U543" s="6">
        <v>77</v>
      </c>
      <c r="V543" s="6">
        <v>77</v>
      </c>
      <c r="W543" s="138">
        <v>239832.22408733383</v>
      </c>
      <c r="X543">
        <f ca="1">IF(V543=0,0,OFFSET(CreditMetrics!$B$474,MATCH(RAND(),OFFSET(CreditMetrics!$C$474,1,MATCH(BDClientes!V543,CreditMetrics!$B$475:$B$491,0),COUNT(CreditMetrics!$B$475:$B$491),1),1),0,1,1))</f>
        <v>80</v>
      </c>
      <c r="Z543" s="79"/>
    </row>
    <row r="544" spans="1:26" x14ac:dyDescent="0.25">
      <c r="A544" s="4">
        <v>543</v>
      </c>
      <c r="B544" s="5" t="s">
        <v>545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85</v>
      </c>
      <c r="O544" s="6">
        <v>85</v>
      </c>
      <c r="P544" s="6">
        <v>83</v>
      </c>
      <c r="Q544" s="6">
        <v>85</v>
      </c>
      <c r="R544" s="6">
        <v>83</v>
      </c>
      <c r="S544" s="6">
        <v>85</v>
      </c>
      <c r="T544" s="6">
        <v>0</v>
      </c>
      <c r="U544" s="6">
        <v>0</v>
      </c>
      <c r="V544" s="6">
        <v>0</v>
      </c>
      <c r="X544">
        <f ca="1">IF(V544=0,0,OFFSET(CreditMetrics!$B$474,MATCH(RAND(),OFFSET(CreditMetrics!$C$474,1,MATCH(BDClientes!V544,CreditMetrics!$B$475:$B$491,0),COUNT(CreditMetrics!$B$475:$B$491),1),1),0,1,1))</f>
        <v>0</v>
      </c>
      <c r="Z544" s="79"/>
    </row>
    <row r="545" spans="1:26" x14ac:dyDescent="0.25">
      <c r="A545" s="4">
        <v>544</v>
      </c>
      <c r="B545" s="5" t="s">
        <v>546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0</v>
      </c>
      <c r="L545" s="6">
        <v>22</v>
      </c>
      <c r="M545" s="6">
        <v>22</v>
      </c>
      <c r="N545" s="6">
        <v>22</v>
      </c>
      <c r="O545" s="6">
        <v>22</v>
      </c>
      <c r="P545" s="6">
        <v>22</v>
      </c>
      <c r="Q545" s="6">
        <v>22</v>
      </c>
      <c r="R545" s="6">
        <v>22</v>
      </c>
      <c r="S545" s="6">
        <v>22</v>
      </c>
      <c r="T545" s="6">
        <v>22</v>
      </c>
      <c r="U545" s="6">
        <v>22</v>
      </c>
      <c r="V545" s="6">
        <v>22</v>
      </c>
      <c r="W545" s="138">
        <v>194516.97081827733</v>
      </c>
      <c r="X545">
        <f ca="1">IF(V545=0,0,OFFSET(CreditMetrics!$B$474,MATCH(RAND(),OFFSET(CreditMetrics!$C$474,1,MATCH(BDClientes!V545,CreditMetrics!$B$475:$B$491,0),COUNT(CreditMetrics!$B$475:$B$491),1),1),0,1,1))</f>
        <v>22</v>
      </c>
      <c r="Z545" s="79"/>
    </row>
    <row r="546" spans="1:26" x14ac:dyDescent="0.25">
      <c r="A546" s="4">
        <v>545</v>
      </c>
      <c r="B546" s="5" t="s">
        <v>547</v>
      </c>
      <c r="C546" s="6">
        <v>0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22</v>
      </c>
      <c r="M546" s="6">
        <v>22</v>
      </c>
      <c r="N546" s="6">
        <v>22</v>
      </c>
      <c r="O546" s="6">
        <v>22</v>
      </c>
      <c r="P546" s="6">
        <v>22</v>
      </c>
      <c r="Q546" s="6">
        <v>22</v>
      </c>
      <c r="R546" s="6">
        <v>22</v>
      </c>
      <c r="S546" s="6">
        <v>22</v>
      </c>
      <c r="T546" s="6">
        <v>22</v>
      </c>
      <c r="U546" s="6">
        <v>22</v>
      </c>
      <c r="V546" s="6">
        <v>22</v>
      </c>
      <c r="W546" s="138">
        <v>274140.13580228837</v>
      </c>
      <c r="X546">
        <f ca="1">IF(V546=0,0,OFFSET(CreditMetrics!$B$474,MATCH(RAND(),OFFSET(CreditMetrics!$C$474,1,MATCH(BDClientes!V546,CreditMetrics!$B$475:$B$491,0),COUNT(CreditMetrics!$B$475:$B$491),1),1),0,1,1))</f>
        <v>22</v>
      </c>
      <c r="Z546" s="79"/>
    </row>
    <row r="547" spans="1:26" x14ac:dyDescent="0.25">
      <c r="A547" s="4">
        <v>546</v>
      </c>
      <c r="B547" s="5" t="s">
        <v>548</v>
      </c>
      <c r="C547" s="6">
        <v>0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0</v>
      </c>
      <c r="K547" s="6">
        <v>0</v>
      </c>
      <c r="L547" s="6">
        <v>22</v>
      </c>
      <c r="M547" s="6">
        <v>22</v>
      </c>
      <c r="N547" s="6">
        <v>22</v>
      </c>
      <c r="O547" s="6">
        <v>22</v>
      </c>
      <c r="P547" s="6">
        <v>22</v>
      </c>
      <c r="Q547" s="6">
        <v>22</v>
      </c>
      <c r="R547" s="6">
        <v>22</v>
      </c>
      <c r="S547" s="6">
        <v>22</v>
      </c>
      <c r="T547" s="6">
        <v>22</v>
      </c>
      <c r="U547" s="6">
        <v>22</v>
      </c>
      <c r="V547" s="6">
        <v>22</v>
      </c>
      <c r="W547" s="138">
        <v>146144.42419746541</v>
      </c>
      <c r="X547">
        <f ca="1">IF(V547=0,0,OFFSET(CreditMetrics!$B$474,MATCH(RAND(),OFFSET(CreditMetrics!$C$474,1,MATCH(BDClientes!V547,CreditMetrics!$B$475:$B$491,0),COUNT(CreditMetrics!$B$475:$B$491),1),1),0,1,1))</f>
        <v>22</v>
      </c>
      <c r="Z547" s="79"/>
    </row>
    <row r="548" spans="1:26" x14ac:dyDescent="0.25">
      <c r="A548" s="4">
        <v>547</v>
      </c>
      <c r="B548" s="5" t="s">
        <v>549</v>
      </c>
      <c r="C548" s="6">
        <v>0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22</v>
      </c>
      <c r="M548" s="6">
        <v>22</v>
      </c>
      <c r="N548" s="6">
        <v>22</v>
      </c>
      <c r="O548" s="6">
        <v>22</v>
      </c>
      <c r="P548" s="6">
        <v>22</v>
      </c>
      <c r="Q548" s="6">
        <v>22</v>
      </c>
      <c r="R548" s="6">
        <v>22</v>
      </c>
      <c r="S548" s="6">
        <v>22</v>
      </c>
      <c r="T548" s="6">
        <v>22</v>
      </c>
      <c r="U548" s="6">
        <v>22</v>
      </c>
      <c r="V548" s="6">
        <v>22</v>
      </c>
      <c r="W548" s="138">
        <v>142397.46536696449</v>
      </c>
      <c r="X548">
        <f ca="1">IF(V548=0,0,OFFSET(CreditMetrics!$B$474,MATCH(RAND(),OFFSET(CreditMetrics!$C$474,1,MATCH(BDClientes!V548,CreditMetrics!$B$475:$B$491,0),COUNT(CreditMetrics!$B$475:$B$491),1),1),0,1,1))</f>
        <v>22</v>
      </c>
      <c r="Z548" s="79"/>
    </row>
    <row r="549" spans="1:26" x14ac:dyDescent="0.25">
      <c r="A549" s="4">
        <v>548</v>
      </c>
      <c r="B549" s="5" t="s">
        <v>550</v>
      </c>
      <c r="C549" s="6">
        <v>0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0</v>
      </c>
      <c r="K549" s="6">
        <v>0</v>
      </c>
      <c r="L549" s="6">
        <v>22</v>
      </c>
      <c r="M549" s="6">
        <v>22</v>
      </c>
      <c r="N549" s="6">
        <v>22</v>
      </c>
      <c r="O549" s="6">
        <v>22</v>
      </c>
      <c r="P549" s="6">
        <v>22</v>
      </c>
      <c r="Q549" s="6">
        <v>22</v>
      </c>
      <c r="R549" s="6">
        <v>22</v>
      </c>
      <c r="S549" s="6">
        <v>22</v>
      </c>
      <c r="T549" s="6">
        <v>22</v>
      </c>
      <c r="U549" s="6">
        <v>22</v>
      </c>
      <c r="V549" s="6">
        <v>22</v>
      </c>
      <c r="W549" s="138">
        <v>107943.59718024955</v>
      </c>
      <c r="X549">
        <f ca="1">IF(V549=0,0,OFFSET(CreditMetrics!$B$474,MATCH(RAND(),OFFSET(CreditMetrics!$C$474,1,MATCH(BDClientes!V549,CreditMetrics!$B$475:$B$491,0),COUNT(CreditMetrics!$B$475:$B$491),1),1),0,1,1))</f>
        <v>22</v>
      </c>
      <c r="Z549" s="79"/>
    </row>
    <row r="550" spans="1:26" x14ac:dyDescent="0.25">
      <c r="A550" s="4">
        <v>549</v>
      </c>
      <c r="B550" s="5" t="s">
        <v>551</v>
      </c>
      <c r="C550" s="6">
        <v>0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22</v>
      </c>
      <c r="M550" s="6">
        <v>22</v>
      </c>
      <c r="N550" s="6">
        <v>22</v>
      </c>
      <c r="O550" s="6">
        <v>22</v>
      </c>
      <c r="P550" s="6">
        <v>22</v>
      </c>
      <c r="Q550" s="6">
        <v>22</v>
      </c>
      <c r="R550" s="6">
        <v>22</v>
      </c>
      <c r="S550" s="6">
        <v>22</v>
      </c>
      <c r="T550" s="6">
        <v>22</v>
      </c>
      <c r="U550" s="6">
        <v>22</v>
      </c>
      <c r="V550" s="6">
        <v>22</v>
      </c>
      <c r="W550" s="138">
        <v>151823.86560536394</v>
      </c>
      <c r="X550">
        <f ca="1">IF(V550=0,0,OFFSET(CreditMetrics!$B$474,MATCH(RAND(),OFFSET(CreditMetrics!$C$474,1,MATCH(BDClientes!V550,CreditMetrics!$B$475:$B$491,0),COUNT(CreditMetrics!$B$475:$B$491),1),1),0,1,1))</f>
        <v>22</v>
      </c>
      <c r="Z550" s="79"/>
    </row>
    <row r="551" spans="1:26" x14ac:dyDescent="0.25">
      <c r="A551" s="4">
        <v>550</v>
      </c>
      <c r="B551" s="5" t="s">
        <v>552</v>
      </c>
      <c r="C551" s="6">
        <v>0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0</v>
      </c>
      <c r="K551" s="6">
        <v>0</v>
      </c>
      <c r="L551" s="6">
        <v>22</v>
      </c>
      <c r="M551" s="6">
        <v>22</v>
      </c>
      <c r="N551" s="6">
        <v>22</v>
      </c>
      <c r="O551" s="6">
        <v>22</v>
      </c>
      <c r="P551" s="6">
        <v>22</v>
      </c>
      <c r="Q551" s="6">
        <v>22</v>
      </c>
      <c r="R551" s="6">
        <v>22</v>
      </c>
      <c r="S551" s="6">
        <v>22</v>
      </c>
      <c r="T551" s="6">
        <v>22</v>
      </c>
      <c r="U551" s="6">
        <v>22</v>
      </c>
      <c r="V551" s="6">
        <v>22</v>
      </c>
      <c r="W551" s="138">
        <v>186404.82331680271</v>
      </c>
      <c r="X551">
        <f ca="1">IF(V551=0,0,OFFSET(CreditMetrics!$B$474,MATCH(RAND(),OFFSET(CreditMetrics!$C$474,1,MATCH(BDClientes!V551,CreditMetrics!$B$475:$B$491,0),COUNT(CreditMetrics!$B$475:$B$491),1),1),0,1,1))</f>
        <v>22</v>
      </c>
      <c r="Z551" s="79"/>
    </row>
    <row r="552" spans="1:26" x14ac:dyDescent="0.25">
      <c r="A552" s="4">
        <v>551</v>
      </c>
      <c r="B552" s="5" t="s">
        <v>553</v>
      </c>
      <c r="C552" s="6">
        <v>0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22</v>
      </c>
      <c r="M552" s="6">
        <v>22</v>
      </c>
      <c r="N552" s="6">
        <v>22</v>
      </c>
      <c r="O552" s="6">
        <v>22</v>
      </c>
      <c r="P552" s="6">
        <v>22</v>
      </c>
      <c r="Q552" s="6">
        <v>22</v>
      </c>
      <c r="R552" s="6">
        <v>22</v>
      </c>
      <c r="S552" s="6">
        <v>22</v>
      </c>
      <c r="T552" s="6">
        <v>22</v>
      </c>
      <c r="U552" s="6">
        <v>22</v>
      </c>
      <c r="V552" s="6">
        <v>22</v>
      </c>
      <c r="W552" s="138">
        <v>107908.96415948332</v>
      </c>
      <c r="X552">
        <f ca="1">IF(V552=0,0,OFFSET(CreditMetrics!$B$474,MATCH(RAND(),OFFSET(CreditMetrics!$C$474,1,MATCH(BDClientes!V552,CreditMetrics!$B$475:$B$491,0),COUNT(CreditMetrics!$B$475:$B$491),1),1),0,1,1))</f>
        <v>22</v>
      </c>
      <c r="Z552" s="79"/>
    </row>
    <row r="553" spans="1:26" x14ac:dyDescent="0.25">
      <c r="A553" s="4">
        <v>552</v>
      </c>
      <c r="B553" s="5" t="s">
        <v>554</v>
      </c>
      <c r="C553" s="6">
        <v>0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0</v>
      </c>
      <c r="K553" s="6">
        <v>0</v>
      </c>
      <c r="L553" s="6">
        <v>22</v>
      </c>
      <c r="M553" s="6">
        <v>22</v>
      </c>
      <c r="N553" s="6">
        <v>22</v>
      </c>
      <c r="O553" s="6">
        <v>22</v>
      </c>
      <c r="P553" s="6">
        <v>22</v>
      </c>
      <c r="Q553" s="6">
        <v>22</v>
      </c>
      <c r="R553" s="6">
        <v>22</v>
      </c>
      <c r="S553" s="6">
        <v>22</v>
      </c>
      <c r="T553" s="6">
        <v>22</v>
      </c>
      <c r="U553" s="6">
        <v>22</v>
      </c>
      <c r="V553" s="6">
        <v>22</v>
      </c>
      <c r="W553" s="138">
        <v>421692.27276033099</v>
      </c>
      <c r="X553">
        <f ca="1">IF(V553=0,0,OFFSET(CreditMetrics!$B$474,MATCH(RAND(),OFFSET(CreditMetrics!$C$474,1,MATCH(BDClientes!V553,CreditMetrics!$B$475:$B$491,0),COUNT(CreditMetrics!$B$475:$B$491),1),1),0,1,1))</f>
        <v>22</v>
      </c>
      <c r="Z553" s="79"/>
    </row>
    <row r="554" spans="1:26" x14ac:dyDescent="0.25">
      <c r="A554" s="4">
        <v>553</v>
      </c>
      <c r="B554" s="5" t="s">
        <v>555</v>
      </c>
      <c r="C554" s="6">
        <v>0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22</v>
      </c>
      <c r="M554" s="6">
        <v>22</v>
      </c>
      <c r="N554" s="6">
        <v>22</v>
      </c>
      <c r="O554" s="6">
        <v>22</v>
      </c>
      <c r="P554" s="6">
        <v>22</v>
      </c>
      <c r="Q554" s="6">
        <v>22</v>
      </c>
      <c r="R554" s="6">
        <v>22</v>
      </c>
      <c r="S554" s="6">
        <v>22</v>
      </c>
      <c r="T554" s="6">
        <v>22</v>
      </c>
      <c r="U554" s="6">
        <v>22</v>
      </c>
      <c r="V554" s="6">
        <v>22</v>
      </c>
      <c r="W554" s="138">
        <v>1014019.6671593388</v>
      </c>
      <c r="X554">
        <f ca="1">IF(V554=0,0,OFFSET(CreditMetrics!$B$474,MATCH(RAND(),OFFSET(CreditMetrics!$C$474,1,MATCH(BDClientes!V554,CreditMetrics!$B$475:$B$491,0),COUNT(CreditMetrics!$B$475:$B$491),1),1),0,1,1))</f>
        <v>22</v>
      </c>
      <c r="Z554" s="79"/>
    </row>
    <row r="555" spans="1:26" x14ac:dyDescent="0.25">
      <c r="A555" s="4">
        <v>554</v>
      </c>
      <c r="B555" s="5" t="s">
        <v>556</v>
      </c>
      <c r="C555" s="6">
        <v>0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0</v>
      </c>
      <c r="K555" s="6">
        <v>0</v>
      </c>
      <c r="L555" s="6">
        <v>22</v>
      </c>
      <c r="M555" s="6">
        <v>22</v>
      </c>
      <c r="N555" s="6">
        <v>22</v>
      </c>
      <c r="O555" s="6">
        <v>22</v>
      </c>
      <c r="P555" s="6">
        <v>22</v>
      </c>
      <c r="Q555" s="6">
        <v>22</v>
      </c>
      <c r="R555" s="6">
        <v>22</v>
      </c>
      <c r="S555" s="6">
        <v>22</v>
      </c>
      <c r="T555" s="6">
        <v>22</v>
      </c>
      <c r="U555" s="6">
        <v>22</v>
      </c>
      <c r="V555" s="6">
        <v>22</v>
      </c>
      <c r="W555" s="138">
        <v>119635.63636230302</v>
      </c>
      <c r="X555">
        <f ca="1">IF(V555=0,0,OFFSET(CreditMetrics!$B$474,MATCH(RAND(),OFFSET(CreditMetrics!$C$474,1,MATCH(BDClientes!V555,CreditMetrics!$B$475:$B$491,0),COUNT(CreditMetrics!$B$475:$B$491),1),1),0,1,1))</f>
        <v>22</v>
      </c>
      <c r="Z555" s="79"/>
    </row>
    <row r="556" spans="1:26" x14ac:dyDescent="0.25">
      <c r="A556" s="4">
        <v>555</v>
      </c>
      <c r="B556" s="5" t="s">
        <v>557</v>
      </c>
      <c r="C556" s="6">
        <v>0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22</v>
      </c>
      <c r="M556" s="6">
        <v>22</v>
      </c>
      <c r="N556" s="6">
        <v>22</v>
      </c>
      <c r="O556" s="6">
        <v>22</v>
      </c>
      <c r="P556" s="6">
        <v>22</v>
      </c>
      <c r="Q556" s="6">
        <v>22</v>
      </c>
      <c r="R556" s="6">
        <v>22</v>
      </c>
      <c r="S556" s="6">
        <v>22</v>
      </c>
      <c r="T556" s="6">
        <v>22</v>
      </c>
      <c r="U556" s="6">
        <v>22</v>
      </c>
      <c r="V556" s="6">
        <v>22</v>
      </c>
      <c r="W556" s="138">
        <v>24061969.784065388</v>
      </c>
      <c r="X556">
        <f ca="1">IF(V556=0,0,OFFSET(CreditMetrics!$B$474,MATCH(RAND(),OFFSET(CreditMetrics!$C$474,1,MATCH(BDClientes!V556,CreditMetrics!$B$475:$B$491,0),COUNT(CreditMetrics!$B$475:$B$491),1),1),0,1,1))</f>
        <v>22</v>
      </c>
      <c r="Z556" s="79"/>
    </row>
    <row r="557" spans="1:26" x14ac:dyDescent="0.25">
      <c r="A557" s="4">
        <v>556</v>
      </c>
      <c r="B557" s="5" t="s">
        <v>558</v>
      </c>
      <c r="C557" s="6">
        <v>22</v>
      </c>
      <c r="D557" s="6">
        <v>22</v>
      </c>
      <c r="E557" s="6">
        <v>22</v>
      </c>
      <c r="F557" s="6">
        <v>22</v>
      </c>
      <c r="G557" s="6">
        <v>22</v>
      </c>
      <c r="H557" s="6">
        <v>22</v>
      </c>
      <c r="I557" s="6">
        <v>22</v>
      </c>
      <c r="J557" s="6">
        <v>22</v>
      </c>
      <c r="K557" s="6">
        <v>22</v>
      </c>
      <c r="L557" s="6">
        <v>22</v>
      </c>
      <c r="M557" s="6">
        <v>22</v>
      </c>
      <c r="N557" s="6">
        <v>22</v>
      </c>
      <c r="O557" s="6">
        <v>22</v>
      </c>
      <c r="P557" s="6">
        <v>22</v>
      </c>
      <c r="Q557" s="6">
        <v>22</v>
      </c>
      <c r="R557" s="6">
        <v>22</v>
      </c>
      <c r="S557" s="6">
        <v>22</v>
      </c>
      <c r="T557" s="6">
        <v>22</v>
      </c>
      <c r="U557" s="6">
        <v>22</v>
      </c>
      <c r="V557" s="6">
        <v>22</v>
      </c>
      <c r="W557" s="138">
        <v>841939.54140186321</v>
      </c>
      <c r="X557">
        <f ca="1">IF(V557=0,0,OFFSET(CreditMetrics!$B$474,MATCH(RAND(),OFFSET(CreditMetrics!$C$474,1,MATCH(BDClientes!V557,CreditMetrics!$B$475:$B$491,0),COUNT(CreditMetrics!$B$475:$B$491),1),1),0,1,1))</f>
        <v>22</v>
      </c>
      <c r="Z557" s="79"/>
    </row>
    <row r="558" spans="1:26" x14ac:dyDescent="0.25">
      <c r="A558" s="4">
        <v>557</v>
      </c>
      <c r="B558" s="5" t="s">
        <v>559</v>
      </c>
      <c r="C558" s="6">
        <v>0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22</v>
      </c>
      <c r="M558" s="6">
        <v>22</v>
      </c>
      <c r="N558" s="6">
        <v>22</v>
      </c>
      <c r="O558" s="6">
        <v>22</v>
      </c>
      <c r="P558" s="6">
        <v>22</v>
      </c>
      <c r="Q558" s="6">
        <v>22</v>
      </c>
      <c r="R558" s="6">
        <v>22</v>
      </c>
      <c r="S558" s="6">
        <v>22</v>
      </c>
      <c r="T558" s="6">
        <v>22</v>
      </c>
      <c r="U558" s="6">
        <v>22</v>
      </c>
      <c r="V558" s="6">
        <v>22</v>
      </c>
      <c r="W558" s="138">
        <v>625540.21215899941</v>
      </c>
      <c r="X558">
        <f ca="1">IF(V558=0,0,OFFSET(CreditMetrics!$B$474,MATCH(RAND(),OFFSET(CreditMetrics!$C$474,1,MATCH(BDClientes!V558,CreditMetrics!$B$475:$B$491,0),COUNT(CreditMetrics!$B$475:$B$491),1),1),0,1,1))</f>
        <v>22</v>
      </c>
      <c r="Z558" s="79"/>
    </row>
    <row r="559" spans="1:26" x14ac:dyDescent="0.25">
      <c r="A559" s="4">
        <v>558</v>
      </c>
      <c r="B559" s="5" t="s">
        <v>560</v>
      </c>
      <c r="C559" s="6">
        <v>0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0</v>
      </c>
      <c r="K559" s="6">
        <v>0</v>
      </c>
      <c r="L559" s="6">
        <v>22</v>
      </c>
      <c r="M559" s="6">
        <v>22</v>
      </c>
      <c r="N559" s="6">
        <v>22</v>
      </c>
      <c r="O559" s="6">
        <v>22</v>
      </c>
      <c r="P559" s="6">
        <v>22</v>
      </c>
      <c r="Q559" s="6">
        <v>22</v>
      </c>
      <c r="R559" s="6">
        <v>22</v>
      </c>
      <c r="S559" s="6">
        <v>22</v>
      </c>
      <c r="T559" s="6">
        <v>22</v>
      </c>
      <c r="U559" s="6">
        <v>22</v>
      </c>
      <c r="V559" s="6">
        <v>22</v>
      </c>
      <c r="W559" s="138">
        <v>178680.47004580096</v>
      </c>
      <c r="X559">
        <f ca="1">IF(V559=0,0,OFFSET(CreditMetrics!$B$474,MATCH(RAND(),OFFSET(CreditMetrics!$C$474,1,MATCH(BDClientes!V559,CreditMetrics!$B$475:$B$491,0),COUNT(CreditMetrics!$B$475:$B$491),1),1),0,1,1))</f>
        <v>22</v>
      </c>
      <c r="Z559" s="79"/>
    </row>
    <row r="560" spans="1:26" x14ac:dyDescent="0.25">
      <c r="A560" s="4">
        <v>559</v>
      </c>
      <c r="B560" s="5" t="s">
        <v>561</v>
      </c>
      <c r="C560" s="6">
        <v>0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22</v>
      </c>
      <c r="M560" s="6">
        <v>22</v>
      </c>
      <c r="N560" s="6">
        <v>22</v>
      </c>
      <c r="O560" s="6">
        <v>22</v>
      </c>
      <c r="P560" s="6">
        <v>22</v>
      </c>
      <c r="Q560" s="6">
        <v>22</v>
      </c>
      <c r="R560" s="6">
        <v>22</v>
      </c>
      <c r="S560" s="6">
        <v>22</v>
      </c>
      <c r="T560" s="6">
        <v>22</v>
      </c>
      <c r="U560" s="6">
        <v>22</v>
      </c>
      <c r="V560" s="6">
        <v>22</v>
      </c>
      <c r="W560" s="138">
        <v>136574.12722261238</v>
      </c>
      <c r="X560">
        <f ca="1">IF(V560=0,0,OFFSET(CreditMetrics!$B$474,MATCH(RAND(),OFFSET(CreditMetrics!$C$474,1,MATCH(BDClientes!V560,CreditMetrics!$B$475:$B$491,0),COUNT(CreditMetrics!$B$475:$B$491),1),1),0,1,1))</f>
        <v>22</v>
      </c>
      <c r="Z560" s="79"/>
    </row>
    <row r="561" spans="1:26" x14ac:dyDescent="0.25">
      <c r="A561" s="4">
        <v>560</v>
      </c>
      <c r="B561" s="5" t="s">
        <v>562</v>
      </c>
      <c r="C561" s="6">
        <v>0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40</v>
      </c>
      <c r="M561" s="6">
        <v>60</v>
      </c>
      <c r="N561" s="6">
        <v>60</v>
      </c>
      <c r="O561" s="6">
        <v>65</v>
      </c>
      <c r="P561" s="6">
        <v>60</v>
      </c>
      <c r="Q561" s="6">
        <v>60</v>
      </c>
      <c r="R561" s="6">
        <v>65</v>
      </c>
      <c r="S561" s="6">
        <v>65</v>
      </c>
      <c r="T561" s="6">
        <v>65</v>
      </c>
      <c r="U561" s="6">
        <v>65</v>
      </c>
      <c r="V561" s="6">
        <v>65</v>
      </c>
      <c r="W561" s="138">
        <v>348065.11408132088</v>
      </c>
      <c r="X561">
        <f ca="1">IF(V561=0,0,OFFSET(CreditMetrics!$B$474,MATCH(RAND(),OFFSET(CreditMetrics!$C$474,1,MATCH(BDClientes!V561,CreditMetrics!$B$475:$B$491,0),COUNT(CreditMetrics!$B$475:$B$491),1),1),0,1,1))</f>
        <v>22</v>
      </c>
      <c r="Z561" s="79"/>
    </row>
    <row r="562" spans="1:26" x14ac:dyDescent="0.25">
      <c r="A562" s="4">
        <v>561</v>
      </c>
      <c r="B562" s="5" t="s">
        <v>563</v>
      </c>
      <c r="C562" s="6">
        <v>0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22</v>
      </c>
      <c r="M562" s="6">
        <v>22</v>
      </c>
      <c r="N562" s="6">
        <v>22</v>
      </c>
      <c r="O562" s="6">
        <v>22</v>
      </c>
      <c r="P562" s="6">
        <v>22</v>
      </c>
      <c r="Q562" s="6">
        <v>22</v>
      </c>
      <c r="R562" s="6">
        <v>22</v>
      </c>
      <c r="S562" s="6">
        <v>22</v>
      </c>
      <c r="T562" s="6">
        <v>22</v>
      </c>
      <c r="U562" s="6">
        <v>22</v>
      </c>
      <c r="V562" s="6">
        <v>22</v>
      </c>
      <c r="W562" s="138">
        <v>224629.50924968533</v>
      </c>
      <c r="X562">
        <f ca="1">IF(V562=0,0,OFFSET(CreditMetrics!$B$474,MATCH(RAND(),OFFSET(CreditMetrics!$C$474,1,MATCH(BDClientes!V562,CreditMetrics!$B$475:$B$491,0),COUNT(CreditMetrics!$B$475:$B$491),1),1),0,1,1))</f>
        <v>22</v>
      </c>
      <c r="Z562" s="79"/>
    </row>
    <row r="563" spans="1:26" x14ac:dyDescent="0.25">
      <c r="A563" s="4">
        <v>562</v>
      </c>
      <c r="B563" s="5" t="s">
        <v>564</v>
      </c>
      <c r="C563" s="6">
        <v>22</v>
      </c>
      <c r="D563" s="6">
        <v>22</v>
      </c>
      <c r="E563" s="6">
        <v>22</v>
      </c>
      <c r="F563" s="6">
        <v>22</v>
      </c>
      <c r="G563" s="6">
        <v>22</v>
      </c>
      <c r="H563" s="6">
        <v>22</v>
      </c>
      <c r="I563" s="6">
        <v>22</v>
      </c>
      <c r="J563" s="6">
        <v>22</v>
      </c>
      <c r="K563" s="6">
        <v>22</v>
      </c>
      <c r="L563" s="6">
        <v>22</v>
      </c>
      <c r="M563" s="6">
        <v>22</v>
      </c>
      <c r="N563" s="6">
        <v>22</v>
      </c>
      <c r="O563" s="6">
        <v>22</v>
      </c>
      <c r="P563" s="6">
        <v>22</v>
      </c>
      <c r="Q563" s="6">
        <v>22</v>
      </c>
      <c r="R563" s="6">
        <v>22</v>
      </c>
      <c r="S563" s="6">
        <v>22</v>
      </c>
      <c r="T563" s="6">
        <v>22</v>
      </c>
      <c r="U563" s="6">
        <v>22</v>
      </c>
      <c r="V563" s="6">
        <v>22</v>
      </c>
      <c r="W563" s="138">
        <v>142089.29272587819</v>
      </c>
      <c r="X563">
        <f ca="1">IF(V563=0,0,OFFSET(CreditMetrics!$B$474,MATCH(RAND(),OFFSET(CreditMetrics!$C$474,1,MATCH(BDClientes!V563,CreditMetrics!$B$475:$B$491,0),COUNT(CreditMetrics!$B$475:$B$491),1),1),0,1,1))</f>
        <v>22</v>
      </c>
      <c r="Z563" s="79"/>
    </row>
    <row r="564" spans="1:26" x14ac:dyDescent="0.25">
      <c r="A564" s="4">
        <v>563</v>
      </c>
      <c r="B564" s="5" t="s">
        <v>565</v>
      </c>
      <c r="C564" s="6">
        <v>0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22</v>
      </c>
      <c r="M564" s="6">
        <v>22</v>
      </c>
      <c r="N564" s="6">
        <v>22</v>
      </c>
      <c r="O564" s="6">
        <v>22</v>
      </c>
      <c r="P564" s="6">
        <v>22</v>
      </c>
      <c r="Q564" s="6">
        <v>22</v>
      </c>
      <c r="R564" s="6">
        <v>22</v>
      </c>
      <c r="S564" s="6">
        <v>22</v>
      </c>
      <c r="T564" s="6">
        <v>22</v>
      </c>
      <c r="U564" s="6">
        <v>22</v>
      </c>
      <c r="V564" s="6">
        <v>22</v>
      </c>
      <c r="W564" s="138">
        <v>126177.31607820753</v>
      </c>
      <c r="X564">
        <f ca="1">IF(V564=0,0,OFFSET(CreditMetrics!$B$474,MATCH(RAND(),OFFSET(CreditMetrics!$C$474,1,MATCH(BDClientes!V564,CreditMetrics!$B$475:$B$491,0),COUNT(CreditMetrics!$B$475:$B$491),1),1),0,1,1))</f>
        <v>22</v>
      </c>
      <c r="Z564" s="79"/>
    </row>
    <row r="565" spans="1:26" x14ac:dyDescent="0.25">
      <c r="A565" s="4">
        <v>564</v>
      </c>
      <c r="B565" s="5" t="s">
        <v>566</v>
      </c>
      <c r="C565" s="6">
        <v>0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0</v>
      </c>
      <c r="K565" s="6">
        <v>0</v>
      </c>
      <c r="L565" s="6">
        <v>22</v>
      </c>
      <c r="M565" s="6">
        <v>22</v>
      </c>
      <c r="N565" s="6">
        <v>22</v>
      </c>
      <c r="O565" s="6">
        <v>22</v>
      </c>
      <c r="P565" s="6">
        <v>22</v>
      </c>
      <c r="Q565" s="6">
        <v>22</v>
      </c>
      <c r="R565" s="6">
        <v>22</v>
      </c>
      <c r="S565" s="6">
        <v>22</v>
      </c>
      <c r="T565" s="6">
        <v>22</v>
      </c>
      <c r="U565" s="6">
        <v>22</v>
      </c>
      <c r="V565" s="6">
        <v>22</v>
      </c>
      <c r="W565" s="138">
        <v>157556.68714988537</v>
      </c>
      <c r="X565">
        <f ca="1">IF(V565=0,0,OFFSET(CreditMetrics!$B$474,MATCH(RAND(),OFFSET(CreditMetrics!$C$474,1,MATCH(BDClientes!V565,CreditMetrics!$B$475:$B$491,0),COUNT(CreditMetrics!$B$475:$B$491),1),1),0,1,1))</f>
        <v>22</v>
      </c>
      <c r="Z565" s="79"/>
    </row>
    <row r="566" spans="1:26" x14ac:dyDescent="0.25">
      <c r="A566" s="4">
        <v>565</v>
      </c>
      <c r="B566" s="5" t="s">
        <v>567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22</v>
      </c>
      <c r="M566" s="6">
        <v>22</v>
      </c>
      <c r="N566" s="6">
        <v>22</v>
      </c>
      <c r="O566" s="6">
        <v>22</v>
      </c>
      <c r="P566" s="6">
        <v>22</v>
      </c>
      <c r="Q566" s="6">
        <v>22</v>
      </c>
      <c r="R566" s="6">
        <v>22</v>
      </c>
      <c r="S566" s="6">
        <v>22</v>
      </c>
      <c r="T566" s="6">
        <v>22</v>
      </c>
      <c r="U566" s="6">
        <v>22</v>
      </c>
      <c r="V566" s="6">
        <v>22</v>
      </c>
      <c r="W566" s="138">
        <v>228992.25060525179</v>
      </c>
      <c r="X566">
        <f ca="1">IF(V566=0,0,OFFSET(CreditMetrics!$B$474,MATCH(RAND(),OFFSET(CreditMetrics!$C$474,1,MATCH(BDClientes!V566,CreditMetrics!$B$475:$B$491,0),COUNT(CreditMetrics!$B$475:$B$491),1),1),0,1,1))</f>
        <v>22</v>
      </c>
      <c r="Z566" s="79"/>
    </row>
    <row r="567" spans="1:26" x14ac:dyDescent="0.25">
      <c r="A567" s="4">
        <v>566</v>
      </c>
      <c r="B567" s="5" t="s">
        <v>568</v>
      </c>
      <c r="C567" s="6">
        <v>0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0</v>
      </c>
      <c r="K567" s="6">
        <v>0</v>
      </c>
      <c r="L567" s="6">
        <v>22</v>
      </c>
      <c r="M567" s="6">
        <v>22</v>
      </c>
      <c r="N567" s="6">
        <v>22</v>
      </c>
      <c r="O567" s="6">
        <v>22</v>
      </c>
      <c r="P567" s="6">
        <v>22</v>
      </c>
      <c r="Q567" s="6">
        <v>22</v>
      </c>
      <c r="R567" s="6">
        <v>22</v>
      </c>
      <c r="S567" s="6">
        <v>22</v>
      </c>
      <c r="T567" s="6">
        <v>22</v>
      </c>
      <c r="U567" s="6">
        <v>22</v>
      </c>
      <c r="V567" s="6">
        <v>22</v>
      </c>
      <c r="W567" s="138">
        <v>279209.12204733293</v>
      </c>
      <c r="X567">
        <f ca="1">IF(V567=0,0,OFFSET(CreditMetrics!$B$474,MATCH(RAND(),OFFSET(CreditMetrics!$C$474,1,MATCH(BDClientes!V567,CreditMetrics!$B$475:$B$491,0),COUNT(CreditMetrics!$B$475:$B$491),1),1),0,1,1))</f>
        <v>22</v>
      </c>
      <c r="Z567" s="79"/>
    </row>
    <row r="568" spans="1:26" x14ac:dyDescent="0.25">
      <c r="A568" s="4">
        <v>567</v>
      </c>
      <c r="B568" s="5" t="s">
        <v>569</v>
      </c>
      <c r="C568" s="6">
        <v>0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22</v>
      </c>
      <c r="M568" s="6">
        <v>22</v>
      </c>
      <c r="N568" s="6">
        <v>22</v>
      </c>
      <c r="O568" s="6">
        <v>22</v>
      </c>
      <c r="P568" s="6">
        <v>22</v>
      </c>
      <c r="Q568" s="6">
        <v>22</v>
      </c>
      <c r="R568" s="6">
        <v>22</v>
      </c>
      <c r="S568" s="6">
        <v>22</v>
      </c>
      <c r="T568" s="6">
        <v>22</v>
      </c>
      <c r="U568" s="6">
        <v>22</v>
      </c>
      <c r="V568" s="6">
        <v>22</v>
      </c>
      <c r="W568" s="138">
        <v>146054.77846846444</v>
      </c>
      <c r="X568">
        <f ca="1">IF(V568=0,0,OFFSET(CreditMetrics!$B$474,MATCH(RAND(),OFFSET(CreditMetrics!$C$474,1,MATCH(BDClientes!V568,CreditMetrics!$B$475:$B$491,0),COUNT(CreditMetrics!$B$475:$B$491),1),1),0,1,1))</f>
        <v>22</v>
      </c>
      <c r="Z568" s="79"/>
    </row>
    <row r="569" spans="1:26" x14ac:dyDescent="0.25">
      <c r="A569" s="4">
        <v>568</v>
      </c>
      <c r="B569" s="5" t="s">
        <v>570</v>
      </c>
      <c r="C569" s="6">
        <v>0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0</v>
      </c>
      <c r="K569" s="6">
        <v>0</v>
      </c>
      <c r="L569" s="6">
        <v>22</v>
      </c>
      <c r="M569" s="6">
        <v>22</v>
      </c>
      <c r="N569" s="6">
        <v>22</v>
      </c>
      <c r="O569" s="6">
        <v>22</v>
      </c>
      <c r="P569" s="6">
        <v>22</v>
      </c>
      <c r="Q569" s="6">
        <v>22</v>
      </c>
      <c r="R569" s="6">
        <v>22</v>
      </c>
      <c r="S569" s="6">
        <v>22</v>
      </c>
      <c r="T569" s="6">
        <v>22</v>
      </c>
      <c r="U569" s="6">
        <v>22</v>
      </c>
      <c r="V569" s="6">
        <v>22</v>
      </c>
      <c r="W569" s="138">
        <v>147783.34184847734</v>
      </c>
      <c r="X569">
        <f ca="1">IF(V569=0,0,OFFSET(CreditMetrics!$B$474,MATCH(RAND(),OFFSET(CreditMetrics!$C$474,1,MATCH(BDClientes!V569,CreditMetrics!$B$475:$B$491,0),COUNT(CreditMetrics!$B$475:$B$491),1),1),0,1,1))</f>
        <v>22</v>
      </c>
      <c r="Z569" s="79"/>
    </row>
    <row r="570" spans="1:26" x14ac:dyDescent="0.25">
      <c r="A570" s="4">
        <v>569</v>
      </c>
      <c r="B570" s="5" t="s">
        <v>571</v>
      </c>
      <c r="C570" s="6">
        <v>0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22</v>
      </c>
      <c r="M570" s="6">
        <v>22</v>
      </c>
      <c r="N570" s="6">
        <v>22</v>
      </c>
      <c r="O570" s="6">
        <v>22</v>
      </c>
      <c r="P570" s="6">
        <v>22</v>
      </c>
      <c r="Q570" s="6">
        <v>22</v>
      </c>
      <c r="R570" s="6">
        <v>22</v>
      </c>
      <c r="S570" s="6">
        <v>22</v>
      </c>
      <c r="T570" s="6">
        <v>22</v>
      </c>
      <c r="U570" s="6">
        <v>22</v>
      </c>
      <c r="V570" s="6">
        <v>22</v>
      </c>
      <c r="W570" s="138">
        <v>155305.99881048247</v>
      </c>
      <c r="X570">
        <f ca="1">IF(V570=0,0,OFFSET(CreditMetrics!$B$474,MATCH(RAND(),OFFSET(CreditMetrics!$C$474,1,MATCH(BDClientes!V570,CreditMetrics!$B$475:$B$491,0),COUNT(CreditMetrics!$B$475:$B$491),1),1),0,1,1))</f>
        <v>22</v>
      </c>
      <c r="Z570" s="79"/>
    </row>
    <row r="571" spans="1:26" x14ac:dyDescent="0.25">
      <c r="A571" s="4">
        <v>570</v>
      </c>
      <c r="B571" s="5" t="s">
        <v>572</v>
      </c>
      <c r="C571" s="6">
        <v>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22</v>
      </c>
      <c r="M571" s="6">
        <v>22</v>
      </c>
      <c r="N571" s="6">
        <v>22</v>
      </c>
      <c r="O571" s="6">
        <v>22</v>
      </c>
      <c r="P571" s="6">
        <v>22</v>
      </c>
      <c r="Q571" s="6">
        <v>22</v>
      </c>
      <c r="R571" s="6">
        <v>22</v>
      </c>
      <c r="S571" s="6">
        <v>22</v>
      </c>
      <c r="T571" s="6">
        <v>22</v>
      </c>
      <c r="U571" s="6">
        <v>22</v>
      </c>
      <c r="V571" s="6">
        <v>22</v>
      </c>
      <c r="W571" s="138">
        <v>129969.96003281038</v>
      </c>
      <c r="X571">
        <f ca="1">IF(V571=0,0,OFFSET(CreditMetrics!$B$474,MATCH(RAND(),OFFSET(CreditMetrics!$C$474,1,MATCH(BDClientes!V571,CreditMetrics!$B$475:$B$491,0),COUNT(CreditMetrics!$B$475:$B$491),1),1),0,1,1))</f>
        <v>22</v>
      </c>
      <c r="Z571" s="79"/>
    </row>
    <row r="572" spans="1:26" x14ac:dyDescent="0.25">
      <c r="A572" s="4">
        <v>571</v>
      </c>
      <c r="B572" s="5" t="s">
        <v>573</v>
      </c>
      <c r="C572" s="6">
        <v>0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22</v>
      </c>
      <c r="M572" s="6">
        <v>22</v>
      </c>
      <c r="N572" s="6">
        <v>22</v>
      </c>
      <c r="O572" s="6">
        <v>22</v>
      </c>
      <c r="P572" s="6">
        <v>22</v>
      </c>
      <c r="Q572" s="6">
        <v>22</v>
      </c>
      <c r="R572" s="6">
        <v>22</v>
      </c>
      <c r="S572" s="6">
        <v>22</v>
      </c>
      <c r="T572" s="6">
        <v>22</v>
      </c>
      <c r="U572" s="6">
        <v>22</v>
      </c>
      <c r="V572" s="6">
        <v>22</v>
      </c>
      <c r="W572" s="138">
        <v>124364.83889033402</v>
      </c>
      <c r="X572">
        <f ca="1">IF(V572=0,0,OFFSET(CreditMetrics!$B$474,MATCH(RAND(),OFFSET(CreditMetrics!$C$474,1,MATCH(BDClientes!V572,CreditMetrics!$B$475:$B$491,0),COUNT(CreditMetrics!$B$475:$B$491),1),1),0,1,1))</f>
        <v>22</v>
      </c>
      <c r="Z572" s="79"/>
    </row>
    <row r="573" spans="1:26" x14ac:dyDescent="0.25">
      <c r="A573" s="4">
        <v>572</v>
      </c>
      <c r="B573" s="5" t="s">
        <v>574</v>
      </c>
      <c r="C573" s="6">
        <v>0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0</v>
      </c>
      <c r="K573" s="6">
        <v>0</v>
      </c>
      <c r="L573" s="6">
        <v>22</v>
      </c>
      <c r="M573" s="6">
        <v>22</v>
      </c>
      <c r="N573" s="6">
        <v>22</v>
      </c>
      <c r="O573" s="6">
        <v>22</v>
      </c>
      <c r="P573" s="6">
        <v>22</v>
      </c>
      <c r="Q573" s="6">
        <v>22</v>
      </c>
      <c r="R573" s="6">
        <v>22</v>
      </c>
      <c r="S573" s="6">
        <v>22</v>
      </c>
      <c r="T573" s="6">
        <v>22</v>
      </c>
      <c r="U573" s="6">
        <v>22</v>
      </c>
      <c r="V573" s="6">
        <v>22</v>
      </c>
      <c r="W573" s="138">
        <v>119212.48607504254</v>
      </c>
      <c r="X573">
        <f ca="1">IF(V573=0,0,OFFSET(CreditMetrics!$B$474,MATCH(RAND(),OFFSET(CreditMetrics!$C$474,1,MATCH(BDClientes!V573,CreditMetrics!$B$475:$B$491,0),COUNT(CreditMetrics!$B$475:$B$491),1),1),0,1,1))</f>
        <v>22</v>
      </c>
      <c r="Z573" s="79"/>
    </row>
    <row r="574" spans="1:26" x14ac:dyDescent="0.25">
      <c r="A574" s="4">
        <v>573</v>
      </c>
      <c r="B574" s="5" t="s">
        <v>575</v>
      </c>
      <c r="C574" s="6">
        <v>0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22</v>
      </c>
      <c r="M574" s="6">
        <v>22</v>
      </c>
      <c r="N574" s="6">
        <v>22</v>
      </c>
      <c r="O574" s="6">
        <v>22</v>
      </c>
      <c r="P574" s="6">
        <v>22</v>
      </c>
      <c r="Q574" s="6">
        <v>22</v>
      </c>
      <c r="R574" s="6">
        <v>22</v>
      </c>
      <c r="S574" s="6">
        <v>22</v>
      </c>
      <c r="T574" s="6">
        <v>22</v>
      </c>
      <c r="U574" s="6">
        <v>22</v>
      </c>
      <c r="V574" s="6">
        <v>22</v>
      </c>
      <c r="W574" s="138">
        <v>270324.19422576309</v>
      </c>
      <c r="X574">
        <f ca="1">IF(V574=0,0,OFFSET(CreditMetrics!$B$474,MATCH(RAND(),OFFSET(CreditMetrics!$C$474,1,MATCH(BDClientes!V574,CreditMetrics!$B$475:$B$491,0),COUNT(CreditMetrics!$B$475:$B$491),1),1),0,1,1))</f>
        <v>22</v>
      </c>
      <c r="Z574" s="79"/>
    </row>
    <row r="575" spans="1:26" x14ac:dyDescent="0.25">
      <c r="A575" s="4">
        <v>574</v>
      </c>
      <c r="B575" s="5" t="s">
        <v>576</v>
      </c>
      <c r="C575" s="6">
        <v>0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0</v>
      </c>
      <c r="K575" s="6">
        <v>0</v>
      </c>
      <c r="L575" s="6">
        <v>22</v>
      </c>
      <c r="M575" s="6">
        <v>22</v>
      </c>
      <c r="N575" s="6">
        <v>22</v>
      </c>
      <c r="O575" s="6">
        <v>22</v>
      </c>
      <c r="P575" s="6">
        <v>22</v>
      </c>
      <c r="Q575" s="6">
        <v>22</v>
      </c>
      <c r="R575" s="6">
        <v>22</v>
      </c>
      <c r="S575" s="6">
        <v>22</v>
      </c>
      <c r="T575" s="6">
        <v>22</v>
      </c>
      <c r="U575" s="6">
        <v>22</v>
      </c>
      <c r="V575" s="6">
        <v>22</v>
      </c>
      <c r="W575" s="138">
        <v>684145.13279469952</v>
      </c>
      <c r="X575">
        <f ca="1">IF(V575=0,0,OFFSET(CreditMetrics!$B$474,MATCH(RAND(),OFFSET(CreditMetrics!$C$474,1,MATCH(BDClientes!V575,CreditMetrics!$B$475:$B$491,0),COUNT(CreditMetrics!$B$475:$B$491),1),1),0,1,1))</f>
        <v>22</v>
      </c>
      <c r="Z575" s="79"/>
    </row>
    <row r="576" spans="1:26" x14ac:dyDescent="0.25">
      <c r="A576" s="4">
        <v>575</v>
      </c>
      <c r="B576" s="5" t="s">
        <v>577</v>
      </c>
      <c r="C576" s="6">
        <v>0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22</v>
      </c>
      <c r="M576" s="6">
        <v>22</v>
      </c>
      <c r="N576" s="6">
        <v>22</v>
      </c>
      <c r="O576" s="6">
        <v>22</v>
      </c>
      <c r="P576" s="6">
        <v>22</v>
      </c>
      <c r="Q576" s="6">
        <v>22</v>
      </c>
      <c r="R576" s="6">
        <v>22</v>
      </c>
      <c r="S576" s="6">
        <v>22</v>
      </c>
      <c r="T576" s="6">
        <v>22</v>
      </c>
      <c r="U576" s="6">
        <v>22</v>
      </c>
      <c r="V576" s="6">
        <v>22</v>
      </c>
      <c r="W576" s="138">
        <v>229386.57656593266</v>
      </c>
      <c r="X576">
        <f ca="1">IF(V576=0,0,OFFSET(CreditMetrics!$B$474,MATCH(RAND(),OFFSET(CreditMetrics!$C$474,1,MATCH(BDClientes!V576,CreditMetrics!$B$475:$B$491,0),COUNT(CreditMetrics!$B$475:$B$491),1),1),0,1,1))</f>
        <v>22</v>
      </c>
      <c r="Z576" s="79"/>
    </row>
    <row r="577" spans="1:26" x14ac:dyDescent="0.25">
      <c r="A577" s="4">
        <v>576</v>
      </c>
      <c r="B577" s="5" t="s">
        <v>578</v>
      </c>
      <c r="C577" s="6">
        <v>0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0</v>
      </c>
      <c r="K577" s="6">
        <v>0</v>
      </c>
      <c r="L577" s="6">
        <v>22</v>
      </c>
      <c r="M577" s="6">
        <v>22</v>
      </c>
      <c r="N577" s="6">
        <v>22</v>
      </c>
      <c r="O577" s="6">
        <v>22</v>
      </c>
      <c r="P577" s="6">
        <v>22</v>
      </c>
      <c r="Q577" s="6">
        <v>22</v>
      </c>
      <c r="R577" s="6">
        <v>22</v>
      </c>
      <c r="S577" s="6">
        <v>22</v>
      </c>
      <c r="T577" s="6">
        <v>22</v>
      </c>
      <c r="U577" s="6">
        <v>22</v>
      </c>
      <c r="V577" s="6">
        <v>22</v>
      </c>
      <c r="W577" s="138">
        <v>205354.68785621395</v>
      </c>
      <c r="X577">
        <f ca="1">IF(V577=0,0,OFFSET(CreditMetrics!$B$474,MATCH(RAND(),OFFSET(CreditMetrics!$C$474,1,MATCH(BDClientes!V577,CreditMetrics!$B$475:$B$491,0),COUNT(CreditMetrics!$B$475:$B$491),1),1),0,1,1))</f>
        <v>22</v>
      </c>
      <c r="Z577" s="79"/>
    </row>
    <row r="578" spans="1:26" x14ac:dyDescent="0.25">
      <c r="A578" s="4">
        <v>577</v>
      </c>
      <c r="B578" s="5" t="s">
        <v>579</v>
      </c>
      <c r="C578" s="6">
        <v>0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22</v>
      </c>
      <c r="M578" s="6">
        <v>22</v>
      </c>
      <c r="N578" s="6">
        <v>22</v>
      </c>
      <c r="O578" s="6">
        <v>22</v>
      </c>
      <c r="P578" s="6">
        <v>22</v>
      </c>
      <c r="Q578" s="6">
        <v>22</v>
      </c>
      <c r="R578" s="6">
        <v>22</v>
      </c>
      <c r="S578" s="6">
        <v>22</v>
      </c>
      <c r="T578" s="6">
        <v>22</v>
      </c>
      <c r="U578" s="6">
        <v>22</v>
      </c>
      <c r="V578" s="6">
        <v>22</v>
      </c>
      <c r="W578" s="138">
        <v>199504.50208214566</v>
      </c>
      <c r="X578">
        <f ca="1">IF(V578=0,0,OFFSET(CreditMetrics!$B$474,MATCH(RAND(),OFFSET(CreditMetrics!$C$474,1,MATCH(BDClientes!V578,CreditMetrics!$B$475:$B$491,0),COUNT(CreditMetrics!$B$475:$B$491),1),1),0,1,1))</f>
        <v>22</v>
      </c>
      <c r="Z578" s="79"/>
    </row>
    <row r="579" spans="1:26" x14ac:dyDescent="0.25">
      <c r="A579" s="4">
        <v>578</v>
      </c>
      <c r="B579" s="5" t="s">
        <v>580</v>
      </c>
      <c r="C579" s="6">
        <v>80</v>
      </c>
      <c r="D579" s="6">
        <v>77</v>
      </c>
      <c r="E579" s="6">
        <v>77</v>
      </c>
      <c r="F579" s="6">
        <v>77</v>
      </c>
      <c r="G579" s="6">
        <v>77</v>
      </c>
      <c r="H579" s="6">
        <v>70</v>
      </c>
      <c r="I579" s="6">
        <v>22</v>
      </c>
      <c r="J579" s="6">
        <v>22</v>
      </c>
      <c r="K579" s="6">
        <v>22</v>
      </c>
      <c r="L579" s="6">
        <v>22</v>
      </c>
      <c r="M579" s="6">
        <v>22</v>
      </c>
      <c r="N579" s="6">
        <v>22</v>
      </c>
      <c r="O579" s="6">
        <v>22</v>
      </c>
      <c r="P579" s="6">
        <v>22</v>
      </c>
      <c r="Q579" s="6">
        <v>22</v>
      </c>
      <c r="R579" s="6">
        <v>22</v>
      </c>
      <c r="S579" s="6">
        <v>22</v>
      </c>
      <c r="T579" s="6">
        <v>22</v>
      </c>
      <c r="U579" s="6">
        <v>22</v>
      </c>
      <c r="V579" s="6">
        <v>22</v>
      </c>
      <c r="W579" s="138">
        <v>1515975.4368826405</v>
      </c>
      <c r="X579">
        <f ca="1">IF(V579=0,0,OFFSET(CreditMetrics!$B$474,MATCH(RAND(),OFFSET(CreditMetrics!$C$474,1,MATCH(BDClientes!V579,CreditMetrics!$B$475:$B$491,0),COUNT(CreditMetrics!$B$475:$B$491),1),1),0,1,1))</f>
        <v>22</v>
      </c>
      <c r="Z579" s="79"/>
    </row>
    <row r="580" spans="1:26" x14ac:dyDescent="0.25">
      <c r="A580" s="4">
        <v>579</v>
      </c>
      <c r="B580" s="5" t="s">
        <v>581</v>
      </c>
      <c r="C580" s="6">
        <v>0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22</v>
      </c>
      <c r="M580" s="6">
        <v>22</v>
      </c>
      <c r="N580" s="6">
        <v>22</v>
      </c>
      <c r="O580" s="6">
        <v>22</v>
      </c>
      <c r="P580" s="6">
        <v>22</v>
      </c>
      <c r="Q580" s="6">
        <v>22</v>
      </c>
      <c r="R580" s="6">
        <v>22</v>
      </c>
      <c r="S580" s="6">
        <v>22</v>
      </c>
      <c r="T580" s="6">
        <v>22</v>
      </c>
      <c r="U580" s="6">
        <v>22</v>
      </c>
      <c r="V580" s="6">
        <v>22</v>
      </c>
      <c r="W580" s="138">
        <v>220374.53684983886</v>
      </c>
      <c r="X580">
        <f ca="1">IF(V580=0,0,OFFSET(CreditMetrics!$B$474,MATCH(RAND(),OFFSET(CreditMetrics!$C$474,1,MATCH(BDClientes!V580,CreditMetrics!$B$475:$B$491,0),COUNT(CreditMetrics!$B$475:$B$491),1),1),0,1,1))</f>
        <v>22</v>
      </c>
      <c r="Z580" s="79"/>
    </row>
    <row r="581" spans="1:26" x14ac:dyDescent="0.25">
      <c r="A581" s="4">
        <v>580</v>
      </c>
      <c r="B581" s="5" t="s">
        <v>582</v>
      </c>
      <c r="C581" s="6">
        <v>65</v>
      </c>
      <c r="D581" s="6">
        <v>22</v>
      </c>
      <c r="E581" s="6">
        <v>22</v>
      </c>
      <c r="F581" s="6">
        <v>22</v>
      </c>
      <c r="G581" s="6">
        <v>22</v>
      </c>
      <c r="H581" s="6">
        <v>22</v>
      </c>
      <c r="I581" s="6">
        <v>22</v>
      </c>
      <c r="J581" s="6">
        <v>22</v>
      </c>
      <c r="K581" s="6">
        <v>22</v>
      </c>
      <c r="L581" s="6">
        <v>22</v>
      </c>
      <c r="M581" s="6">
        <v>22</v>
      </c>
      <c r="N581" s="6">
        <v>22</v>
      </c>
      <c r="O581" s="6">
        <v>22</v>
      </c>
      <c r="P581" s="6">
        <v>22</v>
      </c>
      <c r="Q581" s="6">
        <v>22</v>
      </c>
      <c r="R581" s="6">
        <v>22</v>
      </c>
      <c r="S581" s="6">
        <v>22</v>
      </c>
      <c r="T581" s="6">
        <v>22</v>
      </c>
      <c r="U581" s="6">
        <v>22</v>
      </c>
      <c r="V581" s="6">
        <v>22</v>
      </c>
      <c r="W581" s="138">
        <v>158392.84420441635</v>
      </c>
      <c r="X581">
        <f ca="1">IF(V581=0,0,OFFSET(CreditMetrics!$B$474,MATCH(RAND(),OFFSET(CreditMetrics!$C$474,1,MATCH(BDClientes!V581,CreditMetrics!$B$475:$B$491,0),COUNT(CreditMetrics!$B$475:$B$491),1),1),0,1,1))</f>
        <v>22</v>
      </c>
      <c r="Z581" s="79"/>
    </row>
    <row r="582" spans="1:26" x14ac:dyDescent="0.25">
      <c r="A582" s="4">
        <v>581</v>
      </c>
      <c r="B582" s="5" t="s">
        <v>583</v>
      </c>
      <c r="C582" s="6">
        <v>0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22</v>
      </c>
      <c r="M582" s="6">
        <v>22</v>
      </c>
      <c r="N582" s="6">
        <v>22</v>
      </c>
      <c r="O582" s="6">
        <v>22</v>
      </c>
      <c r="P582" s="6">
        <v>22</v>
      </c>
      <c r="Q582" s="6">
        <v>22</v>
      </c>
      <c r="R582" s="6">
        <v>22</v>
      </c>
      <c r="S582" s="6">
        <v>22</v>
      </c>
      <c r="T582" s="6">
        <v>22</v>
      </c>
      <c r="U582" s="6">
        <v>22</v>
      </c>
      <c r="V582" s="6">
        <v>22</v>
      </c>
      <c r="W582" s="138">
        <v>790894.08838497079</v>
      </c>
      <c r="X582">
        <f ca="1">IF(V582=0,0,OFFSET(CreditMetrics!$B$474,MATCH(RAND(),OFFSET(CreditMetrics!$C$474,1,MATCH(BDClientes!V582,CreditMetrics!$B$475:$B$491,0),COUNT(CreditMetrics!$B$475:$B$491),1),1),0,1,1))</f>
        <v>22</v>
      </c>
      <c r="Z582" s="79"/>
    </row>
    <row r="583" spans="1:26" x14ac:dyDescent="0.25">
      <c r="A583" s="4">
        <v>582</v>
      </c>
      <c r="B583" s="5" t="s">
        <v>584</v>
      </c>
      <c r="C583" s="6">
        <v>77</v>
      </c>
      <c r="D583" s="6">
        <v>70</v>
      </c>
      <c r="E583" s="6">
        <v>73</v>
      </c>
      <c r="F583" s="6">
        <v>73</v>
      </c>
      <c r="G583" s="6">
        <v>77</v>
      </c>
      <c r="H583" s="6">
        <v>73</v>
      </c>
      <c r="I583" s="6">
        <v>73</v>
      </c>
      <c r="J583" s="6">
        <v>77</v>
      </c>
      <c r="K583" s="6">
        <v>75</v>
      </c>
      <c r="L583" s="6">
        <v>77</v>
      </c>
      <c r="M583" s="6">
        <v>22</v>
      </c>
      <c r="N583" s="6">
        <v>22</v>
      </c>
      <c r="O583" s="6">
        <v>22</v>
      </c>
      <c r="P583" s="6">
        <v>22</v>
      </c>
      <c r="Q583" s="6">
        <v>22</v>
      </c>
      <c r="R583" s="6">
        <v>22</v>
      </c>
      <c r="S583" s="6">
        <v>22</v>
      </c>
      <c r="T583" s="6">
        <v>22</v>
      </c>
      <c r="U583" s="6">
        <v>22</v>
      </c>
      <c r="V583" s="6">
        <v>22</v>
      </c>
      <c r="W583" s="138">
        <v>359647.40996798628</v>
      </c>
      <c r="X583">
        <f ca="1">IF(V583=0,0,OFFSET(CreditMetrics!$B$474,MATCH(RAND(),OFFSET(CreditMetrics!$C$474,1,MATCH(BDClientes!V583,CreditMetrics!$B$475:$B$491,0),COUNT(CreditMetrics!$B$475:$B$491),1),1),0,1,1))</f>
        <v>22</v>
      </c>
      <c r="Z583" s="79"/>
    </row>
    <row r="584" spans="1:26" x14ac:dyDescent="0.25">
      <c r="A584" s="4">
        <v>583</v>
      </c>
      <c r="B584" s="5" t="s">
        <v>585</v>
      </c>
      <c r="C584" s="6">
        <v>22</v>
      </c>
      <c r="D584" s="6">
        <v>22</v>
      </c>
      <c r="E584" s="6">
        <v>22</v>
      </c>
      <c r="F584" s="6">
        <v>22</v>
      </c>
      <c r="G584" s="6">
        <v>22</v>
      </c>
      <c r="H584" s="6">
        <v>22</v>
      </c>
      <c r="I584" s="6">
        <v>22</v>
      </c>
      <c r="J584" s="6">
        <v>22</v>
      </c>
      <c r="K584" s="6">
        <v>22</v>
      </c>
      <c r="L584" s="6">
        <v>22</v>
      </c>
      <c r="M584" s="6">
        <v>22</v>
      </c>
      <c r="N584" s="6">
        <v>22</v>
      </c>
      <c r="O584" s="6">
        <v>22</v>
      </c>
      <c r="P584" s="6">
        <v>22</v>
      </c>
      <c r="Q584" s="6">
        <v>22</v>
      </c>
      <c r="R584" s="6">
        <v>22</v>
      </c>
      <c r="S584" s="6">
        <v>22</v>
      </c>
      <c r="T584" s="6">
        <v>22</v>
      </c>
      <c r="U584" s="6">
        <v>22</v>
      </c>
      <c r="V584" s="6">
        <v>22</v>
      </c>
      <c r="W584" s="138">
        <v>123216.61250883866</v>
      </c>
      <c r="X584">
        <f ca="1">IF(V584=0,0,OFFSET(CreditMetrics!$B$474,MATCH(RAND(),OFFSET(CreditMetrics!$C$474,1,MATCH(BDClientes!V584,CreditMetrics!$B$475:$B$491,0),COUNT(CreditMetrics!$B$475:$B$491),1),1),0,1,1))</f>
        <v>22</v>
      </c>
      <c r="Z584" s="79"/>
    </row>
    <row r="585" spans="1:26" x14ac:dyDescent="0.25">
      <c r="A585" s="4">
        <v>584</v>
      </c>
      <c r="B585" s="5" t="s">
        <v>586</v>
      </c>
      <c r="C585" s="6">
        <v>0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22</v>
      </c>
      <c r="M585" s="6">
        <v>22</v>
      </c>
      <c r="N585" s="6">
        <v>22</v>
      </c>
      <c r="O585" s="6">
        <v>22</v>
      </c>
      <c r="P585" s="6">
        <v>22</v>
      </c>
      <c r="Q585" s="6">
        <v>22</v>
      </c>
      <c r="R585" s="6">
        <v>22</v>
      </c>
      <c r="S585" s="6">
        <v>22</v>
      </c>
      <c r="T585" s="6">
        <v>22</v>
      </c>
      <c r="U585" s="6">
        <v>22</v>
      </c>
      <c r="V585" s="6">
        <v>22</v>
      </c>
      <c r="W585" s="138">
        <v>126533.55581478268</v>
      </c>
      <c r="X585">
        <f ca="1">IF(V585=0,0,OFFSET(CreditMetrics!$B$474,MATCH(RAND(),OFFSET(CreditMetrics!$C$474,1,MATCH(BDClientes!V585,CreditMetrics!$B$475:$B$491,0),COUNT(CreditMetrics!$B$475:$B$491),1),1),0,1,1))</f>
        <v>22</v>
      </c>
      <c r="Z585" s="79"/>
    </row>
    <row r="586" spans="1:26" x14ac:dyDescent="0.25">
      <c r="A586" s="4">
        <v>585</v>
      </c>
      <c r="B586" s="5" t="s">
        <v>587</v>
      </c>
      <c r="C586" s="6">
        <v>0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22</v>
      </c>
      <c r="M586" s="6">
        <v>22</v>
      </c>
      <c r="N586" s="6">
        <v>22</v>
      </c>
      <c r="O586" s="6">
        <v>22</v>
      </c>
      <c r="P586" s="6">
        <v>22</v>
      </c>
      <c r="Q586" s="6">
        <v>22</v>
      </c>
      <c r="R586" s="6">
        <v>22</v>
      </c>
      <c r="S586" s="6">
        <v>22</v>
      </c>
      <c r="T586" s="6">
        <v>22</v>
      </c>
      <c r="U586" s="6">
        <v>22</v>
      </c>
      <c r="V586" s="6">
        <v>22</v>
      </c>
      <c r="W586" s="138">
        <v>180584.64289825462</v>
      </c>
      <c r="X586">
        <f ca="1">IF(V586=0,0,OFFSET(CreditMetrics!$B$474,MATCH(RAND(),OFFSET(CreditMetrics!$C$474,1,MATCH(BDClientes!V586,CreditMetrics!$B$475:$B$491,0),COUNT(CreditMetrics!$B$475:$B$491),1),1),0,1,1))</f>
        <v>22</v>
      </c>
      <c r="Z586" s="79"/>
    </row>
    <row r="587" spans="1:26" x14ac:dyDescent="0.25">
      <c r="A587" s="4">
        <v>586</v>
      </c>
      <c r="B587" s="5" t="s">
        <v>588</v>
      </c>
      <c r="C587" s="6">
        <v>0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0</v>
      </c>
      <c r="K587" s="6">
        <v>0</v>
      </c>
      <c r="L587" s="6">
        <v>22</v>
      </c>
      <c r="M587" s="6">
        <v>22</v>
      </c>
      <c r="N587" s="6">
        <v>22</v>
      </c>
      <c r="O587" s="6">
        <v>22</v>
      </c>
      <c r="P587" s="6">
        <v>22</v>
      </c>
      <c r="Q587" s="6">
        <v>22</v>
      </c>
      <c r="R587" s="6">
        <v>22</v>
      </c>
      <c r="S587" s="6">
        <v>22</v>
      </c>
      <c r="T587" s="6">
        <v>22</v>
      </c>
      <c r="U587" s="6">
        <v>22</v>
      </c>
      <c r="V587" s="6">
        <v>22</v>
      </c>
      <c r="W587" s="138">
        <v>261598.95699179548</v>
      </c>
      <c r="X587">
        <f ca="1">IF(V587=0,0,OFFSET(CreditMetrics!$B$474,MATCH(RAND(),OFFSET(CreditMetrics!$C$474,1,MATCH(BDClientes!V587,CreditMetrics!$B$475:$B$491,0),COUNT(CreditMetrics!$B$475:$B$491),1),1),0,1,1))</f>
        <v>22</v>
      </c>
      <c r="Z587" s="79"/>
    </row>
    <row r="588" spans="1:26" x14ac:dyDescent="0.25">
      <c r="A588" s="4">
        <v>587</v>
      </c>
      <c r="B588" s="5" t="s">
        <v>589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22</v>
      </c>
      <c r="M588" s="6">
        <v>22</v>
      </c>
      <c r="N588" s="6">
        <v>22</v>
      </c>
      <c r="O588" s="6">
        <v>22</v>
      </c>
      <c r="P588" s="6">
        <v>22</v>
      </c>
      <c r="Q588" s="6">
        <v>22</v>
      </c>
      <c r="R588" s="6">
        <v>22</v>
      </c>
      <c r="S588" s="6">
        <v>22</v>
      </c>
      <c r="T588" s="6">
        <v>22</v>
      </c>
      <c r="U588" s="6">
        <v>22</v>
      </c>
      <c r="V588" s="6">
        <v>22</v>
      </c>
      <c r="W588" s="138">
        <v>290454.46692025772</v>
      </c>
      <c r="X588">
        <f ca="1">IF(V588=0,0,OFFSET(CreditMetrics!$B$474,MATCH(RAND(),OFFSET(CreditMetrics!$C$474,1,MATCH(BDClientes!V588,CreditMetrics!$B$475:$B$491,0),COUNT(CreditMetrics!$B$475:$B$491),1),1),0,1,1))</f>
        <v>22</v>
      </c>
      <c r="Z588" s="79"/>
    </row>
    <row r="589" spans="1:26" x14ac:dyDescent="0.25">
      <c r="A589" s="4">
        <v>588</v>
      </c>
      <c r="B589" s="5" t="s">
        <v>590</v>
      </c>
      <c r="C589" s="6">
        <v>0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22</v>
      </c>
      <c r="M589" s="6">
        <v>22</v>
      </c>
      <c r="N589" s="6">
        <v>22</v>
      </c>
      <c r="O589" s="6">
        <v>22</v>
      </c>
      <c r="P589" s="6">
        <v>22</v>
      </c>
      <c r="Q589" s="6">
        <v>22</v>
      </c>
      <c r="R589" s="6">
        <v>22</v>
      </c>
      <c r="S589" s="6">
        <v>22</v>
      </c>
      <c r="T589" s="6">
        <v>22</v>
      </c>
      <c r="U589" s="6">
        <v>22</v>
      </c>
      <c r="V589" s="6">
        <v>22</v>
      </c>
      <c r="W589" s="138">
        <v>132525.61597073142</v>
      </c>
      <c r="X589">
        <f ca="1">IF(V589=0,0,OFFSET(CreditMetrics!$B$474,MATCH(RAND(),OFFSET(CreditMetrics!$C$474,1,MATCH(BDClientes!V589,CreditMetrics!$B$475:$B$491,0),COUNT(CreditMetrics!$B$475:$B$491),1),1),0,1,1))</f>
        <v>22</v>
      </c>
      <c r="Z589" s="79"/>
    </row>
    <row r="590" spans="1:26" x14ac:dyDescent="0.25">
      <c r="A590" s="4">
        <v>589</v>
      </c>
      <c r="B590" s="5" t="s">
        <v>591</v>
      </c>
      <c r="C590" s="6">
        <v>0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22</v>
      </c>
      <c r="M590" s="6">
        <v>22</v>
      </c>
      <c r="N590" s="6">
        <v>22</v>
      </c>
      <c r="O590" s="6">
        <v>22</v>
      </c>
      <c r="P590" s="6">
        <v>22</v>
      </c>
      <c r="Q590" s="6">
        <v>22</v>
      </c>
      <c r="R590" s="6">
        <v>22</v>
      </c>
      <c r="S590" s="6">
        <v>22</v>
      </c>
      <c r="T590" s="6">
        <v>22</v>
      </c>
      <c r="U590" s="6">
        <v>22</v>
      </c>
      <c r="V590" s="6">
        <v>22</v>
      </c>
      <c r="W590" s="138">
        <v>118117.8926708346</v>
      </c>
      <c r="X590">
        <f ca="1">IF(V590=0,0,OFFSET(CreditMetrics!$B$474,MATCH(RAND(),OFFSET(CreditMetrics!$C$474,1,MATCH(BDClientes!V590,CreditMetrics!$B$475:$B$491,0),COUNT(CreditMetrics!$B$475:$B$491),1),1),0,1,1))</f>
        <v>22</v>
      </c>
      <c r="Z590" s="79"/>
    </row>
    <row r="591" spans="1:26" x14ac:dyDescent="0.25">
      <c r="A591" s="4">
        <v>590</v>
      </c>
      <c r="B591" s="5" t="s">
        <v>592</v>
      </c>
      <c r="C591" s="6">
        <v>0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0</v>
      </c>
      <c r="K591" s="6">
        <v>0</v>
      </c>
      <c r="L591" s="6">
        <v>22</v>
      </c>
      <c r="M591" s="6">
        <v>22</v>
      </c>
      <c r="N591" s="6">
        <v>22</v>
      </c>
      <c r="O591" s="6">
        <v>22</v>
      </c>
      <c r="P591" s="6">
        <v>22</v>
      </c>
      <c r="Q591" s="6">
        <v>22</v>
      </c>
      <c r="R591" s="6">
        <v>22</v>
      </c>
      <c r="S591" s="6">
        <v>22</v>
      </c>
      <c r="T591" s="6">
        <v>22</v>
      </c>
      <c r="U591" s="6">
        <v>22</v>
      </c>
      <c r="V591" s="6">
        <v>22</v>
      </c>
      <c r="W591" s="138">
        <v>115758.41094023219</v>
      </c>
      <c r="X591">
        <f ca="1">IF(V591=0,0,OFFSET(CreditMetrics!$B$474,MATCH(RAND(),OFFSET(CreditMetrics!$C$474,1,MATCH(BDClientes!V591,CreditMetrics!$B$475:$B$491,0),COUNT(CreditMetrics!$B$475:$B$491),1),1),0,1,1))</f>
        <v>22</v>
      </c>
      <c r="Z591" s="79"/>
    </row>
    <row r="592" spans="1:26" x14ac:dyDescent="0.25">
      <c r="A592" s="4">
        <v>591</v>
      </c>
      <c r="B592" s="5" t="s">
        <v>593</v>
      </c>
      <c r="C592" s="6">
        <v>0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22</v>
      </c>
      <c r="M592" s="6">
        <v>22</v>
      </c>
      <c r="N592" s="6">
        <v>22</v>
      </c>
      <c r="O592" s="6">
        <v>22</v>
      </c>
      <c r="P592" s="6">
        <v>22</v>
      </c>
      <c r="Q592" s="6">
        <v>22</v>
      </c>
      <c r="R592" s="6">
        <v>22</v>
      </c>
      <c r="S592" s="6">
        <v>22</v>
      </c>
      <c r="T592" s="6">
        <v>22</v>
      </c>
      <c r="U592" s="6">
        <v>22</v>
      </c>
      <c r="V592" s="6">
        <v>22</v>
      </c>
      <c r="W592" s="138">
        <v>122352.54438783911</v>
      </c>
      <c r="X592">
        <f ca="1">IF(V592=0,0,OFFSET(CreditMetrics!$B$474,MATCH(RAND(),OFFSET(CreditMetrics!$C$474,1,MATCH(BDClientes!V592,CreditMetrics!$B$475:$B$491,0),COUNT(CreditMetrics!$B$475:$B$491),1),1),0,1,1))</f>
        <v>22</v>
      </c>
      <c r="Z592" s="79"/>
    </row>
    <row r="593" spans="1:26" x14ac:dyDescent="0.25">
      <c r="A593" s="4">
        <v>592</v>
      </c>
      <c r="B593" s="5" t="s">
        <v>594</v>
      </c>
      <c r="C593" s="6">
        <v>0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0</v>
      </c>
      <c r="K593" s="6">
        <v>0</v>
      </c>
      <c r="L593" s="6">
        <v>22</v>
      </c>
      <c r="M593" s="6">
        <v>22</v>
      </c>
      <c r="N593" s="6">
        <v>22</v>
      </c>
      <c r="O593" s="6">
        <v>22</v>
      </c>
      <c r="P593" s="6">
        <v>22</v>
      </c>
      <c r="Q593" s="6">
        <v>22</v>
      </c>
      <c r="R593" s="6">
        <v>22</v>
      </c>
      <c r="S593" s="6">
        <v>22</v>
      </c>
      <c r="T593" s="6">
        <v>22</v>
      </c>
      <c r="U593" s="6">
        <v>22</v>
      </c>
      <c r="V593" s="6">
        <v>22</v>
      </c>
      <c r="W593" s="138">
        <v>1185804.0351430462</v>
      </c>
      <c r="X593">
        <f ca="1">IF(V593=0,0,OFFSET(CreditMetrics!$B$474,MATCH(RAND(),OFFSET(CreditMetrics!$C$474,1,MATCH(BDClientes!V593,CreditMetrics!$B$475:$B$491,0),COUNT(CreditMetrics!$B$475:$B$491),1),1),0,1,1))</f>
        <v>22</v>
      </c>
      <c r="Z593" s="79"/>
    </row>
    <row r="594" spans="1:26" x14ac:dyDescent="0.25">
      <c r="A594" s="4">
        <v>593</v>
      </c>
      <c r="B594" s="5" t="s">
        <v>595</v>
      </c>
      <c r="C594" s="6">
        <v>0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22</v>
      </c>
      <c r="M594" s="6">
        <v>22</v>
      </c>
      <c r="N594" s="6">
        <v>22</v>
      </c>
      <c r="O594" s="6">
        <v>22</v>
      </c>
      <c r="P594" s="6">
        <v>22</v>
      </c>
      <c r="Q594" s="6">
        <v>22</v>
      </c>
      <c r="R594" s="6">
        <v>22</v>
      </c>
      <c r="S594" s="6">
        <v>22</v>
      </c>
      <c r="T594" s="6">
        <v>22</v>
      </c>
      <c r="U594" s="6">
        <v>22</v>
      </c>
      <c r="V594" s="6">
        <v>22</v>
      </c>
      <c r="W594" s="138">
        <v>922366.7083703134</v>
      </c>
      <c r="X594">
        <f ca="1">IF(V594=0,0,OFFSET(CreditMetrics!$B$474,MATCH(RAND(),OFFSET(CreditMetrics!$C$474,1,MATCH(BDClientes!V594,CreditMetrics!$B$475:$B$491,0),COUNT(CreditMetrics!$B$475:$B$491),1),1),0,1,1))</f>
        <v>22</v>
      </c>
      <c r="Z594" s="79"/>
    </row>
    <row r="595" spans="1:26" x14ac:dyDescent="0.25">
      <c r="A595" s="4">
        <v>594</v>
      </c>
      <c r="B595" s="5" t="s">
        <v>596</v>
      </c>
      <c r="C595" s="6">
        <v>0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0</v>
      </c>
      <c r="K595" s="6">
        <v>0</v>
      </c>
      <c r="L595" s="6">
        <v>22</v>
      </c>
      <c r="M595" s="6">
        <v>22</v>
      </c>
      <c r="N595" s="6">
        <v>22</v>
      </c>
      <c r="O595" s="6">
        <v>22</v>
      </c>
      <c r="P595" s="6">
        <v>22</v>
      </c>
      <c r="Q595" s="6">
        <v>22</v>
      </c>
      <c r="R595" s="6">
        <v>22</v>
      </c>
      <c r="S595" s="6">
        <v>22</v>
      </c>
      <c r="T595" s="6">
        <v>22</v>
      </c>
      <c r="U595" s="6">
        <v>22</v>
      </c>
      <c r="V595" s="6">
        <v>22</v>
      </c>
      <c r="W595" s="138">
        <v>114710.56899008284</v>
      </c>
      <c r="X595">
        <f ca="1">IF(V595=0,0,OFFSET(CreditMetrics!$B$474,MATCH(RAND(),OFFSET(CreditMetrics!$C$474,1,MATCH(BDClientes!V595,CreditMetrics!$B$475:$B$491,0),COUNT(CreditMetrics!$B$475:$B$491),1),1),0,1,1))</f>
        <v>22</v>
      </c>
      <c r="Z595" s="79"/>
    </row>
    <row r="596" spans="1:26" x14ac:dyDescent="0.25">
      <c r="A596" s="4">
        <v>595</v>
      </c>
      <c r="B596" s="5" t="s">
        <v>597</v>
      </c>
      <c r="C596" s="6">
        <v>0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22</v>
      </c>
      <c r="M596" s="6">
        <v>22</v>
      </c>
      <c r="N596" s="6">
        <v>22</v>
      </c>
      <c r="O596" s="6">
        <v>22</v>
      </c>
      <c r="P596" s="6">
        <v>22</v>
      </c>
      <c r="Q596" s="6">
        <v>22</v>
      </c>
      <c r="R596" s="6">
        <v>22</v>
      </c>
      <c r="S596" s="6">
        <v>22</v>
      </c>
      <c r="T596" s="6">
        <v>22</v>
      </c>
      <c r="U596" s="6">
        <v>22</v>
      </c>
      <c r="V596" s="6">
        <v>22</v>
      </c>
      <c r="W596" s="138">
        <v>242163.37701783181</v>
      </c>
      <c r="X596">
        <f ca="1">IF(V596=0,0,OFFSET(CreditMetrics!$B$474,MATCH(RAND(),OFFSET(CreditMetrics!$C$474,1,MATCH(BDClientes!V596,CreditMetrics!$B$475:$B$491,0),COUNT(CreditMetrics!$B$475:$B$491),1),1),0,1,1))</f>
        <v>22</v>
      </c>
      <c r="Z596" s="79"/>
    </row>
    <row r="597" spans="1:26" x14ac:dyDescent="0.25">
      <c r="A597" s="4">
        <v>596</v>
      </c>
      <c r="B597" s="5" t="s">
        <v>598</v>
      </c>
      <c r="C597" s="6">
        <v>0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0</v>
      </c>
      <c r="K597" s="6">
        <v>0</v>
      </c>
      <c r="L597" s="6">
        <v>22</v>
      </c>
      <c r="M597" s="6">
        <v>22</v>
      </c>
      <c r="N597" s="6">
        <v>22</v>
      </c>
      <c r="O597" s="6">
        <v>22</v>
      </c>
      <c r="P597" s="6">
        <v>22</v>
      </c>
      <c r="Q597" s="6">
        <v>22</v>
      </c>
      <c r="R597" s="6">
        <v>22</v>
      </c>
      <c r="S597" s="6">
        <v>22</v>
      </c>
      <c r="T597" s="6">
        <v>22</v>
      </c>
      <c r="U597" s="6">
        <v>22</v>
      </c>
      <c r="V597" s="6">
        <v>22</v>
      </c>
      <c r="W597" s="138">
        <v>450400.41387009469</v>
      </c>
      <c r="X597">
        <f ca="1">IF(V597=0,0,OFFSET(CreditMetrics!$B$474,MATCH(RAND(),OFFSET(CreditMetrics!$C$474,1,MATCH(BDClientes!V597,CreditMetrics!$B$475:$B$491,0),COUNT(CreditMetrics!$B$475:$B$491),1),1),0,1,1))</f>
        <v>22</v>
      </c>
      <c r="Z597" s="79"/>
    </row>
    <row r="598" spans="1:26" x14ac:dyDescent="0.25">
      <c r="A598" s="4">
        <v>597</v>
      </c>
      <c r="B598" s="5" t="s">
        <v>599</v>
      </c>
      <c r="C598" s="6">
        <v>0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22</v>
      </c>
      <c r="M598" s="6">
        <v>22</v>
      </c>
      <c r="N598" s="6">
        <v>22</v>
      </c>
      <c r="O598" s="6">
        <v>22</v>
      </c>
      <c r="P598" s="6">
        <v>22</v>
      </c>
      <c r="Q598" s="6">
        <v>22</v>
      </c>
      <c r="R598" s="6">
        <v>22</v>
      </c>
      <c r="S598" s="6">
        <v>22</v>
      </c>
      <c r="T598" s="6">
        <v>22</v>
      </c>
      <c r="U598" s="6">
        <v>22</v>
      </c>
      <c r="V598" s="6">
        <v>22</v>
      </c>
      <c r="W598" s="138">
        <v>685699.72795727814</v>
      </c>
      <c r="X598">
        <f ca="1">IF(V598=0,0,OFFSET(CreditMetrics!$B$474,MATCH(RAND(),OFFSET(CreditMetrics!$C$474,1,MATCH(BDClientes!V598,CreditMetrics!$B$475:$B$491,0),COUNT(CreditMetrics!$B$475:$B$491),1),1),0,1,1))</f>
        <v>22</v>
      </c>
      <c r="Z598" s="79"/>
    </row>
    <row r="599" spans="1:26" x14ac:dyDescent="0.25">
      <c r="A599" s="4">
        <v>598</v>
      </c>
      <c r="B599" s="5" t="s">
        <v>600</v>
      </c>
      <c r="C599" s="6">
        <v>0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0</v>
      </c>
      <c r="K599" s="6">
        <v>0</v>
      </c>
      <c r="L599" s="6">
        <v>22</v>
      </c>
      <c r="M599" s="6">
        <v>22</v>
      </c>
      <c r="N599" s="6">
        <v>22</v>
      </c>
      <c r="O599" s="6">
        <v>22</v>
      </c>
      <c r="P599" s="6">
        <v>22</v>
      </c>
      <c r="Q599" s="6">
        <v>22</v>
      </c>
      <c r="R599" s="6">
        <v>22</v>
      </c>
      <c r="S599" s="6">
        <v>22</v>
      </c>
      <c r="T599" s="6">
        <v>22</v>
      </c>
      <c r="U599" s="6">
        <v>22</v>
      </c>
      <c r="V599" s="6">
        <v>22</v>
      </c>
      <c r="W599" s="138">
        <v>170552.32742694576</v>
      </c>
      <c r="X599">
        <f ca="1">IF(V599=0,0,OFFSET(CreditMetrics!$B$474,MATCH(RAND(),OFFSET(CreditMetrics!$C$474,1,MATCH(BDClientes!V599,CreditMetrics!$B$475:$B$491,0),COUNT(CreditMetrics!$B$475:$B$491),1),1),0,1,1))</f>
        <v>22</v>
      </c>
      <c r="Z599" s="79"/>
    </row>
    <row r="600" spans="1:26" x14ac:dyDescent="0.25">
      <c r="A600" s="4">
        <v>599</v>
      </c>
      <c r="B600" s="5" t="s">
        <v>601</v>
      </c>
      <c r="C600" s="6">
        <v>85</v>
      </c>
      <c r="D600" s="6">
        <v>65</v>
      </c>
      <c r="E600" s="6">
        <v>75</v>
      </c>
      <c r="F600" s="6">
        <v>75</v>
      </c>
      <c r="G600" s="6">
        <v>60</v>
      </c>
      <c r="H600" s="6">
        <v>22</v>
      </c>
      <c r="I600" s="6">
        <v>22</v>
      </c>
      <c r="J600" s="6">
        <v>22</v>
      </c>
      <c r="K600" s="6">
        <v>22</v>
      </c>
      <c r="L600" s="6">
        <v>22</v>
      </c>
      <c r="M600" s="6">
        <v>22</v>
      </c>
      <c r="N600" s="6">
        <v>22</v>
      </c>
      <c r="O600" s="6">
        <v>22</v>
      </c>
      <c r="P600" s="6">
        <v>22</v>
      </c>
      <c r="Q600" s="6">
        <v>22</v>
      </c>
      <c r="R600" s="6">
        <v>22</v>
      </c>
      <c r="S600" s="6">
        <v>22</v>
      </c>
      <c r="T600" s="6">
        <v>22</v>
      </c>
      <c r="U600" s="6">
        <v>22</v>
      </c>
      <c r="V600" s="6">
        <v>22</v>
      </c>
      <c r="W600" s="138">
        <v>233232.01575714612</v>
      </c>
      <c r="X600">
        <f ca="1">IF(V600=0,0,OFFSET(CreditMetrics!$B$474,MATCH(RAND(),OFFSET(CreditMetrics!$C$474,1,MATCH(BDClientes!V600,CreditMetrics!$B$475:$B$491,0),COUNT(CreditMetrics!$B$475:$B$491),1),1),0,1,1))</f>
        <v>22</v>
      </c>
      <c r="Z600" s="79"/>
    </row>
    <row r="601" spans="1:26" x14ac:dyDescent="0.25">
      <c r="A601" s="4">
        <v>600</v>
      </c>
      <c r="B601" s="5" t="s">
        <v>602</v>
      </c>
      <c r="C601" s="6">
        <v>83</v>
      </c>
      <c r="D601" s="6">
        <v>83</v>
      </c>
      <c r="E601" s="6">
        <v>80</v>
      </c>
      <c r="F601" s="6">
        <v>75</v>
      </c>
      <c r="G601" s="6">
        <v>75</v>
      </c>
      <c r="H601" s="6">
        <v>70</v>
      </c>
      <c r="I601" s="6">
        <v>40</v>
      </c>
      <c r="J601" s="6">
        <v>22</v>
      </c>
      <c r="K601" s="6">
        <v>22</v>
      </c>
      <c r="L601" s="6">
        <v>22</v>
      </c>
      <c r="M601" s="6">
        <v>22</v>
      </c>
      <c r="N601" s="6">
        <v>22</v>
      </c>
      <c r="O601" s="6">
        <v>22</v>
      </c>
      <c r="P601" s="6">
        <v>22</v>
      </c>
      <c r="Q601" s="6">
        <v>22</v>
      </c>
      <c r="R601" s="6">
        <v>22</v>
      </c>
      <c r="S601" s="6">
        <v>22</v>
      </c>
      <c r="T601" s="6">
        <v>22</v>
      </c>
      <c r="U601" s="6">
        <v>22</v>
      </c>
      <c r="V601" s="6">
        <v>22</v>
      </c>
      <c r="W601" s="138">
        <v>234626.32288100748</v>
      </c>
      <c r="X601">
        <f ca="1">IF(V601=0,0,OFFSET(CreditMetrics!$B$474,MATCH(RAND(),OFFSET(CreditMetrics!$C$474,1,MATCH(BDClientes!V601,CreditMetrics!$B$475:$B$491,0),COUNT(CreditMetrics!$B$475:$B$491),1),1),0,1,1))</f>
        <v>22</v>
      </c>
      <c r="Z601" s="79"/>
    </row>
    <row r="602" spans="1:26" x14ac:dyDescent="0.25">
      <c r="A602" s="4">
        <v>601</v>
      </c>
      <c r="B602" s="5" t="s">
        <v>603</v>
      </c>
      <c r="C602" s="6">
        <v>0</v>
      </c>
      <c r="D602" s="6">
        <v>0</v>
      </c>
      <c r="E602" s="6">
        <v>75</v>
      </c>
      <c r="F602" s="6">
        <v>75</v>
      </c>
      <c r="G602" s="6">
        <v>75</v>
      </c>
      <c r="H602" s="6">
        <v>77</v>
      </c>
      <c r="I602" s="6">
        <v>75</v>
      </c>
      <c r="J602" s="6">
        <v>65</v>
      </c>
      <c r="K602" s="6">
        <v>22</v>
      </c>
      <c r="L602" s="6">
        <v>22</v>
      </c>
      <c r="M602" s="6">
        <v>22</v>
      </c>
      <c r="N602" s="6">
        <v>22</v>
      </c>
      <c r="O602" s="6">
        <v>22</v>
      </c>
      <c r="P602" s="6">
        <v>22</v>
      </c>
      <c r="Q602" s="6">
        <v>22</v>
      </c>
      <c r="R602" s="6">
        <v>22</v>
      </c>
      <c r="S602" s="6">
        <v>22</v>
      </c>
      <c r="T602" s="6">
        <v>22</v>
      </c>
      <c r="U602" s="6">
        <v>22</v>
      </c>
      <c r="V602" s="6">
        <v>22</v>
      </c>
      <c r="W602" s="138">
        <v>240162.93825544207</v>
      </c>
      <c r="X602">
        <f ca="1">IF(V602=0,0,OFFSET(CreditMetrics!$B$474,MATCH(RAND(),OFFSET(CreditMetrics!$C$474,1,MATCH(BDClientes!V602,CreditMetrics!$B$475:$B$491,0),COUNT(CreditMetrics!$B$475:$B$491),1),1),0,1,1))</f>
        <v>22</v>
      </c>
      <c r="Z602" s="79"/>
    </row>
    <row r="603" spans="1:26" x14ac:dyDescent="0.25">
      <c r="A603" s="4">
        <v>602</v>
      </c>
      <c r="B603" s="5" t="s">
        <v>604</v>
      </c>
      <c r="C603" s="6">
        <v>0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  <c r="K603" s="6">
        <v>0</v>
      </c>
      <c r="L603" s="6">
        <v>70</v>
      </c>
      <c r="M603" s="6">
        <v>70</v>
      </c>
      <c r="N603" s="6">
        <v>70</v>
      </c>
      <c r="O603" s="6">
        <v>65</v>
      </c>
      <c r="P603" s="6">
        <v>22</v>
      </c>
      <c r="Q603" s="6">
        <v>22</v>
      </c>
      <c r="R603" s="6">
        <v>22</v>
      </c>
      <c r="S603" s="6">
        <v>22</v>
      </c>
      <c r="T603" s="6">
        <v>22</v>
      </c>
      <c r="U603" s="6">
        <v>22</v>
      </c>
      <c r="V603" s="6">
        <v>22</v>
      </c>
      <c r="W603" s="138">
        <v>216471.46809397289</v>
      </c>
      <c r="X603">
        <f ca="1">IF(V603=0,0,OFFSET(CreditMetrics!$B$474,MATCH(RAND(),OFFSET(CreditMetrics!$C$474,1,MATCH(BDClientes!V603,CreditMetrics!$B$475:$B$491,0),COUNT(CreditMetrics!$B$475:$B$491),1),1),0,1,1))</f>
        <v>22</v>
      </c>
      <c r="Z603" s="79"/>
    </row>
    <row r="604" spans="1:26" x14ac:dyDescent="0.25">
      <c r="A604" s="4">
        <v>603</v>
      </c>
      <c r="B604" s="5" t="s">
        <v>605</v>
      </c>
      <c r="C604" s="6">
        <v>0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22</v>
      </c>
      <c r="M604" s="6">
        <v>22</v>
      </c>
      <c r="N604" s="6">
        <v>22</v>
      </c>
      <c r="O604" s="6">
        <v>22</v>
      </c>
      <c r="P604" s="6">
        <v>22</v>
      </c>
      <c r="Q604" s="6">
        <v>22</v>
      </c>
      <c r="R604" s="6">
        <v>22</v>
      </c>
      <c r="S604" s="6">
        <v>22</v>
      </c>
      <c r="T604" s="6">
        <v>22</v>
      </c>
      <c r="U604" s="6">
        <v>22</v>
      </c>
      <c r="V604" s="6">
        <v>22</v>
      </c>
      <c r="W604" s="138">
        <v>108445.59939775168</v>
      </c>
      <c r="X604">
        <f ca="1">IF(V604=0,0,OFFSET(CreditMetrics!$B$474,MATCH(RAND(),OFFSET(CreditMetrics!$C$474,1,MATCH(BDClientes!V604,CreditMetrics!$B$475:$B$491,0),COUNT(CreditMetrics!$B$475:$B$491),1),1),0,1,1))</f>
        <v>22</v>
      </c>
      <c r="Z604" s="79"/>
    </row>
    <row r="605" spans="1:26" x14ac:dyDescent="0.25">
      <c r="A605" s="4">
        <v>604</v>
      </c>
      <c r="B605" s="5" t="s">
        <v>606</v>
      </c>
      <c r="C605" s="6">
        <v>22</v>
      </c>
      <c r="D605" s="6">
        <v>22</v>
      </c>
      <c r="E605" s="6">
        <v>22</v>
      </c>
      <c r="F605" s="6">
        <v>22</v>
      </c>
      <c r="G605" s="6">
        <v>22</v>
      </c>
      <c r="H605" s="6">
        <v>22</v>
      </c>
      <c r="I605" s="6">
        <v>22</v>
      </c>
      <c r="J605" s="6">
        <v>22</v>
      </c>
      <c r="K605" s="6">
        <v>22</v>
      </c>
      <c r="L605" s="6">
        <v>22</v>
      </c>
      <c r="M605" s="6">
        <v>22</v>
      </c>
      <c r="N605" s="6">
        <v>22</v>
      </c>
      <c r="O605" s="6">
        <v>22</v>
      </c>
      <c r="P605" s="6">
        <v>22</v>
      </c>
      <c r="Q605" s="6">
        <v>22</v>
      </c>
      <c r="R605" s="6">
        <v>22</v>
      </c>
      <c r="S605" s="6">
        <v>22</v>
      </c>
      <c r="T605" s="6">
        <v>22</v>
      </c>
      <c r="U605" s="6">
        <v>22</v>
      </c>
      <c r="V605" s="6">
        <v>22</v>
      </c>
      <c r="W605" s="138">
        <v>176096.27422433105</v>
      </c>
      <c r="X605">
        <f ca="1">IF(V605=0,0,OFFSET(CreditMetrics!$B$474,MATCH(RAND(),OFFSET(CreditMetrics!$C$474,1,MATCH(BDClientes!V605,CreditMetrics!$B$475:$B$491,0),COUNT(CreditMetrics!$B$475:$B$491),1),1),0,1,1))</f>
        <v>22</v>
      </c>
      <c r="Z605" s="79"/>
    </row>
    <row r="606" spans="1:26" x14ac:dyDescent="0.25">
      <c r="A606" s="4">
        <v>605</v>
      </c>
      <c r="B606" s="5" t="s">
        <v>607</v>
      </c>
      <c r="C606" s="6">
        <v>0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22</v>
      </c>
      <c r="M606" s="6">
        <v>22</v>
      </c>
      <c r="N606" s="6">
        <v>22</v>
      </c>
      <c r="O606" s="6">
        <v>22</v>
      </c>
      <c r="P606" s="6">
        <v>22</v>
      </c>
      <c r="Q606" s="6">
        <v>22</v>
      </c>
      <c r="R606" s="6">
        <v>22</v>
      </c>
      <c r="S606" s="6">
        <v>22</v>
      </c>
      <c r="T606" s="6">
        <v>22</v>
      </c>
      <c r="U606" s="6">
        <v>22</v>
      </c>
      <c r="V606" s="6">
        <v>22</v>
      </c>
      <c r="W606" s="138">
        <v>114329.83293917154</v>
      </c>
      <c r="X606">
        <f ca="1">IF(V606=0,0,OFFSET(CreditMetrics!$B$474,MATCH(RAND(),OFFSET(CreditMetrics!$C$474,1,MATCH(BDClientes!V606,CreditMetrics!$B$475:$B$491,0),COUNT(CreditMetrics!$B$475:$B$491),1),1),0,1,1))</f>
        <v>22</v>
      </c>
      <c r="Z606" s="79"/>
    </row>
    <row r="607" spans="1:26" x14ac:dyDescent="0.25">
      <c r="A607" s="4">
        <v>606</v>
      </c>
      <c r="B607" s="5" t="s">
        <v>608</v>
      </c>
      <c r="C607" s="6">
        <v>0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0</v>
      </c>
      <c r="J607" s="6">
        <v>0</v>
      </c>
      <c r="K607" s="6">
        <v>0</v>
      </c>
      <c r="L607" s="6">
        <v>22</v>
      </c>
      <c r="M607" s="6">
        <v>22</v>
      </c>
      <c r="N607" s="6">
        <v>22</v>
      </c>
      <c r="O607" s="6">
        <v>22</v>
      </c>
      <c r="P607" s="6">
        <v>22</v>
      </c>
      <c r="Q607" s="6">
        <v>22</v>
      </c>
      <c r="R607" s="6">
        <v>22</v>
      </c>
      <c r="S607" s="6">
        <v>22</v>
      </c>
      <c r="T607" s="6">
        <v>22</v>
      </c>
      <c r="U607" s="6">
        <v>22</v>
      </c>
      <c r="V607" s="6">
        <v>22</v>
      </c>
      <c r="W607" s="138">
        <v>383657.04990057688</v>
      </c>
      <c r="X607">
        <f ca="1">IF(V607=0,0,OFFSET(CreditMetrics!$B$474,MATCH(RAND(),OFFSET(CreditMetrics!$C$474,1,MATCH(BDClientes!V607,CreditMetrics!$B$475:$B$491,0),COUNT(CreditMetrics!$B$475:$B$491),1),1),0,1,1))</f>
        <v>22</v>
      </c>
      <c r="Z607" s="79"/>
    </row>
    <row r="608" spans="1:26" x14ac:dyDescent="0.25">
      <c r="A608" s="4">
        <v>607</v>
      </c>
      <c r="B608" s="5" t="s">
        <v>609</v>
      </c>
      <c r="C608" s="6">
        <v>0</v>
      </c>
      <c r="D608" s="6">
        <v>0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22</v>
      </c>
      <c r="M608" s="6">
        <v>22</v>
      </c>
      <c r="N608" s="6">
        <v>22</v>
      </c>
      <c r="O608" s="6">
        <v>22</v>
      </c>
      <c r="P608" s="6">
        <v>22</v>
      </c>
      <c r="Q608" s="6">
        <v>22</v>
      </c>
      <c r="R608" s="6">
        <v>22</v>
      </c>
      <c r="S608" s="6">
        <v>22</v>
      </c>
      <c r="T608" s="6">
        <v>22</v>
      </c>
      <c r="U608" s="6">
        <v>22</v>
      </c>
      <c r="V608" s="6">
        <v>22</v>
      </c>
      <c r="W608" s="138">
        <v>131390.46245890608</v>
      </c>
      <c r="X608">
        <f ca="1">IF(V608=0,0,OFFSET(CreditMetrics!$B$474,MATCH(RAND(),OFFSET(CreditMetrics!$C$474,1,MATCH(BDClientes!V608,CreditMetrics!$B$475:$B$491,0),COUNT(CreditMetrics!$B$475:$B$491),1),1),0,1,1))</f>
        <v>22</v>
      </c>
      <c r="Z608" s="79"/>
    </row>
    <row r="609" spans="1:26" x14ac:dyDescent="0.25">
      <c r="A609" s="4">
        <v>608</v>
      </c>
      <c r="B609" s="5" t="s">
        <v>610</v>
      </c>
      <c r="C609" s="6">
        <v>73</v>
      </c>
      <c r="D609" s="6">
        <v>77</v>
      </c>
      <c r="E609" s="6">
        <v>73</v>
      </c>
      <c r="F609" s="6">
        <v>73</v>
      </c>
      <c r="G609" s="6">
        <v>22</v>
      </c>
      <c r="H609" s="6">
        <v>22</v>
      </c>
      <c r="I609" s="6">
        <v>22</v>
      </c>
      <c r="J609" s="6">
        <v>22</v>
      </c>
      <c r="K609" s="6">
        <v>22</v>
      </c>
      <c r="L609" s="6">
        <v>22</v>
      </c>
      <c r="M609" s="6">
        <v>22</v>
      </c>
      <c r="N609" s="6">
        <v>22</v>
      </c>
      <c r="O609" s="6">
        <v>22</v>
      </c>
      <c r="P609" s="6">
        <v>22</v>
      </c>
      <c r="Q609" s="6">
        <v>22</v>
      </c>
      <c r="R609" s="6">
        <v>22</v>
      </c>
      <c r="S609" s="6">
        <v>22</v>
      </c>
      <c r="T609" s="6">
        <v>22</v>
      </c>
      <c r="U609" s="6">
        <v>22</v>
      </c>
      <c r="V609" s="6">
        <v>22</v>
      </c>
      <c r="W609" s="138">
        <v>252638.96627120714</v>
      </c>
      <c r="X609">
        <f ca="1">IF(V609=0,0,OFFSET(CreditMetrics!$B$474,MATCH(RAND(),OFFSET(CreditMetrics!$C$474,1,MATCH(BDClientes!V609,CreditMetrics!$B$475:$B$491,0),COUNT(CreditMetrics!$B$475:$B$491),1),1),0,1,1))</f>
        <v>22</v>
      </c>
      <c r="Z609" s="79"/>
    </row>
    <row r="610" spans="1:26" x14ac:dyDescent="0.25">
      <c r="A610" s="4">
        <v>609</v>
      </c>
      <c r="B610" s="5" t="s">
        <v>611</v>
      </c>
      <c r="C610" s="6">
        <v>0</v>
      </c>
      <c r="D610" s="6">
        <v>0</v>
      </c>
      <c r="E610" s="6">
        <v>0</v>
      </c>
      <c r="F610" s="6">
        <v>0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22</v>
      </c>
      <c r="M610" s="6">
        <v>22</v>
      </c>
      <c r="N610" s="6">
        <v>22</v>
      </c>
      <c r="O610" s="6">
        <v>22</v>
      </c>
      <c r="P610" s="6">
        <v>22</v>
      </c>
      <c r="Q610" s="6">
        <v>22</v>
      </c>
      <c r="R610" s="6">
        <v>22</v>
      </c>
      <c r="S610" s="6">
        <v>22</v>
      </c>
      <c r="T610" s="6">
        <v>22</v>
      </c>
      <c r="U610" s="6">
        <v>22</v>
      </c>
      <c r="V610" s="6">
        <v>22</v>
      </c>
      <c r="W610" s="138">
        <v>289689.78514675848</v>
      </c>
      <c r="X610">
        <f ca="1">IF(V610=0,0,OFFSET(CreditMetrics!$B$474,MATCH(RAND(),OFFSET(CreditMetrics!$C$474,1,MATCH(BDClientes!V610,CreditMetrics!$B$475:$B$491,0),COUNT(CreditMetrics!$B$475:$B$491),1),1),0,1,1))</f>
        <v>22</v>
      </c>
      <c r="Z610" s="79"/>
    </row>
    <row r="611" spans="1:26" x14ac:dyDescent="0.25">
      <c r="A611" s="4">
        <v>610</v>
      </c>
      <c r="B611" s="5" t="s">
        <v>612</v>
      </c>
      <c r="C611" s="6">
        <v>0</v>
      </c>
      <c r="D611" s="6">
        <v>80</v>
      </c>
      <c r="E611" s="6">
        <v>0</v>
      </c>
      <c r="F611" s="6">
        <v>83</v>
      </c>
      <c r="G611" s="6">
        <v>83</v>
      </c>
      <c r="H611" s="6">
        <v>83</v>
      </c>
      <c r="I611" s="6">
        <v>80</v>
      </c>
      <c r="J611" s="6">
        <v>73</v>
      </c>
      <c r="K611" s="6">
        <v>65</v>
      </c>
      <c r="L611" s="6">
        <v>65</v>
      </c>
      <c r="M611" s="6">
        <v>60</v>
      </c>
      <c r="N611" s="6">
        <v>22</v>
      </c>
      <c r="O611" s="6">
        <v>22</v>
      </c>
      <c r="P611" s="6">
        <v>22</v>
      </c>
      <c r="Q611" s="6">
        <v>22</v>
      </c>
      <c r="R611" s="6">
        <v>22</v>
      </c>
      <c r="S611" s="6">
        <v>22</v>
      </c>
      <c r="T611" s="6">
        <v>22</v>
      </c>
      <c r="U611" s="6">
        <v>22</v>
      </c>
      <c r="V611" s="6">
        <v>22</v>
      </c>
      <c r="W611" s="138">
        <v>174295.2542977267</v>
      </c>
      <c r="X611">
        <f ca="1">IF(V611=0,0,OFFSET(CreditMetrics!$B$474,MATCH(RAND(),OFFSET(CreditMetrics!$C$474,1,MATCH(BDClientes!V611,CreditMetrics!$B$475:$B$491,0),COUNT(CreditMetrics!$B$475:$B$491),1),1),0,1,1))</f>
        <v>22</v>
      </c>
      <c r="Z611" s="79"/>
    </row>
    <row r="612" spans="1:26" x14ac:dyDescent="0.25">
      <c r="A612" s="4">
        <v>611</v>
      </c>
      <c r="B612" s="5" t="s">
        <v>613</v>
      </c>
      <c r="C612" s="6">
        <v>87</v>
      </c>
      <c r="D612" s="6">
        <v>83</v>
      </c>
      <c r="E612" s="6">
        <v>83</v>
      </c>
      <c r="F612" s="6">
        <v>83</v>
      </c>
      <c r="G612" s="6">
        <v>87</v>
      </c>
      <c r="H612" s="6">
        <v>87</v>
      </c>
      <c r="I612" s="6">
        <v>87</v>
      </c>
      <c r="J612" s="6">
        <v>87</v>
      </c>
      <c r="K612" s="6">
        <v>85</v>
      </c>
      <c r="L612" s="6">
        <v>85</v>
      </c>
      <c r="M612" s="6">
        <v>85</v>
      </c>
      <c r="N612" s="6">
        <v>85</v>
      </c>
      <c r="O612" s="6">
        <v>83</v>
      </c>
      <c r="P612" s="6">
        <v>85</v>
      </c>
      <c r="Q612" s="6">
        <v>85</v>
      </c>
      <c r="R612" s="6">
        <v>87</v>
      </c>
      <c r="S612" s="6">
        <v>85</v>
      </c>
      <c r="T612" s="6">
        <v>85</v>
      </c>
      <c r="U612" s="6">
        <v>87</v>
      </c>
      <c r="V612" s="6">
        <v>87</v>
      </c>
      <c r="W612" s="138">
        <v>159127.80039039155</v>
      </c>
      <c r="X612">
        <f ca="1">IF(V612=0,0,OFFSET(CreditMetrics!$B$474,MATCH(RAND(),OFFSET(CreditMetrics!$C$474,1,MATCH(BDClientes!V612,CreditMetrics!$B$475:$B$491,0),COUNT(CreditMetrics!$B$475:$B$491),1),1),0,1,1))</f>
        <v>87</v>
      </c>
      <c r="Z612" s="79"/>
    </row>
    <row r="613" spans="1:26" x14ac:dyDescent="0.25">
      <c r="A613" s="4">
        <v>612</v>
      </c>
      <c r="B613" s="5" t="s">
        <v>614</v>
      </c>
      <c r="C613" s="6">
        <v>87</v>
      </c>
      <c r="D613" s="6">
        <v>83</v>
      </c>
      <c r="E613" s="6">
        <v>77</v>
      </c>
      <c r="F613" s="6">
        <v>77</v>
      </c>
      <c r="G613" s="6">
        <v>77</v>
      </c>
      <c r="H613" s="6">
        <v>85</v>
      </c>
      <c r="I613" s="6">
        <v>83</v>
      </c>
      <c r="J613" s="6">
        <v>83</v>
      </c>
      <c r="K613" s="6">
        <v>0</v>
      </c>
      <c r="L613" s="6">
        <v>0</v>
      </c>
      <c r="M613" s="6">
        <v>0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X613">
        <f ca="1">IF(V613=0,0,OFFSET(CreditMetrics!$B$474,MATCH(RAND(),OFFSET(CreditMetrics!$C$474,1,MATCH(BDClientes!V613,CreditMetrics!$B$475:$B$491,0),COUNT(CreditMetrics!$B$475:$B$491),1),1),0,1,1))</f>
        <v>0</v>
      </c>
      <c r="Z613" s="79"/>
    </row>
    <row r="614" spans="1:26" x14ac:dyDescent="0.25">
      <c r="A614" s="4">
        <v>613</v>
      </c>
      <c r="B614" s="5" t="s">
        <v>615</v>
      </c>
      <c r="C614" s="6">
        <v>75</v>
      </c>
      <c r="D614" s="6">
        <v>80</v>
      </c>
      <c r="E614" s="6">
        <v>80</v>
      </c>
      <c r="F614" s="6">
        <v>83</v>
      </c>
      <c r="G614" s="6">
        <v>80</v>
      </c>
      <c r="H614" s="6">
        <v>85</v>
      </c>
      <c r="I614" s="6">
        <v>80</v>
      </c>
      <c r="J614" s="6">
        <v>80</v>
      </c>
      <c r="K614" s="6">
        <v>83</v>
      </c>
      <c r="L614" s="6">
        <v>83</v>
      </c>
      <c r="M614" s="6">
        <v>77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X614">
        <f ca="1">IF(V614=0,0,OFFSET(CreditMetrics!$B$474,MATCH(RAND(),OFFSET(CreditMetrics!$C$474,1,MATCH(BDClientes!V614,CreditMetrics!$B$475:$B$491,0),COUNT(CreditMetrics!$B$475:$B$491),1),1),0,1,1))</f>
        <v>0</v>
      </c>
      <c r="Z614" s="79"/>
    </row>
    <row r="615" spans="1:26" x14ac:dyDescent="0.25">
      <c r="A615" s="4">
        <v>614</v>
      </c>
      <c r="B615" s="5" t="s">
        <v>616</v>
      </c>
      <c r="C615" s="6">
        <v>73</v>
      </c>
      <c r="D615" s="6">
        <v>0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X615">
        <f ca="1">IF(V615=0,0,OFFSET(CreditMetrics!$B$474,MATCH(RAND(),OFFSET(CreditMetrics!$C$474,1,MATCH(BDClientes!V615,CreditMetrics!$B$475:$B$491,0),COUNT(CreditMetrics!$B$475:$B$491),1),1),0,1,1))</f>
        <v>0</v>
      </c>
      <c r="Z615" s="79"/>
    </row>
    <row r="616" spans="1:26" x14ac:dyDescent="0.25">
      <c r="A616" s="4">
        <v>615</v>
      </c>
      <c r="B616" s="5" t="s">
        <v>617</v>
      </c>
      <c r="C616" s="6">
        <v>85</v>
      </c>
      <c r="D616" s="6">
        <v>85</v>
      </c>
      <c r="E616" s="6">
        <v>85</v>
      </c>
      <c r="F616" s="6">
        <v>85</v>
      </c>
      <c r="G616" s="6">
        <v>80</v>
      </c>
      <c r="H616" s="6">
        <v>80</v>
      </c>
      <c r="I616" s="6">
        <v>80</v>
      </c>
      <c r="J616" s="6">
        <v>80</v>
      </c>
      <c r="K616" s="6">
        <v>80</v>
      </c>
      <c r="L616" s="6">
        <v>83</v>
      </c>
      <c r="M616" s="6">
        <v>83</v>
      </c>
      <c r="N616" s="6">
        <v>83</v>
      </c>
      <c r="O616" s="6">
        <v>80</v>
      </c>
      <c r="P616" s="6">
        <v>83</v>
      </c>
      <c r="Q616" s="6">
        <v>83</v>
      </c>
      <c r="R616" s="6">
        <v>85</v>
      </c>
      <c r="S616" s="6">
        <v>83</v>
      </c>
      <c r="T616" s="6">
        <v>80</v>
      </c>
      <c r="U616" s="6">
        <v>80</v>
      </c>
      <c r="V616" s="6">
        <v>80</v>
      </c>
      <c r="W616" s="138">
        <v>286579.46783145098</v>
      </c>
      <c r="X616">
        <f ca="1">IF(V616=0,0,OFFSET(CreditMetrics!$B$474,MATCH(RAND(),OFFSET(CreditMetrics!$C$474,1,MATCH(BDClientes!V616,CreditMetrics!$B$475:$B$491,0),COUNT(CreditMetrics!$B$475:$B$491),1),1),0,1,1))</f>
        <v>77</v>
      </c>
      <c r="Z616" s="79"/>
    </row>
    <row r="617" spans="1:26" x14ac:dyDescent="0.25">
      <c r="A617" s="4">
        <v>616</v>
      </c>
      <c r="B617" s="5" t="s">
        <v>618</v>
      </c>
      <c r="C617" s="6">
        <v>77</v>
      </c>
      <c r="D617" s="6">
        <v>73</v>
      </c>
      <c r="E617" s="6">
        <v>73</v>
      </c>
      <c r="F617" s="6">
        <v>73</v>
      </c>
      <c r="G617" s="6">
        <v>73</v>
      </c>
      <c r="H617" s="6">
        <v>73</v>
      </c>
      <c r="I617" s="6">
        <v>73</v>
      </c>
      <c r="J617" s="6">
        <v>65</v>
      </c>
      <c r="K617" s="6">
        <v>70</v>
      </c>
      <c r="L617" s="6">
        <v>65</v>
      </c>
      <c r="M617" s="6">
        <v>65</v>
      </c>
      <c r="N617" s="6">
        <v>65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X617">
        <f ca="1">IF(V617=0,0,OFFSET(CreditMetrics!$B$474,MATCH(RAND(),OFFSET(CreditMetrics!$C$474,1,MATCH(BDClientes!V617,CreditMetrics!$B$475:$B$491,0),COUNT(CreditMetrics!$B$475:$B$491),1),1),0,1,1))</f>
        <v>0</v>
      </c>
      <c r="Z617" s="79"/>
    </row>
    <row r="618" spans="1:26" x14ac:dyDescent="0.25">
      <c r="A618" s="4">
        <v>617</v>
      </c>
      <c r="B618" s="5" t="s">
        <v>619</v>
      </c>
      <c r="C618" s="6">
        <v>80</v>
      </c>
      <c r="D618" s="6">
        <v>80</v>
      </c>
      <c r="E618" s="6">
        <v>70</v>
      </c>
      <c r="F618" s="6">
        <v>0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X618">
        <f ca="1">IF(V618=0,0,OFFSET(CreditMetrics!$B$474,MATCH(RAND(),OFFSET(CreditMetrics!$C$474,1,MATCH(BDClientes!V618,CreditMetrics!$B$475:$B$491,0),COUNT(CreditMetrics!$B$475:$B$491),1),1),0,1,1))</f>
        <v>0</v>
      </c>
      <c r="Z618" s="79"/>
    </row>
    <row r="619" spans="1:26" x14ac:dyDescent="0.25">
      <c r="A619" s="4">
        <v>618</v>
      </c>
      <c r="B619" s="5" t="s">
        <v>620</v>
      </c>
      <c r="C619" s="6">
        <v>85</v>
      </c>
      <c r="D619" s="6">
        <v>85</v>
      </c>
      <c r="E619" s="6">
        <v>85</v>
      </c>
      <c r="F619" s="6">
        <v>85</v>
      </c>
      <c r="G619" s="6">
        <v>85</v>
      </c>
      <c r="H619" s="6">
        <v>85</v>
      </c>
      <c r="I619" s="6">
        <v>83</v>
      </c>
      <c r="J619" s="6">
        <v>80</v>
      </c>
      <c r="K619" s="6">
        <v>80</v>
      </c>
      <c r="L619" s="6">
        <v>83</v>
      </c>
      <c r="M619" s="6">
        <v>80</v>
      </c>
      <c r="N619" s="6">
        <v>80</v>
      </c>
      <c r="O619" s="6">
        <v>83</v>
      </c>
      <c r="P619" s="6">
        <v>83</v>
      </c>
      <c r="Q619" s="6">
        <v>83</v>
      </c>
      <c r="R619" s="6">
        <v>85</v>
      </c>
      <c r="S619" s="6">
        <v>85</v>
      </c>
      <c r="T619" s="6">
        <v>85</v>
      </c>
      <c r="U619" s="6">
        <v>0</v>
      </c>
      <c r="V619" s="6">
        <v>0</v>
      </c>
      <c r="X619">
        <f ca="1">IF(V619=0,0,OFFSET(CreditMetrics!$B$474,MATCH(RAND(),OFFSET(CreditMetrics!$C$474,1,MATCH(BDClientes!V619,CreditMetrics!$B$475:$B$491,0),COUNT(CreditMetrics!$B$475:$B$491),1),1),0,1,1))</f>
        <v>0</v>
      </c>
      <c r="Z619" s="79"/>
    </row>
    <row r="620" spans="1:26" x14ac:dyDescent="0.25">
      <c r="A620" s="4">
        <v>619</v>
      </c>
      <c r="B620" s="5" t="s">
        <v>621</v>
      </c>
      <c r="C620" s="6">
        <v>73</v>
      </c>
      <c r="D620" s="6">
        <v>77</v>
      </c>
      <c r="E620" s="6">
        <v>75</v>
      </c>
      <c r="F620" s="6">
        <v>75</v>
      </c>
      <c r="G620" s="6">
        <v>75</v>
      </c>
      <c r="H620" s="6">
        <v>77</v>
      </c>
      <c r="I620" s="6">
        <v>77</v>
      </c>
      <c r="J620" s="6">
        <v>75</v>
      </c>
      <c r="K620" s="6">
        <v>80</v>
      </c>
      <c r="L620" s="6">
        <v>80</v>
      </c>
      <c r="M620" s="6">
        <v>80</v>
      </c>
      <c r="N620" s="6">
        <v>80</v>
      </c>
      <c r="O620" s="6">
        <v>80</v>
      </c>
      <c r="P620" s="6">
        <v>80</v>
      </c>
      <c r="Q620" s="6">
        <v>80</v>
      </c>
      <c r="R620" s="6">
        <v>83</v>
      </c>
      <c r="S620" s="6">
        <v>80</v>
      </c>
      <c r="T620" s="6">
        <v>80</v>
      </c>
      <c r="U620" s="6">
        <v>0</v>
      </c>
      <c r="V620" s="6">
        <v>0</v>
      </c>
      <c r="X620">
        <f ca="1">IF(V620=0,0,OFFSET(CreditMetrics!$B$474,MATCH(RAND(),OFFSET(CreditMetrics!$C$474,1,MATCH(BDClientes!V620,CreditMetrics!$B$475:$B$491,0),COUNT(CreditMetrics!$B$475:$B$491),1),1),0,1,1))</f>
        <v>0</v>
      </c>
      <c r="Z620" s="79"/>
    </row>
    <row r="621" spans="1:26" x14ac:dyDescent="0.25">
      <c r="A621" s="4">
        <v>620</v>
      </c>
      <c r="B621" s="5" t="s">
        <v>622</v>
      </c>
      <c r="C621" s="6">
        <v>65</v>
      </c>
      <c r="D621" s="6">
        <v>75</v>
      </c>
      <c r="E621" s="6">
        <v>77</v>
      </c>
      <c r="F621" s="6">
        <v>77</v>
      </c>
      <c r="G621" s="6">
        <v>77</v>
      </c>
      <c r="H621" s="6">
        <v>80</v>
      </c>
      <c r="I621" s="6">
        <v>77</v>
      </c>
      <c r="J621" s="6">
        <v>0</v>
      </c>
      <c r="K621" s="6">
        <v>0</v>
      </c>
      <c r="L621" s="6">
        <v>0</v>
      </c>
      <c r="M621" s="6">
        <v>0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X621">
        <f ca="1">IF(V621=0,0,OFFSET(CreditMetrics!$B$474,MATCH(RAND(),OFFSET(CreditMetrics!$C$474,1,MATCH(BDClientes!V621,CreditMetrics!$B$475:$B$491,0),COUNT(CreditMetrics!$B$475:$B$491),1),1),0,1,1))</f>
        <v>0</v>
      </c>
      <c r="Z621" s="79"/>
    </row>
    <row r="622" spans="1:26" x14ac:dyDescent="0.25">
      <c r="A622" s="4">
        <v>621</v>
      </c>
      <c r="B622" s="5" t="s">
        <v>623</v>
      </c>
      <c r="C622" s="6">
        <v>77</v>
      </c>
      <c r="D622" s="6">
        <v>83</v>
      </c>
      <c r="E622" s="6">
        <v>77</v>
      </c>
      <c r="F622" s="6">
        <v>77</v>
      </c>
      <c r="G622" s="6">
        <v>80</v>
      </c>
      <c r="H622" s="6">
        <v>80</v>
      </c>
      <c r="I622" s="6">
        <v>80</v>
      </c>
      <c r="J622" s="6">
        <v>80</v>
      </c>
      <c r="K622" s="6">
        <v>77</v>
      </c>
      <c r="L622" s="6">
        <v>73</v>
      </c>
      <c r="M622" s="6">
        <v>75</v>
      </c>
      <c r="N622" s="6">
        <v>75</v>
      </c>
      <c r="O622" s="6">
        <v>75</v>
      </c>
      <c r="P622" s="6">
        <v>77</v>
      </c>
      <c r="Q622" s="6">
        <v>77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X622">
        <f ca="1">IF(V622=0,0,OFFSET(CreditMetrics!$B$474,MATCH(RAND(),OFFSET(CreditMetrics!$C$474,1,MATCH(BDClientes!V622,CreditMetrics!$B$475:$B$491,0),COUNT(CreditMetrics!$B$475:$B$491),1),1),0,1,1))</f>
        <v>0</v>
      </c>
      <c r="Z622" s="79"/>
    </row>
    <row r="623" spans="1:26" x14ac:dyDescent="0.25">
      <c r="A623" s="4">
        <v>622</v>
      </c>
      <c r="B623" s="5" t="s">
        <v>624</v>
      </c>
      <c r="C623" s="6">
        <v>83</v>
      </c>
      <c r="D623" s="6">
        <v>85</v>
      </c>
      <c r="E623" s="6">
        <v>83</v>
      </c>
      <c r="F623" s="6">
        <v>83</v>
      </c>
      <c r="G623" s="6">
        <v>83</v>
      </c>
      <c r="H623" s="6">
        <v>85</v>
      </c>
      <c r="I623" s="6">
        <v>85</v>
      </c>
      <c r="J623" s="6">
        <v>80</v>
      </c>
      <c r="K623" s="6">
        <v>80</v>
      </c>
      <c r="L623" s="6">
        <v>83</v>
      </c>
      <c r="M623" s="6">
        <v>80</v>
      </c>
      <c r="N623" s="6">
        <v>80</v>
      </c>
      <c r="O623" s="6">
        <v>83</v>
      </c>
      <c r="P623" s="6">
        <v>80</v>
      </c>
      <c r="Q623" s="6">
        <v>75</v>
      </c>
      <c r="R623" s="6">
        <v>73</v>
      </c>
      <c r="S623" s="6">
        <v>73</v>
      </c>
      <c r="T623" s="6">
        <v>73</v>
      </c>
      <c r="U623" s="6">
        <v>77</v>
      </c>
      <c r="V623" s="6">
        <v>77</v>
      </c>
      <c r="W623" s="138">
        <v>403260.17119869398</v>
      </c>
      <c r="X623">
        <f ca="1">IF(V623=0,0,OFFSET(CreditMetrics!$B$474,MATCH(RAND(),OFFSET(CreditMetrics!$C$474,1,MATCH(BDClientes!V623,CreditMetrics!$B$475:$B$491,0),COUNT(CreditMetrics!$B$475:$B$491),1),1),0,1,1))</f>
        <v>77</v>
      </c>
      <c r="Z623" s="79"/>
    </row>
    <row r="624" spans="1:26" x14ac:dyDescent="0.25">
      <c r="A624" s="4">
        <v>623</v>
      </c>
      <c r="B624" s="5" t="s">
        <v>625</v>
      </c>
      <c r="C624" s="6">
        <v>83</v>
      </c>
      <c r="D624" s="6">
        <v>85</v>
      </c>
      <c r="E624" s="6">
        <v>80</v>
      </c>
      <c r="F624" s="6">
        <v>80</v>
      </c>
      <c r="G624" s="6">
        <v>80</v>
      </c>
      <c r="H624" s="6">
        <v>80</v>
      </c>
      <c r="I624" s="6">
        <v>80</v>
      </c>
      <c r="J624" s="6">
        <v>83</v>
      </c>
      <c r="K624" s="6">
        <v>77</v>
      </c>
      <c r="L624" s="6">
        <v>77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X624">
        <f ca="1">IF(V624=0,0,OFFSET(CreditMetrics!$B$474,MATCH(RAND(),OFFSET(CreditMetrics!$C$474,1,MATCH(BDClientes!V624,CreditMetrics!$B$475:$B$491,0),COUNT(CreditMetrics!$B$475:$B$491),1),1),0,1,1))</f>
        <v>0</v>
      </c>
      <c r="Z624" s="79"/>
    </row>
    <row r="625" spans="1:26" x14ac:dyDescent="0.25">
      <c r="A625" s="4">
        <v>624</v>
      </c>
      <c r="B625" s="5" t="s">
        <v>626</v>
      </c>
      <c r="C625" s="6">
        <v>83</v>
      </c>
      <c r="D625" s="6">
        <v>83</v>
      </c>
      <c r="E625" s="6">
        <v>77</v>
      </c>
      <c r="F625" s="6">
        <v>77</v>
      </c>
      <c r="G625" s="6">
        <v>77</v>
      </c>
      <c r="H625" s="6">
        <v>83</v>
      </c>
      <c r="I625" s="6">
        <v>83</v>
      </c>
      <c r="J625" s="6">
        <v>85</v>
      </c>
      <c r="K625" s="6">
        <v>85</v>
      </c>
      <c r="L625" s="6">
        <v>83</v>
      </c>
      <c r="M625" s="6">
        <v>80</v>
      </c>
      <c r="N625" s="6">
        <v>80</v>
      </c>
      <c r="O625" s="6">
        <v>77</v>
      </c>
      <c r="P625" s="6">
        <v>80</v>
      </c>
      <c r="Q625" s="6">
        <v>77</v>
      </c>
      <c r="R625" s="6">
        <v>77</v>
      </c>
      <c r="S625" s="6">
        <v>77</v>
      </c>
      <c r="T625" s="6">
        <v>77</v>
      </c>
      <c r="U625" s="6">
        <v>77</v>
      </c>
      <c r="V625" s="6">
        <v>77</v>
      </c>
      <c r="W625" s="138">
        <v>145626.77284014574</v>
      </c>
      <c r="X625">
        <f ca="1">IF(V625=0,0,OFFSET(CreditMetrics!$B$474,MATCH(RAND(),OFFSET(CreditMetrics!$C$474,1,MATCH(BDClientes!V625,CreditMetrics!$B$475:$B$491,0),COUNT(CreditMetrics!$B$475:$B$491),1),1),0,1,1))</f>
        <v>65</v>
      </c>
      <c r="Z625" s="79"/>
    </row>
    <row r="626" spans="1:26" x14ac:dyDescent="0.25">
      <c r="A626" s="4">
        <v>625</v>
      </c>
      <c r="B626" s="5" t="s">
        <v>627</v>
      </c>
      <c r="C626" s="6">
        <v>85</v>
      </c>
      <c r="D626" s="6">
        <v>85</v>
      </c>
      <c r="E626" s="6">
        <v>83</v>
      </c>
      <c r="F626" s="6">
        <v>83</v>
      </c>
      <c r="G626" s="6">
        <v>83</v>
      </c>
      <c r="H626" s="6">
        <v>83</v>
      </c>
      <c r="I626" s="6">
        <v>80</v>
      </c>
      <c r="J626" s="6">
        <v>73</v>
      </c>
      <c r="K626" s="6">
        <v>75</v>
      </c>
      <c r="L626" s="6">
        <v>75</v>
      </c>
      <c r="M626" s="6">
        <v>77</v>
      </c>
      <c r="N626" s="6">
        <v>73</v>
      </c>
      <c r="O626" s="6">
        <v>75</v>
      </c>
      <c r="P626" s="6">
        <v>75</v>
      </c>
      <c r="Q626" s="6">
        <v>80</v>
      </c>
      <c r="R626" s="6">
        <v>80</v>
      </c>
      <c r="S626" s="6">
        <v>80</v>
      </c>
      <c r="T626" s="6">
        <v>80</v>
      </c>
      <c r="U626" s="6">
        <v>0</v>
      </c>
      <c r="V626" s="6">
        <v>0</v>
      </c>
      <c r="X626">
        <f ca="1">IF(V626=0,0,OFFSET(CreditMetrics!$B$474,MATCH(RAND(),OFFSET(CreditMetrics!$C$474,1,MATCH(BDClientes!V626,CreditMetrics!$B$475:$B$491,0),COUNT(CreditMetrics!$B$475:$B$491),1),1),0,1,1))</f>
        <v>0</v>
      </c>
      <c r="Z626" s="79"/>
    </row>
    <row r="627" spans="1:26" x14ac:dyDescent="0.25">
      <c r="A627" s="4">
        <v>626</v>
      </c>
      <c r="B627" s="5" t="s">
        <v>628</v>
      </c>
      <c r="C627" s="6">
        <v>80</v>
      </c>
      <c r="D627" s="6">
        <v>80</v>
      </c>
      <c r="E627" s="6">
        <v>80</v>
      </c>
      <c r="F627" s="6">
        <v>80</v>
      </c>
      <c r="G627" s="6">
        <v>77</v>
      </c>
      <c r="H627" s="6">
        <v>77</v>
      </c>
      <c r="I627" s="6">
        <v>80</v>
      </c>
      <c r="J627" s="6">
        <v>83</v>
      </c>
      <c r="K627" s="6">
        <v>80</v>
      </c>
      <c r="L627" s="6">
        <v>80</v>
      </c>
      <c r="M627" s="6">
        <v>77</v>
      </c>
      <c r="N627" s="6">
        <v>77</v>
      </c>
      <c r="O627" s="6">
        <v>77</v>
      </c>
      <c r="P627" s="6">
        <v>77</v>
      </c>
      <c r="Q627" s="6">
        <v>77</v>
      </c>
      <c r="R627" s="6">
        <v>77</v>
      </c>
      <c r="S627" s="6">
        <v>87</v>
      </c>
      <c r="T627" s="6">
        <v>85</v>
      </c>
      <c r="U627" s="6">
        <v>85</v>
      </c>
      <c r="V627" s="6">
        <v>85</v>
      </c>
      <c r="W627" s="138">
        <v>468283.58065206342</v>
      </c>
      <c r="X627">
        <f ca="1">IF(V627=0,0,OFFSET(CreditMetrics!$B$474,MATCH(RAND(),OFFSET(CreditMetrics!$C$474,1,MATCH(BDClientes!V627,CreditMetrics!$B$475:$B$491,0),COUNT(CreditMetrics!$B$475:$B$491),1),1),0,1,1))</f>
        <v>83</v>
      </c>
      <c r="Z627" s="79"/>
    </row>
    <row r="628" spans="1:26" x14ac:dyDescent="0.25">
      <c r="A628" s="4">
        <v>627</v>
      </c>
      <c r="B628" s="5" t="s">
        <v>629</v>
      </c>
      <c r="C628" s="6">
        <v>0</v>
      </c>
      <c r="D628" s="6">
        <v>0</v>
      </c>
      <c r="E628" s="6">
        <v>77</v>
      </c>
      <c r="F628" s="6">
        <v>77</v>
      </c>
      <c r="G628" s="6">
        <v>85</v>
      </c>
      <c r="H628" s="6">
        <v>77</v>
      </c>
      <c r="I628" s="6">
        <v>75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X628">
        <f ca="1">IF(V628=0,0,OFFSET(CreditMetrics!$B$474,MATCH(RAND(),OFFSET(CreditMetrics!$C$474,1,MATCH(BDClientes!V628,CreditMetrics!$B$475:$B$491,0),COUNT(CreditMetrics!$B$475:$B$491),1),1),0,1,1))</f>
        <v>0</v>
      </c>
      <c r="Z628" s="79"/>
    </row>
    <row r="629" spans="1:26" x14ac:dyDescent="0.25">
      <c r="A629" s="4">
        <v>628</v>
      </c>
      <c r="B629" s="5" t="s">
        <v>630</v>
      </c>
      <c r="C629" s="6">
        <v>85</v>
      </c>
      <c r="D629" s="6">
        <v>85</v>
      </c>
      <c r="E629" s="6">
        <v>83</v>
      </c>
      <c r="F629" s="6">
        <v>0</v>
      </c>
      <c r="G629" s="6">
        <v>0</v>
      </c>
      <c r="H629" s="6">
        <v>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X629">
        <f ca="1">IF(V629=0,0,OFFSET(CreditMetrics!$B$474,MATCH(RAND(),OFFSET(CreditMetrics!$C$474,1,MATCH(BDClientes!V629,CreditMetrics!$B$475:$B$491,0),COUNT(CreditMetrics!$B$475:$B$491),1),1),0,1,1))</f>
        <v>0</v>
      </c>
      <c r="Z629" s="79"/>
    </row>
    <row r="630" spans="1:26" x14ac:dyDescent="0.25">
      <c r="A630" s="4">
        <v>629</v>
      </c>
      <c r="B630" s="5" t="s">
        <v>631</v>
      </c>
      <c r="C630" s="6">
        <v>0</v>
      </c>
      <c r="D630" s="6">
        <v>85</v>
      </c>
      <c r="E630" s="6">
        <v>83</v>
      </c>
      <c r="F630" s="6">
        <v>83</v>
      </c>
      <c r="G630" s="6">
        <v>80</v>
      </c>
      <c r="H630" s="6">
        <v>83</v>
      </c>
      <c r="I630" s="6">
        <v>83</v>
      </c>
      <c r="J630" s="6">
        <v>83</v>
      </c>
      <c r="K630" s="6">
        <v>83</v>
      </c>
      <c r="L630" s="6">
        <v>85</v>
      </c>
      <c r="M630" s="6">
        <v>83</v>
      </c>
      <c r="N630" s="6">
        <v>83</v>
      </c>
      <c r="O630" s="6">
        <v>83</v>
      </c>
      <c r="P630" s="6">
        <v>83</v>
      </c>
      <c r="Q630" s="6">
        <v>83</v>
      </c>
      <c r="R630" s="6">
        <v>85</v>
      </c>
      <c r="S630" s="6">
        <v>83</v>
      </c>
      <c r="T630" s="6">
        <v>83</v>
      </c>
      <c r="U630" s="6">
        <v>83</v>
      </c>
      <c r="V630" s="6">
        <v>83</v>
      </c>
      <c r="W630" s="138">
        <v>117091.74353107503</v>
      </c>
      <c r="X630">
        <f ca="1">IF(V630=0,0,OFFSET(CreditMetrics!$B$474,MATCH(RAND(),OFFSET(CreditMetrics!$C$474,1,MATCH(BDClientes!V630,CreditMetrics!$B$475:$B$491,0),COUNT(CreditMetrics!$B$475:$B$491),1),1),0,1,1))</f>
        <v>83</v>
      </c>
      <c r="Z630" s="79"/>
    </row>
    <row r="631" spans="1:26" x14ac:dyDescent="0.25">
      <c r="A631" s="4">
        <v>630</v>
      </c>
      <c r="B631" s="5" t="s">
        <v>632</v>
      </c>
      <c r="C631" s="6">
        <v>0</v>
      </c>
      <c r="D631" s="6">
        <v>83</v>
      </c>
      <c r="E631" s="6">
        <v>83</v>
      </c>
      <c r="F631" s="6">
        <v>83</v>
      </c>
      <c r="G631" s="6">
        <v>83</v>
      </c>
      <c r="H631" s="6">
        <v>83</v>
      </c>
      <c r="I631" s="6">
        <v>83</v>
      </c>
      <c r="J631" s="6">
        <v>83</v>
      </c>
      <c r="K631" s="6">
        <v>85</v>
      </c>
      <c r="L631" s="6">
        <v>83</v>
      </c>
      <c r="M631" s="6">
        <v>83</v>
      </c>
      <c r="N631" s="6">
        <v>83</v>
      </c>
      <c r="O631" s="6">
        <v>80</v>
      </c>
      <c r="P631" s="6">
        <v>75</v>
      </c>
      <c r="Q631" s="6">
        <v>75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X631">
        <f ca="1">IF(V631=0,0,OFFSET(CreditMetrics!$B$474,MATCH(RAND(),OFFSET(CreditMetrics!$C$474,1,MATCH(BDClientes!V631,CreditMetrics!$B$475:$B$491,0),COUNT(CreditMetrics!$B$475:$B$491),1),1),0,1,1))</f>
        <v>0</v>
      </c>
      <c r="Z631" s="79"/>
    </row>
    <row r="632" spans="1:26" x14ac:dyDescent="0.25">
      <c r="A632" s="4">
        <v>631</v>
      </c>
      <c r="B632" s="5" t="s">
        <v>633</v>
      </c>
      <c r="C632" s="6">
        <v>0</v>
      </c>
      <c r="D632" s="6">
        <v>83</v>
      </c>
      <c r="E632" s="6">
        <v>77</v>
      </c>
      <c r="F632" s="6">
        <v>77</v>
      </c>
      <c r="G632" s="6">
        <v>77</v>
      </c>
      <c r="H632" s="6">
        <v>83</v>
      </c>
      <c r="I632" s="6">
        <v>83</v>
      </c>
      <c r="J632" s="6">
        <v>80</v>
      </c>
      <c r="K632" s="6">
        <v>80</v>
      </c>
      <c r="L632" s="6">
        <v>80</v>
      </c>
      <c r="M632" s="6">
        <v>77</v>
      </c>
      <c r="N632" s="6">
        <v>77</v>
      </c>
      <c r="O632" s="6">
        <v>80</v>
      </c>
      <c r="P632" s="6">
        <v>77</v>
      </c>
      <c r="Q632" s="6">
        <v>77</v>
      </c>
      <c r="R632" s="6">
        <v>80</v>
      </c>
      <c r="S632" s="6">
        <v>80</v>
      </c>
      <c r="T632" s="6">
        <v>80</v>
      </c>
      <c r="U632" s="6">
        <v>80</v>
      </c>
      <c r="V632" s="6">
        <v>80</v>
      </c>
      <c r="W632" s="138">
        <v>929356.57205066737</v>
      </c>
      <c r="X632">
        <f ca="1">IF(V632=0,0,OFFSET(CreditMetrics!$B$474,MATCH(RAND(),OFFSET(CreditMetrics!$C$474,1,MATCH(BDClientes!V632,CreditMetrics!$B$475:$B$491,0),COUNT(CreditMetrics!$B$475:$B$491),1),1),0,1,1))</f>
        <v>85</v>
      </c>
      <c r="Z632" s="79"/>
    </row>
    <row r="633" spans="1:26" x14ac:dyDescent="0.25">
      <c r="A633" s="4">
        <v>632</v>
      </c>
      <c r="B633" s="5" t="s">
        <v>634</v>
      </c>
      <c r="C633" s="6">
        <v>0</v>
      </c>
      <c r="D633" s="6">
        <v>80</v>
      </c>
      <c r="E633" s="6">
        <v>83</v>
      </c>
      <c r="F633" s="6">
        <v>83</v>
      </c>
      <c r="G633" s="6">
        <v>77</v>
      </c>
      <c r="H633" s="6">
        <v>77</v>
      </c>
      <c r="I633" s="6">
        <v>85</v>
      </c>
      <c r="J633" s="6">
        <v>83</v>
      </c>
      <c r="K633" s="6">
        <v>77</v>
      </c>
      <c r="L633" s="6">
        <v>80</v>
      </c>
      <c r="M633" s="6">
        <v>75</v>
      </c>
      <c r="N633" s="6">
        <v>75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X633">
        <f ca="1">IF(V633=0,0,OFFSET(CreditMetrics!$B$474,MATCH(RAND(),OFFSET(CreditMetrics!$C$474,1,MATCH(BDClientes!V633,CreditMetrics!$B$475:$B$491,0),COUNT(CreditMetrics!$B$475:$B$491),1),1),0,1,1))</f>
        <v>0</v>
      </c>
      <c r="Z633" s="79"/>
    </row>
    <row r="634" spans="1:26" x14ac:dyDescent="0.25">
      <c r="A634" s="4">
        <v>633</v>
      </c>
      <c r="B634" s="5" t="s">
        <v>635</v>
      </c>
      <c r="C634" s="6">
        <v>0</v>
      </c>
      <c r="D634" s="6">
        <v>0</v>
      </c>
      <c r="E634" s="6">
        <v>70</v>
      </c>
      <c r="F634" s="6">
        <v>70</v>
      </c>
      <c r="G634" s="6">
        <v>73</v>
      </c>
      <c r="H634" s="6">
        <v>73</v>
      </c>
      <c r="I634" s="6">
        <v>73</v>
      </c>
      <c r="J634" s="6">
        <v>70</v>
      </c>
      <c r="K634" s="6">
        <v>70</v>
      </c>
      <c r="L634" s="6">
        <v>70</v>
      </c>
      <c r="M634" s="6">
        <v>70</v>
      </c>
      <c r="N634" s="6">
        <v>70</v>
      </c>
      <c r="O634" s="6">
        <v>70</v>
      </c>
      <c r="P634" s="6">
        <v>70</v>
      </c>
      <c r="Q634" s="6">
        <v>75</v>
      </c>
      <c r="R634" s="6">
        <v>73</v>
      </c>
      <c r="S634" s="6">
        <v>73</v>
      </c>
      <c r="T634" s="6">
        <v>73</v>
      </c>
      <c r="U634" s="6">
        <v>75</v>
      </c>
      <c r="V634" s="6">
        <v>75</v>
      </c>
      <c r="W634" s="138">
        <v>381754.99787608662</v>
      </c>
      <c r="X634">
        <f ca="1">IF(V634=0,0,OFFSET(CreditMetrics!$B$474,MATCH(RAND(),OFFSET(CreditMetrics!$C$474,1,MATCH(BDClientes!V634,CreditMetrics!$B$475:$B$491,0),COUNT(CreditMetrics!$B$475:$B$491),1),1),0,1,1))</f>
        <v>75</v>
      </c>
      <c r="Z634" s="79"/>
    </row>
    <row r="635" spans="1:26" x14ac:dyDescent="0.25">
      <c r="A635" s="4">
        <v>634</v>
      </c>
      <c r="B635" s="5" t="s">
        <v>636</v>
      </c>
      <c r="C635" s="6">
        <v>0</v>
      </c>
      <c r="D635" s="6">
        <v>0</v>
      </c>
      <c r="E635" s="6">
        <v>83</v>
      </c>
      <c r="F635" s="6">
        <v>83</v>
      </c>
      <c r="G635" s="6">
        <v>83</v>
      </c>
      <c r="H635" s="6">
        <v>83</v>
      </c>
      <c r="I635" s="6">
        <v>87</v>
      </c>
      <c r="J635" s="6">
        <v>87</v>
      </c>
      <c r="K635" s="6">
        <v>80</v>
      </c>
      <c r="L635" s="6">
        <v>80</v>
      </c>
      <c r="M635" s="6">
        <v>77</v>
      </c>
      <c r="N635" s="6">
        <v>83</v>
      </c>
      <c r="O635" s="6">
        <v>83</v>
      </c>
      <c r="P635" s="6">
        <v>83</v>
      </c>
      <c r="Q635" s="6">
        <v>85</v>
      </c>
      <c r="R635" s="6">
        <v>87</v>
      </c>
      <c r="S635" s="6">
        <v>85</v>
      </c>
      <c r="T635" s="6">
        <v>85</v>
      </c>
      <c r="U635" s="6">
        <v>0</v>
      </c>
      <c r="V635" s="6">
        <v>0</v>
      </c>
      <c r="X635">
        <f ca="1">IF(V635=0,0,OFFSET(CreditMetrics!$B$474,MATCH(RAND(),OFFSET(CreditMetrics!$C$474,1,MATCH(BDClientes!V635,CreditMetrics!$B$475:$B$491,0),COUNT(CreditMetrics!$B$475:$B$491),1),1),0,1,1))</f>
        <v>0</v>
      </c>
      <c r="Z635" s="79"/>
    </row>
    <row r="636" spans="1:26" x14ac:dyDescent="0.25">
      <c r="A636" s="4">
        <v>635</v>
      </c>
      <c r="B636" s="5" t="s">
        <v>637</v>
      </c>
      <c r="C636" s="6">
        <v>0</v>
      </c>
      <c r="D636" s="6">
        <v>0</v>
      </c>
      <c r="E636" s="6">
        <v>77</v>
      </c>
      <c r="F636" s="6">
        <v>75</v>
      </c>
      <c r="G636" s="6">
        <v>73</v>
      </c>
      <c r="H636" s="6">
        <v>75</v>
      </c>
      <c r="I636" s="6">
        <v>75</v>
      </c>
      <c r="J636" s="6">
        <v>70</v>
      </c>
      <c r="K636" s="6">
        <v>83</v>
      </c>
      <c r="L636" s="6">
        <v>80</v>
      </c>
      <c r="M636" s="6">
        <v>70</v>
      </c>
      <c r="N636" s="6">
        <v>73</v>
      </c>
      <c r="O636" s="6">
        <v>73</v>
      </c>
      <c r="P636" s="6">
        <v>83</v>
      </c>
      <c r="Q636" s="6">
        <v>73</v>
      </c>
      <c r="R636" s="6">
        <v>73</v>
      </c>
      <c r="S636" s="6">
        <v>73</v>
      </c>
      <c r="T636" s="6">
        <v>73</v>
      </c>
      <c r="U636" s="6">
        <v>77</v>
      </c>
      <c r="V636" s="6">
        <v>77</v>
      </c>
      <c r="W636" s="138">
        <v>110251.2071520367</v>
      </c>
      <c r="X636">
        <f ca="1">IF(V636=0,0,OFFSET(CreditMetrics!$B$474,MATCH(RAND(),OFFSET(CreditMetrics!$C$474,1,MATCH(BDClientes!V636,CreditMetrics!$B$475:$B$491,0),COUNT(CreditMetrics!$B$475:$B$491),1),1),0,1,1))</f>
        <v>75</v>
      </c>
      <c r="Z636" s="79"/>
    </row>
    <row r="637" spans="1:26" x14ac:dyDescent="0.25">
      <c r="A637" s="4">
        <v>636</v>
      </c>
      <c r="B637" s="5" t="s">
        <v>638</v>
      </c>
      <c r="C637" s="6">
        <v>0</v>
      </c>
      <c r="D637" s="6">
        <v>0</v>
      </c>
      <c r="E637" s="6">
        <v>77</v>
      </c>
      <c r="F637" s="6">
        <v>77</v>
      </c>
      <c r="G637" s="6">
        <v>77</v>
      </c>
      <c r="H637" s="6">
        <v>80</v>
      </c>
      <c r="I637" s="6">
        <v>77</v>
      </c>
      <c r="J637" s="6">
        <v>73</v>
      </c>
      <c r="K637" s="6">
        <v>75</v>
      </c>
      <c r="L637" s="6">
        <v>73</v>
      </c>
      <c r="M637" s="6">
        <v>73</v>
      </c>
      <c r="N637" s="6">
        <v>70</v>
      </c>
      <c r="O637" s="6">
        <v>70</v>
      </c>
      <c r="P637" s="6">
        <v>73</v>
      </c>
      <c r="Q637" s="6">
        <v>70</v>
      </c>
      <c r="R637" s="6">
        <v>73</v>
      </c>
      <c r="S637" s="6">
        <v>73</v>
      </c>
      <c r="T637" s="6">
        <v>70</v>
      </c>
      <c r="U637" s="6">
        <v>70</v>
      </c>
      <c r="V637" s="6">
        <v>70</v>
      </c>
      <c r="W637" s="138">
        <v>1889835.0357725772</v>
      </c>
      <c r="X637">
        <f ca="1">IF(V637=0,0,OFFSET(CreditMetrics!$B$474,MATCH(RAND(),OFFSET(CreditMetrics!$C$474,1,MATCH(BDClientes!V637,CreditMetrics!$B$475:$B$491,0),COUNT(CreditMetrics!$B$475:$B$491),1),1),0,1,1))</f>
        <v>70</v>
      </c>
      <c r="Z637" s="79"/>
    </row>
    <row r="638" spans="1:26" x14ac:dyDescent="0.25">
      <c r="A638" s="4">
        <v>637</v>
      </c>
      <c r="B638" s="5" t="s">
        <v>639</v>
      </c>
      <c r="C638" s="6">
        <v>0</v>
      </c>
      <c r="D638" s="6">
        <v>0</v>
      </c>
      <c r="E638" s="6">
        <v>0</v>
      </c>
      <c r="F638" s="6">
        <v>73</v>
      </c>
      <c r="G638" s="6">
        <v>75</v>
      </c>
      <c r="H638" s="6">
        <v>75</v>
      </c>
      <c r="I638" s="6">
        <v>75</v>
      </c>
      <c r="J638" s="6">
        <v>73</v>
      </c>
      <c r="K638" s="6">
        <v>80</v>
      </c>
      <c r="L638" s="6">
        <v>77</v>
      </c>
      <c r="M638" s="6">
        <v>83</v>
      </c>
      <c r="N638" s="6">
        <v>83</v>
      </c>
      <c r="O638" s="6">
        <v>80</v>
      </c>
      <c r="P638" s="6">
        <v>80</v>
      </c>
      <c r="Q638" s="6">
        <v>80</v>
      </c>
      <c r="R638" s="6">
        <v>80</v>
      </c>
      <c r="S638" s="6">
        <v>80</v>
      </c>
      <c r="T638" s="6">
        <v>80</v>
      </c>
      <c r="U638" s="6">
        <v>83</v>
      </c>
      <c r="V638" s="6">
        <v>83</v>
      </c>
      <c r="W638" s="138">
        <v>161598.74948180173</v>
      </c>
      <c r="X638">
        <f ca="1">IF(V638=0,0,OFFSET(CreditMetrics!$B$474,MATCH(RAND(),OFFSET(CreditMetrics!$C$474,1,MATCH(BDClientes!V638,CreditMetrics!$B$475:$B$491,0),COUNT(CreditMetrics!$B$475:$B$491),1),1),0,1,1))</f>
        <v>80</v>
      </c>
      <c r="Z638" s="79"/>
    </row>
    <row r="639" spans="1:26" x14ac:dyDescent="0.25">
      <c r="A639" s="4">
        <v>638</v>
      </c>
      <c r="B639" s="5" t="s">
        <v>640</v>
      </c>
      <c r="C639" s="6">
        <v>0</v>
      </c>
      <c r="D639" s="6">
        <v>0</v>
      </c>
      <c r="E639" s="6">
        <v>0</v>
      </c>
      <c r="F639" s="6">
        <v>83</v>
      </c>
      <c r="G639" s="6">
        <v>75</v>
      </c>
      <c r="H639" s="6">
        <v>73</v>
      </c>
      <c r="I639" s="6">
        <v>65</v>
      </c>
      <c r="J639" s="6">
        <v>75</v>
      </c>
      <c r="K639" s="6">
        <v>22</v>
      </c>
      <c r="L639" s="6">
        <v>22</v>
      </c>
      <c r="M639" s="6">
        <v>22</v>
      </c>
      <c r="N639" s="6">
        <v>22</v>
      </c>
      <c r="O639" s="6">
        <v>22</v>
      </c>
      <c r="P639" s="6">
        <v>22</v>
      </c>
      <c r="Q639" s="6">
        <v>22</v>
      </c>
      <c r="R639" s="6">
        <v>22</v>
      </c>
      <c r="S639" s="6">
        <v>22</v>
      </c>
      <c r="T639" s="6">
        <v>22</v>
      </c>
      <c r="U639" s="6">
        <v>22</v>
      </c>
      <c r="V639" s="6">
        <v>22</v>
      </c>
      <c r="W639" s="138">
        <v>269752.07081258146</v>
      </c>
      <c r="X639">
        <f ca="1">IF(V639=0,0,OFFSET(CreditMetrics!$B$474,MATCH(RAND(),OFFSET(CreditMetrics!$C$474,1,MATCH(BDClientes!V639,CreditMetrics!$B$475:$B$491,0),COUNT(CreditMetrics!$B$475:$B$491),1),1),0,1,1))</f>
        <v>22</v>
      </c>
      <c r="Z639" s="79"/>
    </row>
    <row r="640" spans="1:26" x14ac:dyDescent="0.25">
      <c r="A640" s="4">
        <v>639</v>
      </c>
      <c r="B640" s="5" t="s">
        <v>641</v>
      </c>
      <c r="C640" s="6">
        <v>0</v>
      </c>
      <c r="D640" s="6">
        <v>0</v>
      </c>
      <c r="E640" s="6">
        <v>0</v>
      </c>
      <c r="F640" s="6">
        <v>65</v>
      </c>
      <c r="G640" s="6">
        <v>70</v>
      </c>
      <c r="H640" s="6">
        <v>73</v>
      </c>
      <c r="I640" s="6">
        <v>73</v>
      </c>
      <c r="J640" s="6">
        <v>73</v>
      </c>
      <c r="K640" s="6">
        <v>73</v>
      </c>
      <c r="L640" s="6">
        <v>73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X640">
        <f ca="1">IF(V640=0,0,OFFSET(CreditMetrics!$B$474,MATCH(RAND(),OFFSET(CreditMetrics!$C$474,1,MATCH(BDClientes!V640,CreditMetrics!$B$475:$B$491,0),COUNT(CreditMetrics!$B$475:$B$491),1),1),0,1,1))</f>
        <v>0</v>
      </c>
      <c r="Z640" s="79"/>
    </row>
    <row r="641" spans="1:26" x14ac:dyDescent="0.25">
      <c r="A641" s="4">
        <v>640</v>
      </c>
      <c r="B641" s="5" t="s">
        <v>642</v>
      </c>
      <c r="C641" s="6">
        <v>0</v>
      </c>
      <c r="D641" s="6">
        <v>0</v>
      </c>
      <c r="E641" s="6">
        <v>0</v>
      </c>
      <c r="F641" s="6">
        <v>83</v>
      </c>
      <c r="G641" s="6">
        <v>85</v>
      </c>
      <c r="H641" s="6">
        <v>85</v>
      </c>
      <c r="I641" s="6">
        <v>83</v>
      </c>
      <c r="J641" s="6">
        <v>83</v>
      </c>
      <c r="K641" s="6">
        <v>83</v>
      </c>
      <c r="L641" s="6">
        <v>85</v>
      </c>
      <c r="M641" s="6">
        <v>83</v>
      </c>
      <c r="N641" s="6">
        <v>80</v>
      </c>
      <c r="O641" s="6">
        <v>80</v>
      </c>
      <c r="P641" s="6">
        <v>83</v>
      </c>
      <c r="Q641" s="6">
        <v>77</v>
      </c>
      <c r="R641" s="6">
        <v>73</v>
      </c>
      <c r="S641" s="6">
        <v>70</v>
      </c>
      <c r="T641" s="6">
        <v>70</v>
      </c>
      <c r="U641" s="6">
        <v>70</v>
      </c>
      <c r="V641" s="6">
        <v>73</v>
      </c>
      <c r="W641" s="138">
        <v>744379.93456048216</v>
      </c>
      <c r="X641">
        <f ca="1">IF(V641=0,0,OFFSET(CreditMetrics!$B$474,MATCH(RAND(),OFFSET(CreditMetrics!$C$474,1,MATCH(BDClientes!V641,CreditMetrics!$B$475:$B$491,0),COUNT(CreditMetrics!$B$475:$B$491),1),1),0,1,1))</f>
        <v>73</v>
      </c>
      <c r="Z641" s="79"/>
    </row>
    <row r="642" spans="1:26" x14ac:dyDescent="0.25">
      <c r="A642" s="4">
        <v>641</v>
      </c>
      <c r="B642" s="5" t="s">
        <v>643</v>
      </c>
      <c r="C642" s="6">
        <v>0</v>
      </c>
      <c r="D642" s="6">
        <v>0</v>
      </c>
      <c r="E642" s="6">
        <v>0</v>
      </c>
      <c r="F642" s="6">
        <v>77</v>
      </c>
      <c r="G642" s="6">
        <v>80</v>
      </c>
      <c r="H642" s="6">
        <v>80</v>
      </c>
      <c r="I642" s="6">
        <v>83</v>
      </c>
      <c r="J642" s="6">
        <v>80</v>
      </c>
      <c r="K642" s="6">
        <v>80</v>
      </c>
      <c r="L642" s="6">
        <v>80</v>
      </c>
      <c r="M642" s="6">
        <v>80</v>
      </c>
      <c r="N642" s="6">
        <v>80</v>
      </c>
      <c r="O642" s="6">
        <v>83</v>
      </c>
      <c r="P642" s="6">
        <v>83</v>
      </c>
      <c r="Q642" s="6">
        <v>83</v>
      </c>
      <c r="R642" s="6">
        <v>83</v>
      </c>
      <c r="S642" s="6">
        <v>83</v>
      </c>
      <c r="T642" s="6">
        <v>83</v>
      </c>
      <c r="U642" s="6">
        <v>83</v>
      </c>
      <c r="V642" s="6">
        <v>83</v>
      </c>
      <c r="W642" s="138">
        <v>2756675.9555255156</v>
      </c>
      <c r="X642">
        <f ca="1">IF(V642=0,0,OFFSET(CreditMetrics!$B$474,MATCH(RAND(),OFFSET(CreditMetrics!$C$474,1,MATCH(BDClientes!V642,CreditMetrics!$B$475:$B$491,0),COUNT(CreditMetrics!$B$475:$B$491),1),1),0,1,1))</f>
        <v>77</v>
      </c>
      <c r="Z642" s="79"/>
    </row>
    <row r="643" spans="1:26" x14ac:dyDescent="0.25">
      <c r="A643" s="4">
        <v>642</v>
      </c>
      <c r="B643" s="5" t="s">
        <v>644</v>
      </c>
      <c r="C643" s="6">
        <v>0</v>
      </c>
      <c r="D643" s="6">
        <v>0</v>
      </c>
      <c r="E643" s="6">
        <v>0</v>
      </c>
      <c r="F643" s="6">
        <v>0</v>
      </c>
      <c r="G643" s="6">
        <v>83</v>
      </c>
      <c r="H643" s="6">
        <v>77</v>
      </c>
      <c r="I643" s="6">
        <v>73</v>
      </c>
      <c r="J643" s="6">
        <v>70</v>
      </c>
      <c r="K643" s="6">
        <v>70</v>
      </c>
      <c r="L643" s="6">
        <v>70</v>
      </c>
      <c r="M643" s="6">
        <v>70</v>
      </c>
      <c r="N643" s="6">
        <v>70</v>
      </c>
      <c r="O643" s="6">
        <v>70</v>
      </c>
      <c r="P643" s="6">
        <v>70</v>
      </c>
      <c r="Q643" s="6">
        <v>70</v>
      </c>
      <c r="R643" s="6">
        <v>73</v>
      </c>
      <c r="S643" s="6">
        <v>73</v>
      </c>
      <c r="T643" s="6">
        <v>73</v>
      </c>
      <c r="U643" s="6">
        <v>77</v>
      </c>
      <c r="V643" s="6">
        <v>77</v>
      </c>
      <c r="W643" s="138">
        <v>196110.85679008803</v>
      </c>
      <c r="X643">
        <f ca="1">IF(V643=0,0,OFFSET(CreditMetrics!$B$474,MATCH(RAND(),OFFSET(CreditMetrics!$C$474,1,MATCH(BDClientes!V643,CreditMetrics!$B$475:$B$491,0),COUNT(CreditMetrics!$B$475:$B$491),1),1),0,1,1))</f>
        <v>83</v>
      </c>
      <c r="Z643" s="79"/>
    </row>
    <row r="644" spans="1:26" x14ac:dyDescent="0.25">
      <c r="A644" s="4">
        <v>643</v>
      </c>
      <c r="B644" s="5" t="s">
        <v>645</v>
      </c>
      <c r="C644" s="6">
        <v>0</v>
      </c>
      <c r="D644" s="6">
        <v>0</v>
      </c>
      <c r="E644" s="6">
        <v>0</v>
      </c>
      <c r="F644" s="6">
        <v>0</v>
      </c>
      <c r="G644" s="6">
        <v>80</v>
      </c>
      <c r="H644" s="6">
        <v>73</v>
      </c>
      <c r="I644" s="6">
        <v>73</v>
      </c>
      <c r="J644" s="6">
        <v>70</v>
      </c>
      <c r="K644" s="6">
        <v>70</v>
      </c>
      <c r="L644" s="6">
        <v>77</v>
      </c>
      <c r="M644" s="6">
        <v>70</v>
      </c>
      <c r="N644" s="6">
        <v>73</v>
      </c>
      <c r="O644" s="6">
        <v>70</v>
      </c>
      <c r="P644" s="6">
        <v>75</v>
      </c>
      <c r="Q644" s="6">
        <v>73</v>
      </c>
      <c r="R644" s="6">
        <v>73</v>
      </c>
      <c r="S644" s="6">
        <v>73</v>
      </c>
      <c r="T644" s="6">
        <v>73</v>
      </c>
      <c r="U644" s="6">
        <v>77</v>
      </c>
      <c r="V644" s="6">
        <v>77</v>
      </c>
      <c r="W644" s="138">
        <v>150067.05548453238</v>
      </c>
      <c r="X644">
        <f ca="1">IF(V644=0,0,OFFSET(CreditMetrics!$B$474,MATCH(RAND(),OFFSET(CreditMetrics!$C$474,1,MATCH(BDClientes!V644,CreditMetrics!$B$475:$B$491,0),COUNT(CreditMetrics!$B$475:$B$491),1),1),0,1,1))</f>
        <v>77</v>
      </c>
      <c r="Z644" s="79"/>
    </row>
    <row r="645" spans="1:26" x14ac:dyDescent="0.25">
      <c r="A645" s="4">
        <v>644</v>
      </c>
      <c r="B645" s="5" t="s">
        <v>646</v>
      </c>
      <c r="C645" s="6">
        <v>0</v>
      </c>
      <c r="D645" s="6">
        <v>0</v>
      </c>
      <c r="E645" s="6">
        <v>0</v>
      </c>
      <c r="F645" s="6">
        <v>0</v>
      </c>
      <c r="G645" s="6">
        <v>80</v>
      </c>
      <c r="H645" s="6">
        <v>83</v>
      </c>
      <c r="I645" s="6">
        <v>80</v>
      </c>
      <c r="J645" s="6">
        <v>85</v>
      </c>
      <c r="K645" s="6">
        <v>80</v>
      </c>
      <c r="L645" s="6">
        <v>80</v>
      </c>
      <c r="M645" s="6">
        <v>77</v>
      </c>
      <c r="N645" s="6">
        <v>77</v>
      </c>
      <c r="O645" s="6">
        <v>80</v>
      </c>
      <c r="P645" s="6">
        <v>80</v>
      </c>
      <c r="Q645" s="6">
        <v>75</v>
      </c>
      <c r="R645" s="6">
        <v>77</v>
      </c>
      <c r="S645" s="6">
        <v>77</v>
      </c>
      <c r="T645" s="6">
        <v>80</v>
      </c>
      <c r="U645" s="6">
        <v>80</v>
      </c>
      <c r="V645" s="6">
        <v>80</v>
      </c>
      <c r="W645" s="138">
        <v>350585.27645366255</v>
      </c>
      <c r="X645">
        <f ca="1">IF(V645=0,0,OFFSET(CreditMetrics!$B$474,MATCH(RAND(),OFFSET(CreditMetrics!$C$474,1,MATCH(BDClientes!V645,CreditMetrics!$B$475:$B$491,0),COUNT(CreditMetrics!$B$475:$B$491),1),1),0,1,1))</f>
        <v>80</v>
      </c>
      <c r="Z645" s="79"/>
    </row>
    <row r="646" spans="1:26" x14ac:dyDescent="0.25">
      <c r="A646" s="4">
        <v>645</v>
      </c>
      <c r="B646" s="5" t="s">
        <v>647</v>
      </c>
      <c r="C646" s="6">
        <v>0</v>
      </c>
      <c r="D646" s="6">
        <v>0</v>
      </c>
      <c r="E646" s="6">
        <v>0</v>
      </c>
      <c r="F646" s="6">
        <v>0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X646">
        <f ca="1">IF(V646=0,0,OFFSET(CreditMetrics!$B$474,MATCH(RAND(),OFFSET(CreditMetrics!$C$474,1,MATCH(BDClientes!V646,CreditMetrics!$B$475:$B$491,0),COUNT(CreditMetrics!$B$475:$B$491),1),1),0,1,1))</f>
        <v>0</v>
      </c>
      <c r="Z646" s="79"/>
    </row>
    <row r="647" spans="1:26" x14ac:dyDescent="0.25">
      <c r="A647" s="4">
        <v>646</v>
      </c>
      <c r="B647" s="5" t="s">
        <v>648</v>
      </c>
      <c r="C647" s="6">
        <v>0</v>
      </c>
      <c r="D647" s="6">
        <v>0</v>
      </c>
      <c r="E647" s="6">
        <v>0</v>
      </c>
      <c r="F647" s="6">
        <v>0</v>
      </c>
      <c r="G647" s="6">
        <v>80</v>
      </c>
      <c r="H647" s="6">
        <v>83</v>
      </c>
      <c r="I647" s="6">
        <v>80</v>
      </c>
      <c r="J647" s="6">
        <v>80</v>
      </c>
      <c r="K647" s="6">
        <v>75</v>
      </c>
      <c r="L647" s="6">
        <v>77</v>
      </c>
      <c r="M647" s="6">
        <v>75</v>
      </c>
      <c r="N647" s="6">
        <v>75</v>
      </c>
      <c r="O647" s="6">
        <v>77</v>
      </c>
      <c r="P647" s="6">
        <v>75</v>
      </c>
      <c r="Q647" s="6">
        <v>75</v>
      </c>
      <c r="R647" s="6">
        <v>77</v>
      </c>
      <c r="S647" s="6">
        <v>77</v>
      </c>
      <c r="T647" s="6">
        <v>77</v>
      </c>
      <c r="U647" s="6">
        <v>77</v>
      </c>
      <c r="V647" s="6">
        <v>77</v>
      </c>
      <c r="W647" s="138">
        <v>2687393.0585102364</v>
      </c>
      <c r="X647">
        <f ca="1">IF(V647=0,0,OFFSET(CreditMetrics!$B$474,MATCH(RAND(),OFFSET(CreditMetrics!$C$474,1,MATCH(BDClientes!V647,CreditMetrics!$B$475:$B$491,0),COUNT(CreditMetrics!$B$475:$B$491),1),1),0,1,1))</f>
        <v>80</v>
      </c>
      <c r="Z647" s="79"/>
    </row>
    <row r="648" spans="1:26" x14ac:dyDescent="0.25">
      <c r="A648" s="4">
        <v>647</v>
      </c>
      <c r="B648" s="5" t="s">
        <v>649</v>
      </c>
      <c r="C648" s="6">
        <v>0</v>
      </c>
      <c r="D648" s="6">
        <v>0</v>
      </c>
      <c r="E648" s="6">
        <v>0</v>
      </c>
      <c r="F648" s="6">
        <v>0</v>
      </c>
      <c r="G648" s="6">
        <v>85</v>
      </c>
      <c r="H648" s="6">
        <v>75</v>
      </c>
      <c r="I648" s="6">
        <v>75</v>
      </c>
      <c r="J648" s="6">
        <v>77</v>
      </c>
      <c r="K648" s="6">
        <v>75</v>
      </c>
      <c r="L648" s="6">
        <v>75</v>
      </c>
      <c r="M648" s="6">
        <v>73</v>
      </c>
      <c r="N648" s="6">
        <v>75</v>
      </c>
      <c r="O648" s="6">
        <v>75</v>
      </c>
      <c r="P648" s="6">
        <v>75</v>
      </c>
      <c r="Q648" s="6">
        <v>75</v>
      </c>
      <c r="R648" s="6">
        <v>83</v>
      </c>
      <c r="S648" s="6">
        <v>0</v>
      </c>
      <c r="T648" s="6">
        <v>0</v>
      </c>
      <c r="U648" s="6">
        <v>0</v>
      </c>
      <c r="V648" s="6">
        <v>0</v>
      </c>
      <c r="X648">
        <f ca="1">IF(V648=0,0,OFFSET(CreditMetrics!$B$474,MATCH(RAND(),OFFSET(CreditMetrics!$C$474,1,MATCH(BDClientes!V648,CreditMetrics!$B$475:$B$491,0),COUNT(CreditMetrics!$B$475:$B$491),1),1),0,1,1))</f>
        <v>0</v>
      </c>
      <c r="Z648" s="79"/>
    </row>
    <row r="649" spans="1:26" x14ac:dyDescent="0.25">
      <c r="A649" s="4">
        <v>648</v>
      </c>
      <c r="B649" s="5" t="s">
        <v>650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85</v>
      </c>
      <c r="I649" s="6">
        <v>85</v>
      </c>
      <c r="J649" s="6">
        <v>83</v>
      </c>
      <c r="K649" s="6">
        <v>83</v>
      </c>
      <c r="L649" s="6">
        <v>83</v>
      </c>
      <c r="M649" s="6">
        <v>83</v>
      </c>
      <c r="N649" s="6">
        <v>85</v>
      </c>
      <c r="O649" s="6">
        <v>87</v>
      </c>
      <c r="P649" s="6">
        <v>87</v>
      </c>
      <c r="Q649" s="6">
        <v>85</v>
      </c>
      <c r="R649" s="6">
        <v>87</v>
      </c>
      <c r="S649" s="6">
        <v>85</v>
      </c>
      <c r="T649" s="6">
        <v>85</v>
      </c>
      <c r="U649" s="6">
        <v>85</v>
      </c>
      <c r="V649" s="6">
        <v>85</v>
      </c>
      <c r="W649" s="138">
        <v>141552.25447774224</v>
      </c>
      <c r="X649">
        <f ca="1">IF(V649=0,0,OFFSET(CreditMetrics!$B$474,MATCH(RAND(),OFFSET(CreditMetrics!$C$474,1,MATCH(BDClientes!V649,CreditMetrics!$B$475:$B$491,0),COUNT(CreditMetrics!$B$475:$B$491),1),1),0,1,1))</f>
        <v>85</v>
      </c>
      <c r="Z649" s="79"/>
    </row>
    <row r="650" spans="1:26" x14ac:dyDescent="0.25">
      <c r="A650" s="4">
        <v>649</v>
      </c>
      <c r="B650" s="5" t="s">
        <v>651</v>
      </c>
      <c r="C650" s="6">
        <v>0</v>
      </c>
      <c r="D650" s="6">
        <v>0</v>
      </c>
      <c r="E650" s="6">
        <v>0</v>
      </c>
      <c r="F650" s="6">
        <v>0</v>
      </c>
      <c r="G650" s="6">
        <v>0</v>
      </c>
      <c r="H650" s="6">
        <v>87</v>
      </c>
      <c r="I650" s="6">
        <v>85</v>
      </c>
      <c r="J650" s="6">
        <v>83</v>
      </c>
      <c r="K650" s="6">
        <v>83</v>
      </c>
      <c r="L650" s="6">
        <v>70</v>
      </c>
      <c r="M650" s="6">
        <v>73</v>
      </c>
      <c r="N650" s="6">
        <v>77</v>
      </c>
      <c r="O650" s="6">
        <v>77</v>
      </c>
      <c r="P650" s="6">
        <v>77</v>
      </c>
      <c r="Q650" s="6">
        <v>73</v>
      </c>
      <c r="R650" s="6">
        <v>73</v>
      </c>
      <c r="S650" s="6">
        <v>73</v>
      </c>
      <c r="T650" s="6">
        <v>73</v>
      </c>
      <c r="U650" s="6">
        <v>77</v>
      </c>
      <c r="V650" s="6">
        <v>77</v>
      </c>
      <c r="W650" s="138">
        <v>118752.1793372557</v>
      </c>
      <c r="X650">
        <f ca="1">IF(V650=0,0,OFFSET(CreditMetrics!$B$474,MATCH(RAND(),OFFSET(CreditMetrics!$C$474,1,MATCH(BDClientes!V650,CreditMetrics!$B$475:$B$491,0),COUNT(CreditMetrics!$B$475:$B$491),1),1),0,1,1))</f>
        <v>75</v>
      </c>
      <c r="Z650" s="79"/>
    </row>
    <row r="651" spans="1:26" x14ac:dyDescent="0.25">
      <c r="A651" s="4">
        <v>650</v>
      </c>
      <c r="B651" s="5" t="s">
        <v>652</v>
      </c>
      <c r="C651" s="6">
        <v>0</v>
      </c>
      <c r="D651" s="6">
        <v>0</v>
      </c>
      <c r="E651" s="6">
        <v>0</v>
      </c>
      <c r="F651" s="6">
        <v>0</v>
      </c>
      <c r="G651" s="6">
        <v>0</v>
      </c>
      <c r="H651" s="6">
        <v>87</v>
      </c>
      <c r="I651" s="6">
        <v>85</v>
      </c>
      <c r="J651" s="6">
        <v>80</v>
      </c>
      <c r="K651" s="6">
        <v>83</v>
      </c>
      <c r="L651" s="6">
        <v>80</v>
      </c>
      <c r="M651" s="6">
        <v>70</v>
      </c>
      <c r="N651" s="6">
        <v>70</v>
      </c>
      <c r="O651" s="6">
        <v>70</v>
      </c>
      <c r="P651" s="6">
        <v>70</v>
      </c>
      <c r="Q651" s="6">
        <v>70</v>
      </c>
      <c r="R651" s="6">
        <v>75</v>
      </c>
      <c r="S651" s="6">
        <v>77</v>
      </c>
      <c r="T651" s="6">
        <v>73</v>
      </c>
      <c r="U651" s="6">
        <v>77</v>
      </c>
      <c r="V651" s="6">
        <v>73</v>
      </c>
      <c r="W651" s="138">
        <v>319101.55700053723</v>
      </c>
      <c r="X651">
        <f ca="1">IF(V651=0,0,OFFSET(CreditMetrics!$B$474,MATCH(RAND(),OFFSET(CreditMetrics!$C$474,1,MATCH(BDClientes!V651,CreditMetrics!$B$475:$B$491,0),COUNT(CreditMetrics!$B$475:$B$491),1),1),0,1,1))</f>
        <v>77</v>
      </c>
      <c r="Z651" s="79"/>
    </row>
    <row r="652" spans="1:26" x14ac:dyDescent="0.25">
      <c r="A652" s="4">
        <v>651</v>
      </c>
      <c r="B652" s="5" t="s">
        <v>653</v>
      </c>
      <c r="C652" s="6">
        <v>0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83</v>
      </c>
      <c r="J652" s="6">
        <v>85</v>
      </c>
      <c r="K652" s="6">
        <v>85</v>
      </c>
      <c r="L652" s="6">
        <v>85</v>
      </c>
      <c r="M652" s="6">
        <v>83</v>
      </c>
      <c r="N652" s="6">
        <v>83</v>
      </c>
      <c r="O652" s="6">
        <v>85</v>
      </c>
      <c r="P652" s="6">
        <v>83</v>
      </c>
      <c r="Q652" s="6">
        <v>83</v>
      </c>
      <c r="R652" s="6">
        <v>83</v>
      </c>
      <c r="S652" s="6">
        <v>83</v>
      </c>
      <c r="T652" s="6">
        <v>83</v>
      </c>
      <c r="U652" s="6">
        <v>83</v>
      </c>
      <c r="V652" s="6">
        <v>83</v>
      </c>
      <c r="W652" s="138">
        <v>136118.58866207325</v>
      </c>
      <c r="X652">
        <f ca="1">IF(V652=0,0,OFFSET(CreditMetrics!$B$474,MATCH(RAND(),OFFSET(CreditMetrics!$C$474,1,MATCH(BDClientes!V652,CreditMetrics!$B$475:$B$491,0),COUNT(CreditMetrics!$B$475:$B$491),1),1),0,1,1))</f>
        <v>85</v>
      </c>
      <c r="Z652" s="79"/>
    </row>
    <row r="653" spans="1:26" x14ac:dyDescent="0.25">
      <c r="A653" s="4">
        <v>652</v>
      </c>
      <c r="B653" s="5" t="s">
        <v>654</v>
      </c>
      <c r="C653" s="6">
        <v>0</v>
      </c>
      <c r="D653" s="6">
        <v>0</v>
      </c>
      <c r="E653" s="6">
        <v>0</v>
      </c>
      <c r="F653" s="6">
        <v>0</v>
      </c>
      <c r="G653" s="6">
        <v>0</v>
      </c>
      <c r="H653" s="6">
        <v>0</v>
      </c>
      <c r="I653" s="6">
        <v>83</v>
      </c>
      <c r="J653" s="6">
        <v>80</v>
      </c>
      <c r="K653" s="6">
        <v>80</v>
      </c>
      <c r="L653" s="6">
        <v>80</v>
      </c>
      <c r="M653" s="6">
        <v>77</v>
      </c>
      <c r="N653" s="6">
        <v>83</v>
      </c>
      <c r="O653" s="6">
        <v>85</v>
      </c>
      <c r="P653" s="6">
        <v>80</v>
      </c>
      <c r="Q653" s="6">
        <v>80</v>
      </c>
      <c r="R653" s="6">
        <v>80</v>
      </c>
      <c r="S653" s="6">
        <v>77</v>
      </c>
      <c r="T653" s="6">
        <v>80</v>
      </c>
      <c r="U653" s="6">
        <v>80</v>
      </c>
      <c r="V653" s="6">
        <v>80</v>
      </c>
      <c r="W653" s="138">
        <v>329908.83682039654</v>
      </c>
      <c r="X653">
        <f ca="1">IF(V653=0,0,OFFSET(CreditMetrics!$B$474,MATCH(RAND(),OFFSET(CreditMetrics!$C$474,1,MATCH(BDClientes!V653,CreditMetrics!$B$475:$B$491,0),COUNT(CreditMetrics!$B$475:$B$491),1),1),0,1,1))</f>
        <v>85</v>
      </c>
      <c r="Z653" s="79"/>
    </row>
    <row r="654" spans="1:26" x14ac:dyDescent="0.25">
      <c r="A654" s="4">
        <v>653</v>
      </c>
      <c r="B654" s="5" t="s">
        <v>655</v>
      </c>
      <c r="C654" s="6">
        <v>0</v>
      </c>
      <c r="D654" s="6">
        <v>0</v>
      </c>
      <c r="E654" s="6">
        <v>0</v>
      </c>
      <c r="F654" s="6">
        <v>0</v>
      </c>
      <c r="G654" s="6">
        <v>0</v>
      </c>
      <c r="H654" s="6">
        <v>0</v>
      </c>
      <c r="I654" s="6">
        <v>0</v>
      </c>
      <c r="J654" s="6">
        <v>77</v>
      </c>
      <c r="K654" s="6">
        <v>80</v>
      </c>
      <c r="L654" s="6">
        <v>80</v>
      </c>
      <c r="M654" s="6">
        <v>77</v>
      </c>
      <c r="N654" s="6">
        <v>80</v>
      </c>
      <c r="O654" s="6">
        <v>80</v>
      </c>
      <c r="P654" s="6">
        <v>80</v>
      </c>
      <c r="Q654" s="6">
        <v>80</v>
      </c>
      <c r="R654" s="6">
        <v>80</v>
      </c>
      <c r="S654" s="6">
        <v>77</v>
      </c>
      <c r="T654" s="6">
        <v>80</v>
      </c>
      <c r="U654" s="6">
        <v>80</v>
      </c>
      <c r="V654" s="6">
        <v>80</v>
      </c>
      <c r="W654" s="138">
        <v>257392.54168938907</v>
      </c>
      <c r="X654">
        <f ca="1">IF(V654=0,0,OFFSET(CreditMetrics!$B$474,MATCH(RAND(),OFFSET(CreditMetrics!$C$474,1,MATCH(BDClientes!V654,CreditMetrics!$B$475:$B$491,0),COUNT(CreditMetrics!$B$475:$B$491),1),1),0,1,1))</f>
        <v>77</v>
      </c>
      <c r="Z654" s="79"/>
    </row>
    <row r="655" spans="1:26" x14ac:dyDescent="0.25">
      <c r="A655" s="4">
        <v>654</v>
      </c>
      <c r="B655" s="5" t="s">
        <v>656</v>
      </c>
      <c r="C655" s="6">
        <v>0</v>
      </c>
      <c r="D655" s="6">
        <v>0</v>
      </c>
      <c r="E655" s="6">
        <v>0</v>
      </c>
      <c r="F655" s="6">
        <v>0</v>
      </c>
      <c r="G655" s="6">
        <v>0</v>
      </c>
      <c r="H655" s="6">
        <v>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6">
        <v>75</v>
      </c>
      <c r="O655" s="6">
        <v>0</v>
      </c>
      <c r="P655" s="6">
        <v>75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X655">
        <f ca="1">IF(V655=0,0,OFFSET(CreditMetrics!$B$474,MATCH(RAND(),OFFSET(CreditMetrics!$C$474,1,MATCH(BDClientes!V655,CreditMetrics!$B$475:$B$491,0),COUNT(CreditMetrics!$B$475:$B$491),1),1),0,1,1))</f>
        <v>0</v>
      </c>
      <c r="Z655" s="79"/>
    </row>
    <row r="656" spans="1:26" x14ac:dyDescent="0.25">
      <c r="A656" s="4">
        <v>655</v>
      </c>
      <c r="B656" s="5" t="s">
        <v>657</v>
      </c>
      <c r="C656" s="6">
        <v>0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80</v>
      </c>
      <c r="M656" s="6">
        <v>83</v>
      </c>
      <c r="N656" s="6">
        <v>75</v>
      </c>
      <c r="O656" s="6">
        <v>80</v>
      </c>
      <c r="P656" s="6">
        <v>83</v>
      </c>
      <c r="Q656" s="6">
        <v>83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X656">
        <f ca="1">IF(V656=0,0,OFFSET(CreditMetrics!$B$474,MATCH(RAND(),OFFSET(CreditMetrics!$C$474,1,MATCH(BDClientes!V656,CreditMetrics!$B$475:$B$491,0),COUNT(CreditMetrics!$B$475:$B$491),1),1),0,1,1))</f>
        <v>0</v>
      </c>
      <c r="Z656" s="79"/>
    </row>
    <row r="657" spans="1:26" x14ac:dyDescent="0.25">
      <c r="A657" s="4">
        <v>656</v>
      </c>
      <c r="B657" s="5" t="s">
        <v>658</v>
      </c>
      <c r="C657" s="6">
        <v>0</v>
      </c>
      <c r="D657" s="6">
        <v>0</v>
      </c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83</v>
      </c>
      <c r="K657" s="6">
        <v>73</v>
      </c>
      <c r="L657" s="6">
        <v>73</v>
      </c>
      <c r="M657" s="6">
        <v>75</v>
      </c>
      <c r="N657" s="6">
        <v>75</v>
      </c>
      <c r="O657" s="6">
        <v>75</v>
      </c>
      <c r="P657" s="6">
        <v>80</v>
      </c>
      <c r="Q657" s="6">
        <v>80</v>
      </c>
      <c r="R657" s="6">
        <v>80</v>
      </c>
      <c r="S657" s="6">
        <v>80</v>
      </c>
      <c r="T657" s="6">
        <v>80</v>
      </c>
      <c r="U657" s="6">
        <v>80</v>
      </c>
      <c r="V657" s="6">
        <v>75</v>
      </c>
      <c r="W657" s="138">
        <v>608315.88635358913</v>
      </c>
      <c r="X657">
        <f ca="1">IF(V657=0,0,OFFSET(CreditMetrics!$B$474,MATCH(RAND(),OFFSET(CreditMetrics!$C$474,1,MATCH(BDClientes!V657,CreditMetrics!$B$475:$B$491,0),COUNT(CreditMetrics!$B$475:$B$491),1),1),0,1,1))</f>
        <v>60</v>
      </c>
      <c r="Z657" s="79"/>
    </row>
    <row r="658" spans="1:26" x14ac:dyDescent="0.25">
      <c r="A658" s="4">
        <v>657</v>
      </c>
      <c r="B658" s="5" t="s">
        <v>659</v>
      </c>
      <c r="C658" s="6">
        <v>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83</v>
      </c>
      <c r="K658" s="6">
        <v>73</v>
      </c>
      <c r="L658" s="6">
        <v>77</v>
      </c>
      <c r="M658" s="6">
        <v>77</v>
      </c>
      <c r="N658" s="6">
        <v>75</v>
      </c>
      <c r="O658" s="6">
        <v>75</v>
      </c>
      <c r="P658" s="6">
        <v>83</v>
      </c>
      <c r="Q658" s="6">
        <v>80</v>
      </c>
      <c r="R658" s="6">
        <v>80</v>
      </c>
      <c r="S658" s="6">
        <v>83</v>
      </c>
      <c r="T658" s="6">
        <v>80</v>
      </c>
      <c r="U658" s="6">
        <v>80</v>
      </c>
      <c r="V658" s="6">
        <v>80</v>
      </c>
      <c r="W658" s="138">
        <v>143821.61704565995</v>
      </c>
      <c r="X658">
        <f ca="1">IF(V658=0,0,OFFSET(CreditMetrics!$B$474,MATCH(RAND(),OFFSET(CreditMetrics!$C$474,1,MATCH(BDClientes!V658,CreditMetrics!$B$475:$B$491,0),COUNT(CreditMetrics!$B$475:$B$491),1),1),0,1,1))</f>
        <v>80</v>
      </c>
      <c r="Z658" s="79"/>
    </row>
    <row r="659" spans="1:26" x14ac:dyDescent="0.25">
      <c r="A659" s="4">
        <v>658</v>
      </c>
      <c r="B659" s="5" t="s">
        <v>660</v>
      </c>
      <c r="C659" s="6">
        <v>0</v>
      </c>
      <c r="D659" s="6">
        <v>0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75</v>
      </c>
      <c r="K659" s="6">
        <v>75</v>
      </c>
      <c r="L659" s="6">
        <v>75</v>
      </c>
      <c r="M659" s="6">
        <v>75</v>
      </c>
      <c r="N659" s="6">
        <v>80</v>
      </c>
      <c r="O659" s="6">
        <v>80</v>
      </c>
      <c r="P659" s="6">
        <v>75</v>
      </c>
      <c r="Q659" s="6">
        <v>75</v>
      </c>
      <c r="R659" s="6">
        <v>80</v>
      </c>
      <c r="S659" s="6">
        <v>0</v>
      </c>
      <c r="T659" s="6">
        <v>0</v>
      </c>
      <c r="U659" s="6">
        <v>0</v>
      </c>
      <c r="V659" s="6">
        <v>0</v>
      </c>
      <c r="X659">
        <f ca="1">IF(V659=0,0,OFFSET(CreditMetrics!$B$474,MATCH(RAND(),OFFSET(CreditMetrics!$C$474,1,MATCH(BDClientes!V659,CreditMetrics!$B$475:$B$491,0),COUNT(CreditMetrics!$B$475:$B$491),1),1),0,1,1))</f>
        <v>0</v>
      </c>
      <c r="Z659" s="79"/>
    </row>
    <row r="660" spans="1:26" x14ac:dyDescent="0.25">
      <c r="A660" s="4">
        <v>659</v>
      </c>
      <c r="B660" s="5" t="s">
        <v>661</v>
      </c>
      <c r="C660" s="6">
        <v>0</v>
      </c>
      <c r="D660" s="6">
        <v>0</v>
      </c>
      <c r="E660" s="6">
        <v>0</v>
      </c>
      <c r="F660" s="6">
        <v>0</v>
      </c>
      <c r="G660" s="6">
        <v>0</v>
      </c>
      <c r="H660" s="6">
        <v>0</v>
      </c>
      <c r="I660" s="6">
        <v>0</v>
      </c>
      <c r="J660" s="6">
        <v>80</v>
      </c>
      <c r="K660" s="6">
        <v>80</v>
      </c>
      <c r="L660" s="6">
        <v>80</v>
      </c>
      <c r="M660" s="6">
        <v>77</v>
      </c>
      <c r="N660" s="6">
        <v>80</v>
      </c>
      <c r="O660" s="6">
        <v>80</v>
      </c>
      <c r="P660" s="6">
        <v>80</v>
      </c>
      <c r="Q660" s="6">
        <v>80</v>
      </c>
      <c r="R660" s="6">
        <v>80</v>
      </c>
      <c r="S660" s="6">
        <v>0</v>
      </c>
      <c r="T660" s="6">
        <v>0</v>
      </c>
      <c r="U660" s="6">
        <v>0</v>
      </c>
      <c r="V660" s="6">
        <v>0</v>
      </c>
      <c r="X660">
        <f ca="1">IF(V660=0,0,OFFSET(CreditMetrics!$B$474,MATCH(RAND(),OFFSET(CreditMetrics!$C$474,1,MATCH(BDClientes!V660,CreditMetrics!$B$475:$B$491,0),COUNT(CreditMetrics!$B$475:$B$491),1),1),0,1,1))</f>
        <v>0</v>
      </c>
      <c r="Z660" s="79"/>
    </row>
    <row r="661" spans="1:26" x14ac:dyDescent="0.25">
      <c r="A661" s="4">
        <v>660</v>
      </c>
      <c r="B661" s="5" t="s">
        <v>662</v>
      </c>
      <c r="C661" s="6">
        <v>0</v>
      </c>
      <c r="D661" s="6">
        <v>0</v>
      </c>
      <c r="E661" s="6">
        <v>0</v>
      </c>
      <c r="F661" s="6">
        <v>0</v>
      </c>
      <c r="G661" s="6">
        <v>0</v>
      </c>
      <c r="H661" s="6">
        <v>0</v>
      </c>
      <c r="I661" s="6">
        <v>0</v>
      </c>
      <c r="J661" s="6">
        <v>0</v>
      </c>
      <c r="K661" s="6">
        <v>0</v>
      </c>
      <c r="L661" s="6">
        <v>85</v>
      </c>
      <c r="M661" s="6">
        <v>83</v>
      </c>
      <c r="N661" s="6">
        <v>77</v>
      </c>
      <c r="O661" s="6">
        <v>80</v>
      </c>
      <c r="P661" s="6">
        <v>75</v>
      </c>
      <c r="Q661" s="6">
        <v>75</v>
      </c>
      <c r="R661" s="6">
        <v>75</v>
      </c>
      <c r="S661" s="6">
        <v>77</v>
      </c>
      <c r="T661" s="6">
        <v>0</v>
      </c>
      <c r="U661" s="6">
        <v>0</v>
      </c>
      <c r="V661" s="6">
        <v>0</v>
      </c>
      <c r="X661">
        <f ca="1">IF(V661=0,0,OFFSET(CreditMetrics!$B$474,MATCH(RAND(),OFFSET(CreditMetrics!$C$474,1,MATCH(BDClientes!V661,CreditMetrics!$B$475:$B$491,0),COUNT(CreditMetrics!$B$475:$B$491),1),1),0,1,1))</f>
        <v>0</v>
      </c>
      <c r="Z661" s="79"/>
    </row>
    <row r="662" spans="1:26" x14ac:dyDescent="0.25">
      <c r="A662" s="4">
        <v>661</v>
      </c>
      <c r="B662" s="5" t="s">
        <v>663</v>
      </c>
      <c r="C662" s="6">
        <v>0</v>
      </c>
      <c r="D662" s="6">
        <v>0</v>
      </c>
      <c r="E662" s="6">
        <v>0</v>
      </c>
      <c r="F662" s="6">
        <v>0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80</v>
      </c>
      <c r="O662" s="6">
        <v>77</v>
      </c>
      <c r="P662" s="6">
        <v>80</v>
      </c>
      <c r="Q662" s="6">
        <v>80</v>
      </c>
      <c r="R662" s="6">
        <v>80</v>
      </c>
      <c r="S662" s="6">
        <v>80</v>
      </c>
      <c r="T662" s="6">
        <v>80</v>
      </c>
      <c r="U662" s="6">
        <v>80</v>
      </c>
      <c r="V662" s="6">
        <v>80</v>
      </c>
      <c r="W662" s="138">
        <v>122391.44750525604</v>
      </c>
      <c r="X662">
        <f ca="1">IF(V662=0,0,OFFSET(CreditMetrics!$B$474,MATCH(RAND(),OFFSET(CreditMetrics!$C$474,1,MATCH(BDClientes!V662,CreditMetrics!$B$475:$B$491,0),COUNT(CreditMetrics!$B$475:$B$491),1),1),0,1,1))</f>
        <v>80</v>
      </c>
      <c r="Z662" s="79"/>
    </row>
    <row r="663" spans="1:26" x14ac:dyDescent="0.25">
      <c r="A663" s="4">
        <v>662</v>
      </c>
      <c r="B663" s="5" t="s">
        <v>664</v>
      </c>
      <c r="C663" s="6">
        <v>0</v>
      </c>
      <c r="D663" s="6">
        <v>0</v>
      </c>
      <c r="E663" s="6">
        <v>0</v>
      </c>
      <c r="F663" s="6">
        <v>0</v>
      </c>
      <c r="G663" s="6">
        <v>0</v>
      </c>
      <c r="H663" s="6">
        <v>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6">
        <v>75</v>
      </c>
      <c r="O663" s="6">
        <v>77</v>
      </c>
      <c r="P663" s="6">
        <v>77</v>
      </c>
      <c r="Q663" s="6">
        <v>77</v>
      </c>
      <c r="R663" s="6">
        <v>77</v>
      </c>
      <c r="S663" s="6">
        <v>77</v>
      </c>
      <c r="T663" s="6">
        <v>80</v>
      </c>
      <c r="U663" s="6">
        <v>77</v>
      </c>
      <c r="V663" s="6">
        <v>80</v>
      </c>
      <c r="W663" s="138">
        <v>808892.5617644029</v>
      </c>
      <c r="X663">
        <f ca="1">IF(V663=0,0,OFFSET(CreditMetrics!$B$474,MATCH(RAND(),OFFSET(CreditMetrics!$C$474,1,MATCH(BDClientes!V663,CreditMetrics!$B$475:$B$491,0),COUNT(CreditMetrics!$B$475:$B$491),1),1),0,1,1))</f>
        <v>83</v>
      </c>
      <c r="Z663" s="79"/>
    </row>
    <row r="664" spans="1:26" x14ac:dyDescent="0.25">
      <c r="A664" s="4">
        <v>663</v>
      </c>
      <c r="B664" s="5" t="s">
        <v>665</v>
      </c>
      <c r="C664" s="6">
        <v>0</v>
      </c>
      <c r="D664" s="6">
        <v>0</v>
      </c>
      <c r="E664" s="6">
        <v>0</v>
      </c>
      <c r="F664" s="6">
        <v>0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83</v>
      </c>
      <c r="O664" s="6">
        <v>80</v>
      </c>
      <c r="P664" s="6">
        <v>80</v>
      </c>
      <c r="Q664" s="6">
        <v>80</v>
      </c>
      <c r="R664" s="6">
        <v>77</v>
      </c>
      <c r="S664" s="6">
        <v>77</v>
      </c>
      <c r="T664" s="6">
        <v>77</v>
      </c>
      <c r="U664" s="6">
        <v>77</v>
      </c>
      <c r="V664" s="6">
        <v>0</v>
      </c>
      <c r="X664">
        <f ca="1">IF(V664=0,0,OFFSET(CreditMetrics!$B$474,MATCH(RAND(),OFFSET(CreditMetrics!$C$474,1,MATCH(BDClientes!V664,CreditMetrics!$B$475:$B$491,0),COUNT(CreditMetrics!$B$475:$B$491),1),1),0,1,1))</f>
        <v>0</v>
      </c>
      <c r="Z664" s="79"/>
    </row>
    <row r="665" spans="1:26" x14ac:dyDescent="0.25">
      <c r="A665" s="4">
        <v>664</v>
      </c>
      <c r="B665" s="5" t="s">
        <v>666</v>
      </c>
      <c r="C665" s="6">
        <v>0</v>
      </c>
      <c r="D665" s="6">
        <v>0</v>
      </c>
      <c r="E665" s="6">
        <v>0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6">
        <v>83</v>
      </c>
      <c r="O665" s="6">
        <v>83</v>
      </c>
      <c r="P665" s="6">
        <v>83</v>
      </c>
      <c r="Q665" s="6">
        <v>83</v>
      </c>
      <c r="R665" s="6">
        <v>85</v>
      </c>
      <c r="S665" s="6">
        <v>83</v>
      </c>
      <c r="T665" s="6">
        <v>83</v>
      </c>
      <c r="U665" s="6">
        <v>83</v>
      </c>
      <c r="V665" s="6">
        <v>83</v>
      </c>
      <c r="W665" s="138">
        <v>126398.68122701153</v>
      </c>
      <c r="X665">
        <f ca="1">IF(V665=0,0,OFFSET(CreditMetrics!$B$474,MATCH(RAND(),OFFSET(CreditMetrics!$C$474,1,MATCH(BDClientes!V665,CreditMetrics!$B$475:$B$491,0),COUNT(CreditMetrics!$B$475:$B$491),1),1),0,1,1))</f>
        <v>75</v>
      </c>
      <c r="Z665" s="79"/>
    </row>
    <row r="666" spans="1:26" x14ac:dyDescent="0.25">
      <c r="A666" s="4">
        <v>665</v>
      </c>
      <c r="B666" s="5" t="s">
        <v>667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83</v>
      </c>
      <c r="S666" s="6">
        <v>83</v>
      </c>
      <c r="T666" s="6">
        <v>0</v>
      </c>
      <c r="U666" s="6">
        <v>0</v>
      </c>
      <c r="V666" s="6">
        <v>83</v>
      </c>
      <c r="W666" s="138">
        <v>1137546.2171199431</v>
      </c>
      <c r="X666">
        <f ca="1">IF(V666=0,0,OFFSET(CreditMetrics!$B$474,MATCH(RAND(),OFFSET(CreditMetrics!$C$474,1,MATCH(BDClientes!V666,CreditMetrics!$B$475:$B$491,0),COUNT(CreditMetrics!$B$475:$B$491),1),1),0,1,1))</f>
        <v>77</v>
      </c>
      <c r="Z666" s="79"/>
    </row>
    <row r="667" spans="1:26" x14ac:dyDescent="0.25">
      <c r="A667" s="4">
        <v>666</v>
      </c>
      <c r="B667" s="5" t="s">
        <v>668</v>
      </c>
      <c r="C667" s="6">
        <v>0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6">
        <v>0</v>
      </c>
      <c r="O667" s="6">
        <v>0</v>
      </c>
      <c r="P667" s="6">
        <v>0</v>
      </c>
      <c r="Q667" s="6">
        <v>0</v>
      </c>
      <c r="R667" s="6">
        <v>77</v>
      </c>
      <c r="S667" s="6">
        <v>75</v>
      </c>
      <c r="T667" s="6">
        <v>77</v>
      </c>
      <c r="U667" s="6">
        <v>77</v>
      </c>
      <c r="V667" s="6">
        <v>77</v>
      </c>
      <c r="W667" s="138">
        <v>215349.12433142285</v>
      </c>
      <c r="X667">
        <f ca="1">IF(V667=0,0,OFFSET(CreditMetrics!$B$474,MATCH(RAND(),OFFSET(CreditMetrics!$C$474,1,MATCH(BDClientes!V667,CreditMetrics!$B$475:$B$491,0),COUNT(CreditMetrics!$B$475:$B$491),1),1),0,1,1))</f>
        <v>80</v>
      </c>
      <c r="Z667" s="79"/>
    </row>
    <row r="668" spans="1:26" x14ac:dyDescent="0.25">
      <c r="A668" s="4">
        <v>667</v>
      </c>
      <c r="B668" s="5" t="s">
        <v>669</v>
      </c>
      <c r="C668" s="6">
        <v>0</v>
      </c>
      <c r="D668" s="6">
        <v>0</v>
      </c>
      <c r="E668" s="6">
        <v>0</v>
      </c>
      <c r="F668" s="6">
        <v>0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77</v>
      </c>
      <c r="S668" s="6">
        <v>77</v>
      </c>
      <c r="T668" s="6">
        <v>77</v>
      </c>
      <c r="U668" s="6">
        <v>77</v>
      </c>
      <c r="V668" s="6">
        <v>77</v>
      </c>
      <c r="W668" s="138">
        <v>197544.95209701342</v>
      </c>
      <c r="X668">
        <f ca="1">IF(V668=0,0,OFFSET(CreditMetrics!$B$474,MATCH(RAND(),OFFSET(CreditMetrics!$C$474,1,MATCH(BDClientes!V668,CreditMetrics!$B$475:$B$491,0),COUNT(CreditMetrics!$B$475:$B$491),1),1),0,1,1))</f>
        <v>77</v>
      </c>
      <c r="Z668" s="79"/>
    </row>
    <row r="669" spans="1:26" x14ac:dyDescent="0.25">
      <c r="A669" s="4">
        <v>668</v>
      </c>
      <c r="B669" s="5" t="s">
        <v>670</v>
      </c>
      <c r="C669" s="6">
        <v>0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6">
        <v>0</v>
      </c>
      <c r="O669" s="6">
        <v>0</v>
      </c>
      <c r="P669" s="6">
        <v>0</v>
      </c>
      <c r="Q669" s="6">
        <v>0</v>
      </c>
      <c r="R669" s="6">
        <v>87</v>
      </c>
      <c r="S669" s="6">
        <v>85</v>
      </c>
      <c r="T669" s="6">
        <v>87</v>
      </c>
      <c r="U669" s="6">
        <v>87</v>
      </c>
      <c r="V669" s="6">
        <v>87</v>
      </c>
      <c r="W669" s="138">
        <v>141301.20233747078</v>
      </c>
      <c r="X669">
        <f ca="1">IF(V669=0,0,OFFSET(CreditMetrics!$B$474,MATCH(RAND(),OFFSET(CreditMetrics!$C$474,1,MATCH(BDClientes!V669,CreditMetrics!$B$475:$B$491,0),COUNT(CreditMetrics!$B$475:$B$491),1),1),0,1,1))</f>
        <v>83</v>
      </c>
      <c r="Z669" s="79"/>
    </row>
    <row r="670" spans="1:26" x14ac:dyDescent="0.25">
      <c r="A670" s="4">
        <v>669</v>
      </c>
      <c r="B670" s="5" t="s">
        <v>671</v>
      </c>
      <c r="C670" s="6">
        <v>0</v>
      </c>
      <c r="D670" s="6">
        <v>0</v>
      </c>
      <c r="E670" s="6">
        <v>0</v>
      </c>
      <c r="F670" s="6">
        <v>0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85</v>
      </c>
      <c r="S670" s="6">
        <v>0</v>
      </c>
      <c r="T670" s="6">
        <v>0</v>
      </c>
      <c r="U670" s="6">
        <v>0</v>
      </c>
      <c r="V670" s="6">
        <v>0</v>
      </c>
      <c r="X670">
        <f ca="1">IF(V670=0,0,OFFSET(CreditMetrics!$B$474,MATCH(RAND(),OFFSET(CreditMetrics!$C$474,1,MATCH(BDClientes!V670,CreditMetrics!$B$475:$B$491,0),COUNT(CreditMetrics!$B$475:$B$491),1),1),0,1,1))</f>
        <v>0</v>
      </c>
      <c r="Z670" s="79"/>
    </row>
    <row r="671" spans="1:26" x14ac:dyDescent="0.25">
      <c r="A671" s="4">
        <v>670</v>
      </c>
      <c r="B671" s="5" t="s">
        <v>672</v>
      </c>
      <c r="C671" s="6">
        <v>0</v>
      </c>
      <c r="D671" s="6">
        <v>0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6">
        <v>0</v>
      </c>
      <c r="O671" s="6">
        <v>0</v>
      </c>
      <c r="P671" s="6">
        <v>0</v>
      </c>
      <c r="Q671" s="6">
        <v>0</v>
      </c>
      <c r="R671" s="6">
        <v>83</v>
      </c>
      <c r="S671" s="6">
        <v>83</v>
      </c>
      <c r="T671" s="6">
        <v>0</v>
      </c>
      <c r="U671" s="6">
        <v>83</v>
      </c>
      <c r="V671" s="6">
        <v>83</v>
      </c>
      <c r="W671" s="138">
        <v>235654.46284596153</v>
      </c>
      <c r="X671">
        <f ca="1">IF(V671=0,0,OFFSET(CreditMetrics!$B$474,MATCH(RAND(),OFFSET(CreditMetrics!$C$474,1,MATCH(BDClientes!V671,CreditMetrics!$B$475:$B$491,0),COUNT(CreditMetrics!$B$475:$B$491),1),1),0,1,1))</f>
        <v>83</v>
      </c>
      <c r="Z671" s="79"/>
    </row>
    <row r="672" spans="1:26" x14ac:dyDescent="0.25">
      <c r="A672" s="4">
        <v>671</v>
      </c>
      <c r="B672" s="5" t="s">
        <v>673</v>
      </c>
      <c r="C672" s="6">
        <v>0</v>
      </c>
      <c r="D672" s="6">
        <v>0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87</v>
      </c>
      <c r="S672" s="6">
        <v>87</v>
      </c>
      <c r="T672" s="6">
        <v>87</v>
      </c>
      <c r="U672" s="6">
        <v>87</v>
      </c>
      <c r="V672" s="6">
        <v>87</v>
      </c>
      <c r="W672" s="138">
        <v>162721.37087395677</v>
      </c>
      <c r="X672">
        <f ca="1">IF(V672=0,0,OFFSET(CreditMetrics!$B$474,MATCH(RAND(),OFFSET(CreditMetrics!$C$474,1,MATCH(BDClientes!V672,CreditMetrics!$B$475:$B$491,0),COUNT(CreditMetrics!$B$475:$B$491),1),1),0,1,1))</f>
        <v>87</v>
      </c>
      <c r="Z672" s="79"/>
    </row>
    <row r="673" spans="1:26" x14ac:dyDescent="0.25">
      <c r="A673" s="4">
        <v>672</v>
      </c>
      <c r="B673" s="5" t="s">
        <v>674</v>
      </c>
      <c r="C673" s="6">
        <v>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87</v>
      </c>
      <c r="S673" s="6">
        <v>87</v>
      </c>
      <c r="T673" s="6">
        <v>87</v>
      </c>
      <c r="U673" s="6">
        <v>87</v>
      </c>
      <c r="V673" s="6">
        <v>87</v>
      </c>
      <c r="W673" s="138">
        <v>469733.8474214517</v>
      </c>
      <c r="X673">
        <f ca="1">IF(V673=0,0,OFFSET(CreditMetrics!$B$474,MATCH(RAND(),OFFSET(CreditMetrics!$C$474,1,MATCH(BDClientes!V673,CreditMetrics!$B$475:$B$491,0),COUNT(CreditMetrics!$B$475:$B$491),1),1),0,1,1))</f>
        <v>87</v>
      </c>
      <c r="Z673" s="79"/>
    </row>
    <row r="674" spans="1:26" x14ac:dyDescent="0.25">
      <c r="A674" s="4">
        <v>673</v>
      </c>
      <c r="B674" s="5" t="s">
        <v>675</v>
      </c>
      <c r="C674" s="6">
        <v>0</v>
      </c>
      <c r="D674" s="6">
        <v>0</v>
      </c>
      <c r="E674" s="6">
        <v>0</v>
      </c>
      <c r="F674" s="6">
        <v>0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75</v>
      </c>
      <c r="S674" s="6">
        <v>0</v>
      </c>
      <c r="T674" s="6">
        <v>0</v>
      </c>
      <c r="U674" s="6">
        <v>0</v>
      </c>
      <c r="V674" s="6">
        <v>0</v>
      </c>
      <c r="X674">
        <f ca="1">IF(V674=0,0,OFFSET(CreditMetrics!$B$474,MATCH(RAND(),OFFSET(CreditMetrics!$C$474,1,MATCH(BDClientes!V674,CreditMetrics!$B$475:$B$491,0),COUNT(CreditMetrics!$B$475:$B$491),1),1),0,1,1))</f>
        <v>0</v>
      </c>
      <c r="Z674" s="79"/>
    </row>
    <row r="675" spans="1:26" x14ac:dyDescent="0.25">
      <c r="A675" s="4">
        <v>674</v>
      </c>
      <c r="B675" s="5" t="s">
        <v>676</v>
      </c>
      <c r="C675" s="6">
        <v>0</v>
      </c>
      <c r="D675" s="6">
        <v>0</v>
      </c>
      <c r="E675" s="6">
        <v>0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6">
        <v>0</v>
      </c>
      <c r="O675" s="6">
        <v>0</v>
      </c>
      <c r="P675" s="6">
        <v>0</v>
      </c>
      <c r="Q675" s="6">
        <v>0</v>
      </c>
      <c r="R675" s="6">
        <v>85</v>
      </c>
      <c r="S675" s="6">
        <v>83</v>
      </c>
      <c r="T675" s="6">
        <v>85</v>
      </c>
      <c r="U675" s="6">
        <v>85</v>
      </c>
      <c r="V675" s="6">
        <v>83</v>
      </c>
      <c r="W675" s="138">
        <v>140581.2386181668</v>
      </c>
      <c r="X675">
        <f ca="1">IF(V675=0,0,OFFSET(CreditMetrics!$B$474,MATCH(RAND(),OFFSET(CreditMetrics!$C$474,1,MATCH(BDClientes!V675,CreditMetrics!$B$475:$B$491,0),COUNT(CreditMetrics!$B$475:$B$491),1),1),0,1,1))</f>
        <v>85</v>
      </c>
      <c r="Z675" s="79"/>
    </row>
    <row r="676" spans="1:26" x14ac:dyDescent="0.25">
      <c r="A676" s="4">
        <v>675</v>
      </c>
      <c r="B676" s="5" t="s">
        <v>677</v>
      </c>
      <c r="C676" s="6">
        <v>0</v>
      </c>
      <c r="D676" s="6">
        <v>0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85</v>
      </c>
      <c r="S676" s="6">
        <v>85</v>
      </c>
      <c r="T676" s="6">
        <v>87</v>
      </c>
      <c r="U676" s="6">
        <v>87</v>
      </c>
      <c r="V676" s="6">
        <v>87</v>
      </c>
      <c r="W676" s="138">
        <v>1150816.1378024311</v>
      </c>
      <c r="X676">
        <f ca="1">IF(V676=0,0,OFFSET(CreditMetrics!$B$474,MATCH(RAND(),OFFSET(CreditMetrics!$C$474,1,MATCH(BDClientes!V676,CreditMetrics!$B$475:$B$491,0),COUNT(CreditMetrics!$B$475:$B$491),1),1),0,1,1))</f>
        <v>87</v>
      </c>
      <c r="Z676" s="79"/>
    </row>
    <row r="677" spans="1:26" x14ac:dyDescent="0.25">
      <c r="A677" s="4">
        <v>676</v>
      </c>
      <c r="B677" s="5" t="s">
        <v>678</v>
      </c>
      <c r="C677" s="6">
        <v>0</v>
      </c>
      <c r="D677" s="6">
        <v>0</v>
      </c>
      <c r="E677" s="6">
        <v>0</v>
      </c>
      <c r="F677" s="6">
        <v>0</v>
      </c>
      <c r="G677" s="6">
        <v>0</v>
      </c>
      <c r="H677" s="6">
        <v>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6">
        <v>0</v>
      </c>
      <c r="O677" s="6">
        <v>0</v>
      </c>
      <c r="P677" s="6">
        <v>0</v>
      </c>
      <c r="Q677" s="6">
        <v>0</v>
      </c>
      <c r="R677" s="6">
        <v>83</v>
      </c>
      <c r="S677" s="6">
        <v>83</v>
      </c>
      <c r="T677" s="6">
        <v>83</v>
      </c>
      <c r="U677" s="6">
        <v>83</v>
      </c>
      <c r="V677" s="6">
        <v>83</v>
      </c>
      <c r="W677" s="138">
        <v>122380.17721737262</v>
      </c>
      <c r="X677">
        <f ca="1">IF(V677=0,0,OFFSET(CreditMetrics!$B$474,MATCH(RAND(),OFFSET(CreditMetrics!$C$474,1,MATCH(BDClientes!V677,CreditMetrics!$B$475:$B$491,0),COUNT(CreditMetrics!$B$475:$B$491),1),1),0,1,1))</f>
        <v>90</v>
      </c>
      <c r="Z677" s="79"/>
    </row>
    <row r="678" spans="1:26" x14ac:dyDescent="0.25">
      <c r="A678" s="4">
        <v>677</v>
      </c>
      <c r="B678" s="5" t="s">
        <v>679</v>
      </c>
      <c r="C678" s="6">
        <v>0</v>
      </c>
      <c r="D678" s="6">
        <v>0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87</v>
      </c>
      <c r="S678" s="6">
        <v>87</v>
      </c>
      <c r="T678" s="6">
        <v>87</v>
      </c>
      <c r="U678" s="6">
        <v>87</v>
      </c>
      <c r="V678" s="6">
        <v>87</v>
      </c>
      <c r="W678" s="138">
        <v>272602.17063468456</v>
      </c>
      <c r="X678">
        <f ca="1">IF(V678=0,0,OFFSET(CreditMetrics!$B$474,MATCH(RAND(),OFFSET(CreditMetrics!$C$474,1,MATCH(BDClientes!V678,CreditMetrics!$B$475:$B$491,0),COUNT(CreditMetrics!$B$475:$B$491),1),1),0,1,1))</f>
        <v>85</v>
      </c>
      <c r="Z678" s="79"/>
    </row>
    <row r="679" spans="1:26" x14ac:dyDescent="0.25">
      <c r="A679" s="4">
        <v>678</v>
      </c>
      <c r="B679" s="5" t="s">
        <v>680</v>
      </c>
      <c r="C679" s="6">
        <v>0</v>
      </c>
      <c r="D679" s="6">
        <v>0</v>
      </c>
      <c r="E679" s="6">
        <v>0</v>
      </c>
      <c r="F679" s="6">
        <v>0</v>
      </c>
      <c r="G679" s="6">
        <v>0</v>
      </c>
      <c r="H679" s="6">
        <v>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0</v>
      </c>
      <c r="Q679" s="6">
        <v>0</v>
      </c>
      <c r="R679" s="6">
        <v>83</v>
      </c>
      <c r="S679" s="6">
        <v>83</v>
      </c>
      <c r="T679" s="6">
        <v>83</v>
      </c>
      <c r="U679" s="6">
        <v>83</v>
      </c>
      <c r="V679" s="6">
        <v>0</v>
      </c>
      <c r="X679">
        <f ca="1">IF(V679=0,0,OFFSET(CreditMetrics!$B$474,MATCH(RAND(),OFFSET(CreditMetrics!$C$474,1,MATCH(BDClientes!V679,CreditMetrics!$B$475:$B$491,0),COUNT(CreditMetrics!$B$475:$B$491),1),1),0,1,1))</f>
        <v>0</v>
      </c>
      <c r="Z679" s="79"/>
    </row>
    <row r="680" spans="1:26" x14ac:dyDescent="0.25">
      <c r="A680" s="4">
        <v>679</v>
      </c>
      <c r="B680" s="5" t="s">
        <v>681</v>
      </c>
      <c r="C680" s="6">
        <v>0</v>
      </c>
      <c r="D680" s="6">
        <v>0</v>
      </c>
      <c r="E680" s="6">
        <v>0</v>
      </c>
      <c r="F680" s="6">
        <v>0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87</v>
      </c>
      <c r="S680" s="6">
        <v>87</v>
      </c>
      <c r="T680" s="6">
        <v>87</v>
      </c>
      <c r="U680" s="6">
        <v>87</v>
      </c>
      <c r="V680" s="6">
        <v>87</v>
      </c>
      <c r="W680" s="138">
        <v>131048.38559657242</v>
      </c>
      <c r="X680">
        <f ca="1">IF(V680=0,0,OFFSET(CreditMetrics!$B$474,MATCH(RAND(),OFFSET(CreditMetrics!$C$474,1,MATCH(BDClientes!V680,CreditMetrics!$B$475:$B$491,0),COUNT(CreditMetrics!$B$475:$B$491),1),1),0,1,1))</f>
        <v>87</v>
      </c>
      <c r="Z680" s="79"/>
    </row>
    <row r="681" spans="1:26" x14ac:dyDescent="0.25">
      <c r="A681" s="4">
        <v>680</v>
      </c>
      <c r="B681" s="5" t="s">
        <v>682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6">
        <v>0</v>
      </c>
      <c r="O681" s="6">
        <v>0</v>
      </c>
      <c r="P681" s="6">
        <v>0</v>
      </c>
      <c r="Q681" s="6">
        <v>0</v>
      </c>
      <c r="R681" s="6">
        <v>65</v>
      </c>
      <c r="S681" s="6">
        <v>65</v>
      </c>
      <c r="T681" s="6">
        <v>70</v>
      </c>
      <c r="U681" s="6">
        <v>70</v>
      </c>
      <c r="V681" s="6">
        <v>70</v>
      </c>
      <c r="W681" s="138">
        <v>371372.93733019795</v>
      </c>
      <c r="X681">
        <f ca="1">IF(V681=0,0,OFFSET(CreditMetrics!$B$474,MATCH(RAND(),OFFSET(CreditMetrics!$C$474,1,MATCH(BDClientes!V681,CreditMetrics!$B$475:$B$491,0),COUNT(CreditMetrics!$B$475:$B$491),1),1),0,1,1))</f>
        <v>70</v>
      </c>
      <c r="Z681" s="79"/>
    </row>
    <row r="682" spans="1:26" x14ac:dyDescent="0.25">
      <c r="A682" s="4">
        <v>681</v>
      </c>
      <c r="B682" s="5" t="s">
        <v>683</v>
      </c>
      <c r="C682" s="6">
        <v>0</v>
      </c>
      <c r="D682" s="6">
        <v>0</v>
      </c>
      <c r="E682" s="6">
        <v>0</v>
      </c>
      <c r="F682" s="6">
        <v>0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83</v>
      </c>
      <c r="S682" s="6">
        <v>85</v>
      </c>
      <c r="T682" s="6">
        <v>85</v>
      </c>
      <c r="U682" s="6">
        <v>83</v>
      </c>
      <c r="V682" s="6">
        <v>83</v>
      </c>
      <c r="W682" s="138">
        <v>178208.11770534355</v>
      </c>
      <c r="X682">
        <f ca="1">IF(V682=0,0,OFFSET(CreditMetrics!$B$474,MATCH(RAND(),OFFSET(CreditMetrics!$C$474,1,MATCH(BDClientes!V682,CreditMetrics!$B$475:$B$491,0),COUNT(CreditMetrics!$B$475:$B$491),1),1),0,1,1))</f>
        <v>83</v>
      </c>
      <c r="Z682" s="79"/>
    </row>
    <row r="683" spans="1:26" x14ac:dyDescent="0.25">
      <c r="A683" s="4">
        <v>682</v>
      </c>
      <c r="B683" s="5" t="s">
        <v>684</v>
      </c>
      <c r="C683" s="6">
        <v>0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6">
        <v>0</v>
      </c>
      <c r="O683" s="6">
        <v>0</v>
      </c>
      <c r="P683" s="6">
        <v>0</v>
      </c>
      <c r="Q683" s="6">
        <v>0</v>
      </c>
      <c r="R683" s="6">
        <v>83</v>
      </c>
      <c r="S683" s="6">
        <v>83</v>
      </c>
      <c r="T683" s="6">
        <v>80</v>
      </c>
      <c r="U683" s="6">
        <v>80</v>
      </c>
      <c r="V683" s="6">
        <v>80</v>
      </c>
      <c r="W683" s="138">
        <v>230607.09124887665</v>
      </c>
      <c r="X683">
        <f ca="1">IF(V683=0,0,OFFSET(CreditMetrics!$B$474,MATCH(RAND(),OFFSET(CreditMetrics!$C$474,1,MATCH(BDClientes!V683,CreditMetrics!$B$475:$B$491,0),COUNT(CreditMetrics!$B$475:$B$491),1),1),0,1,1))</f>
        <v>77</v>
      </c>
      <c r="Z683" s="79"/>
    </row>
    <row r="684" spans="1:26" x14ac:dyDescent="0.25">
      <c r="A684" s="4">
        <v>683</v>
      </c>
      <c r="B684" s="5" t="s">
        <v>685</v>
      </c>
      <c r="C684" s="6">
        <v>0</v>
      </c>
      <c r="D684" s="6">
        <v>0</v>
      </c>
      <c r="E684" s="6">
        <v>0</v>
      </c>
      <c r="F684" s="6">
        <v>0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X684">
        <f ca="1">IF(V684=0,0,OFFSET(CreditMetrics!$B$474,MATCH(RAND(),OFFSET(CreditMetrics!$C$474,1,MATCH(BDClientes!V684,CreditMetrics!$B$475:$B$491,0),COUNT(CreditMetrics!$B$475:$B$491),1),1),0,1,1))</f>
        <v>0</v>
      </c>
      <c r="Z684" s="79"/>
    </row>
    <row r="685" spans="1:26" x14ac:dyDescent="0.25">
      <c r="A685" s="4">
        <v>684</v>
      </c>
      <c r="B685" s="5" t="s">
        <v>686</v>
      </c>
      <c r="C685" s="6">
        <v>0</v>
      </c>
      <c r="D685" s="6">
        <v>0</v>
      </c>
      <c r="E685" s="6">
        <v>0</v>
      </c>
      <c r="F685" s="6">
        <v>0</v>
      </c>
      <c r="G685" s="6">
        <v>0</v>
      </c>
      <c r="H685" s="6">
        <v>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6">
        <v>0</v>
      </c>
      <c r="O685" s="6">
        <v>0</v>
      </c>
      <c r="P685" s="6">
        <v>0</v>
      </c>
      <c r="Q685" s="6">
        <v>0</v>
      </c>
      <c r="R685" s="6">
        <v>83</v>
      </c>
      <c r="S685" s="6">
        <v>83</v>
      </c>
      <c r="T685" s="6">
        <v>83</v>
      </c>
      <c r="U685" s="6">
        <v>83</v>
      </c>
      <c r="V685" s="6">
        <v>83</v>
      </c>
      <c r="W685" s="138">
        <v>2138351.9164251015</v>
      </c>
      <c r="X685">
        <f ca="1">IF(V685=0,0,OFFSET(CreditMetrics!$B$474,MATCH(RAND(),OFFSET(CreditMetrics!$C$474,1,MATCH(BDClientes!V685,CreditMetrics!$B$475:$B$491,0),COUNT(CreditMetrics!$B$475:$B$491),1),1),0,1,1))</f>
        <v>80</v>
      </c>
      <c r="Z685" s="79"/>
    </row>
    <row r="686" spans="1:26" x14ac:dyDescent="0.25">
      <c r="A686" s="4">
        <v>685</v>
      </c>
      <c r="B686" s="5" t="s">
        <v>687</v>
      </c>
      <c r="C686" s="6">
        <v>0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83</v>
      </c>
      <c r="S686" s="6">
        <v>83</v>
      </c>
      <c r="T686" s="6">
        <v>83</v>
      </c>
      <c r="U686" s="6">
        <v>83</v>
      </c>
      <c r="V686" s="6">
        <v>83</v>
      </c>
      <c r="W686" s="138">
        <v>2201693.0714535248</v>
      </c>
      <c r="X686">
        <f ca="1">IF(V686=0,0,OFFSET(CreditMetrics!$B$474,MATCH(RAND(),OFFSET(CreditMetrics!$C$474,1,MATCH(BDClientes!V686,CreditMetrics!$B$475:$B$491,0),COUNT(CreditMetrics!$B$475:$B$491),1),1),0,1,1))</f>
        <v>83</v>
      </c>
      <c r="Z686" s="79"/>
    </row>
    <row r="687" spans="1:26" x14ac:dyDescent="0.25">
      <c r="A687" s="4">
        <v>686</v>
      </c>
      <c r="B687" s="5" t="s">
        <v>688</v>
      </c>
      <c r="C687" s="6">
        <v>0</v>
      </c>
      <c r="D687" s="6">
        <v>0</v>
      </c>
      <c r="E687" s="6">
        <v>0</v>
      </c>
      <c r="F687" s="6">
        <v>0</v>
      </c>
      <c r="G687" s="6">
        <v>0</v>
      </c>
      <c r="H687" s="6">
        <v>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6">
        <v>0</v>
      </c>
      <c r="O687" s="6">
        <v>0</v>
      </c>
      <c r="P687" s="6">
        <v>0</v>
      </c>
      <c r="Q687" s="6">
        <v>0</v>
      </c>
      <c r="R687" s="6">
        <v>85</v>
      </c>
      <c r="S687" s="6">
        <v>0</v>
      </c>
      <c r="T687" s="6">
        <v>85</v>
      </c>
      <c r="U687" s="6">
        <v>83</v>
      </c>
      <c r="V687" s="6">
        <v>0</v>
      </c>
      <c r="X687">
        <f ca="1">IF(V687=0,0,OFFSET(CreditMetrics!$B$474,MATCH(RAND(),OFFSET(CreditMetrics!$C$474,1,MATCH(BDClientes!V687,CreditMetrics!$B$475:$B$491,0),COUNT(CreditMetrics!$B$475:$B$491),1),1),0,1,1))</f>
        <v>0</v>
      </c>
      <c r="Z687" s="79"/>
    </row>
    <row r="688" spans="1:26" x14ac:dyDescent="0.25">
      <c r="A688" s="4">
        <v>687</v>
      </c>
      <c r="B688" s="5" t="s">
        <v>689</v>
      </c>
      <c r="C688" s="6">
        <v>0</v>
      </c>
      <c r="D688" s="6">
        <v>0</v>
      </c>
      <c r="E688" s="6">
        <v>0</v>
      </c>
      <c r="F688" s="6">
        <v>0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87</v>
      </c>
      <c r="S688" s="6">
        <v>87</v>
      </c>
      <c r="T688" s="6">
        <v>87</v>
      </c>
      <c r="U688" s="6">
        <v>87</v>
      </c>
      <c r="V688" s="6">
        <v>87</v>
      </c>
      <c r="W688" s="138">
        <v>287644.23201279895</v>
      </c>
      <c r="X688">
        <f ca="1">IF(V688=0,0,OFFSET(CreditMetrics!$B$474,MATCH(RAND(),OFFSET(CreditMetrics!$C$474,1,MATCH(BDClientes!V688,CreditMetrics!$B$475:$B$491,0),COUNT(CreditMetrics!$B$475:$B$491),1),1),0,1,1))</f>
        <v>87</v>
      </c>
      <c r="Z688" s="79"/>
    </row>
    <row r="689" spans="1:26" x14ac:dyDescent="0.25">
      <c r="A689" s="4">
        <v>688</v>
      </c>
      <c r="B689" s="5" t="s">
        <v>690</v>
      </c>
      <c r="C689" s="6">
        <v>0</v>
      </c>
      <c r="D689" s="6">
        <v>0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0</v>
      </c>
      <c r="Q689" s="6">
        <v>0</v>
      </c>
      <c r="R689" s="6">
        <v>80</v>
      </c>
      <c r="S689" s="6">
        <v>80</v>
      </c>
      <c r="T689" s="6">
        <v>83</v>
      </c>
      <c r="U689" s="6">
        <v>83</v>
      </c>
      <c r="V689" s="6">
        <v>83</v>
      </c>
      <c r="W689" s="138">
        <v>236431.33413758117</v>
      </c>
      <c r="X689">
        <f ca="1">IF(V689=0,0,OFFSET(CreditMetrics!$B$474,MATCH(RAND(),OFFSET(CreditMetrics!$C$474,1,MATCH(BDClientes!V689,CreditMetrics!$B$475:$B$491,0),COUNT(CreditMetrics!$B$475:$B$491),1),1),0,1,1))</f>
        <v>73</v>
      </c>
      <c r="Z689" s="79"/>
    </row>
    <row r="690" spans="1:26" x14ac:dyDescent="0.25">
      <c r="A690" s="4">
        <v>689</v>
      </c>
      <c r="B690" s="5" t="s">
        <v>691</v>
      </c>
      <c r="C690" s="6">
        <v>0</v>
      </c>
      <c r="D690" s="6">
        <v>0</v>
      </c>
      <c r="E690" s="6">
        <v>0</v>
      </c>
      <c r="F690" s="6">
        <v>0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85</v>
      </c>
      <c r="S690" s="6">
        <v>83</v>
      </c>
      <c r="T690" s="6">
        <v>85</v>
      </c>
      <c r="U690" s="6">
        <v>87</v>
      </c>
      <c r="V690" s="6">
        <v>87</v>
      </c>
      <c r="W690" s="138">
        <v>111538.18160208166</v>
      </c>
      <c r="X690">
        <f ca="1">IF(V690=0,0,OFFSET(CreditMetrics!$B$474,MATCH(RAND(),OFFSET(CreditMetrics!$C$474,1,MATCH(BDClientes!V690,CreditMetrics!$B$475:$B$491,0),COUNT(CreditMetrics!$B$475:$B$491),1),1),0,1,1))</f>
        <v>77</v>
      </c>
      <c r="Z690" s="79"/>
    </row>
    <row r="691" spans="1:26" x14ac:dyDescent="0.25">
      <c r="A691" s="4">
        <v>690</v>
      </c>
      <c r="B691" s="5" t="s">
        <v>692</v>
      </c>
      <c r="C691" s="6">
        <v>0</v>
      </c>
      <c r="D691" s="6">
        <v>0</v>
      </c>
      <c r="E691" s="6">
        <v>0</v>
      </c>
      <c r="F691" s="6">
        <v>0</v>
      </c>
      <c r="G691" s="6">
        <v>0</v>
      </c>
      <c r="H691" s="6">
        <v>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6">
        <v>0</v>
      </c>
      <c r="O691" s="6">
        <v>0</v>
      </c>
      <c r="P691" s="6">
        <v>0</v>
      </c>
      <c r="Q691" s="6">
        <v>0</v>
      </c>
      <c r="R691" s="6">
        <v>90</v>
      </c>
      <c r="S691" s="6">
        <v>0</v>
      </c>
      <c r="T691" s="6">
        <v>0</v>
      </c>
      <c r="U691" s="6">
        <v>0</v>
      </c>
      <c r="V691" s="6">
        <v>0</v>
      </c>
      <c r="X691">
        <f ca="1">IF(V691=0,0,OFFSET(CreditMetrics!$B$474,MATCH(RAND(),OFFSET(CreditMetrics!$C$474,1,MATCH(BDClientes!V691,CreditMetrics!$B$475:$B$491,0),COUNT(CreditMetrics!$B$475:$B$491),1),1),0,1,1))</f>
        <v>0</v>
      </c>
      <c r="Z691" s="79"/>
    </row>
    <row r="692" spans="1:26" x14ac:dyDescent="0.25">
      <c r="A692" s="4">
        <v>691</v>
      </c>
      <c r="B692" s="5" t="s">
        <v>693</v>
      </c>
      <c r="C692" s="6">
        <v>0</v>
      </c>
      <c r="D692" s="6">
        <v>0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80</v>
      </c>
      <c r="S692" s="6">
        <v>80</v>
      </c>
      <c r="T692" s="6">
        <v>83</v>
      </c>
      <c r="U692" s="6">
        <v>80</v>
      </c>
      <c r="V692" s="6">
        <v>80</v>
      </c>
      <c r="W692" s="138">
        <v>2247970.3622880238</v>
      </c>
      <c r="X692">
        <f ca="1">IF(V692=0,0,OFFSET(CreditMetrics!$B$474,MATCH(RAND(),OFFSET(CreditMetrics!$C$474,1,MATCH(BDClientes!V692,CreditMetrics!$B$475:$B$491,0),COUNT(CreditMetrics!$B$475:$B$491),1),1),0,1,1))</f>
        <v>80</v>
      </c>
      <c r="Z692" s="79"/>
    </row>
    <row r="693" spans="1:26" x14ac:dyDescent="0.25">
      <c r="A693" s="4">
        <v>692</v>
      </c>
      <c r="B693" s="5" t="s">
        <v>694</v>
      </c>
      <c r="C693" s="6">
        <v>0</v>
      </c>
      <c r="D693" s="6">
        <v>0</v>
      </c>
      <c r="E693" s="6">
        <v>0</v>
      </c>
      <c r="F693" s="6">
        <v>0</v>
      </c>
      <c r="G693" s="6">
        <v>0</v>
      </c>
      <c r="H693" s="6">
        <v>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0</v>
      </c>
      <c r="Q693" s="6">
        <v>0</v>
      </c>
      <c r="R693" s="6">
        <v>80</v>
      </c>
      <c r="S693" s="6">
        <v>83</v>
      </c>
      <c r="T693" s="6">
        <v>83</v>
      </c>
      <c r="U693" s="6">
        <v>80</v>
      </c>
      <c r="V693" s="6">
        <v>80</v>
      </c>
      <c r="W693" s="138">
        <v>132347.4754541697</v>
      </c>
      <c r="X693">
        <f ca="1">IF(V693=0,0,OFFSET(CreditMetrics!$B$474,MATCH(RAND(),OFFSET(CreditMetrics!$C$474,1,MATCH(BDClientes!V693,CreditMetrics!$B$475:$B$491,0),COUNT(CreditMetrics!$B$475:$B$491),1),1),0,1,1))</f>
        <v>83</v>
      </c>
      <c r="Z693" s="79"/>
    </row>
    <row r="694" spans="1:26" x14ac:dyDescent="0.25">
      <c r="A694" s="4">
        <v>693</v>
      </c>
      <c r="B694" s="5" t="s">
        <v>695</v>
      </c>
      <c r="C694" s="6">
        <v>0</v>
      </c>
      <c r="D694" s="6">
        <v>0</v>
      </c>
      <c r="E694" s="6">
        <v>0</v>
      </c>
      <c r="F694" s="6">
        <v>0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83</v>
      </c>
      <c r="S694" s="6">
        <v>83</v>
      </c>
      <c r="T694" s="6">
        <v>83</v>
      </c>
      <c r="U694" s="6">
        <v>80</v>
      </c>
      <c r="V694" s="6">
        <v>80</v>
      </c>
      <c r="W694" s="138">
        <v>262722.57839082164</v>
      </c>
      <c r="X694">
        <f ca="1">IF(V694=0,0,OFFSET(CreditMetrics!$B$474,MATCH(RAND(),OFFSET(CreditMetrics!$C$474,1,MATCH(BDClientes!V694,CreditMetrics!$B$475:$B$491,0),COUNT(CreditMetrics!$B$475:$B$491),1),1),0,1,1))</f>
        <v>85</v>
      </c>
      <c r="Z694" s="79"/>
    </row>
    <row r="695" spans="1:26" x14ac:dyDescent="0.25">
      <c r="A695" s="4">
        <v>694</v>
      </c>
      <c r="B695" s="5" t="s">
        <v>696</v>
      </c>
      <c r="C695" s="6">
        <v>0</v>
      </c>
      <c r="D695" s="6">
        <v>0</v>
      </c>
      <c r="E695" s="6">
        <v>0</v>
      </c>
      <c r="F695" s="6">
        <v>0</v>
      </c>
      <c r="G695" s="6">
        <v>0</v>
      </c>
      <c r="H695" s="6">
        <v>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6">
        <v>0</v>
      </c>
      <c r="O695" s="6">
        <v>0</v>
      </c>
      <c r="P695" s="6">
        <v>0</v>
      </c>
      <c r="Q695" s="6">
        <v>0</v>
      </c>
      <c r="R695" s="6">
        <v>75</v>
      </c>
      <c r="S695" s="6">
        <v>75</v>
      </c>
      <c r="T695" s="6">
        <v>75</v>
      </c>
      <c r="U695" s="6">
        <v>73</v>
      </c>
      <c r="V695" s="6">
        <v>73</v>
      </c>
      <c r="W695" s="138">
        <v>174453.62718173466</v>
      </c>
      <c r="X695">
        <f ca="1">IF(V695=0,0,OFFSET(CreditMetrics!$B$474,MATCH(RAND(),OFFSET(CreditMetrics!$C$474,1,MATCH(BDClientes!V695,CreditMetrics!$B$475:$B$491,0),COUNT(CreditMetrics!$B$475:$B$491),1),1),0,1,1))</f>
        <v>73</v>
      </c>
      <c r="Z695" s="79"/>
    </row>
    <row r="696" spans="1:26" x14ac:dyDescent="0.25">
      <c r="A696" s="4">
        <v>695</v>
      </c>
      <c r="B696" s="5" t="s">
        <v>697</v>
      </c>
      <c r="C696" s="6">
        <v>0</v>
      </c>
      <c r="D696" s="6">
        <v>0</v>
      </c>
      <c r="E696" s="6">
        <v>0</v>
      </c>
      <c r="F696" s="6">
        <v>0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85</v>
      </c>
      <c r="S696" s="6">
        <v>85</v>
      </c>
      <c r="T696" s="6">
        <v>83</v>
      </c>
      <c r="U696" s="6">
        <v>0</v>
      </c>
      <c r="V696" s="6">
        <v>85</v>
      </c>
      <c r="W696" s="138">
        <v>154969.44412070132</v>
      </c>
      <c r="X696">
        <f ca="1">IF(V696=0,0,OFFSET(CreditMetrics!$B$474,MATCH(RAND(),OFFSET(CreditMetrics!$C$474,1,MATCH(BDClientes!V696,CreditMetrics!$B$475:$B$491,0),COUNT(CreditMetrics!$B$475:$B$491),1),1),0,1,1))</f>
        <v>83</v>
      </c>
      <c r="Z696" s="79"/>
    </row>
    <row r="697" spans="1:26" x14ac:dyDescent="0.25">
      <c r="A697" s="4">
        <v>696</v>
      </c>
      <c r="B697" s="5" t="s">
        <v>698</v>
      </c>
      <c r="C697" s="6">
        <v>0</v>
      </c>
      <c r="D697" s="6">
        <v>0</v>
      </c>
      <c r="E697" s="6">
        <v>0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6">
        <v>0</v>
      </c>
      <c r="O697" s="6">
        <v>0</v>
      </c>
      <c r="P697" s="6">
        <v>0</v>
      </c>
      <c r="Q697" s="6">
        <v>0</v>
      </c>
      <c r="R697" s="6">
        <v>75</v>
      </c>
      <c r="S697" s="6">
        <v>75</v>
      </c>
      <c r="T697" s="6">
        <v>77</v>
      </c>
      <c r="U697" s="6">
        <v>80</v>
      </c>
      <c r="V697" s="6">
        <v>77</v>
      </c>
      <c r="W697" s="138">
        <v>125616.57670021889</v>
      </c>
      <c r="X697">
        <f ca="1">IF(V697=0,0,OFFSET(CreditMetrics!$B$474,MATCH(RAND(),OFFSET(CreditMetrics!$C$474,1,MATCH(BDClientes!V697,CreditMetrics!$B$475:$B$491,0),COUNT(CreditMetrics!$B$475:$B$491),1),1),0,1,1))</f>
        <v>77</v>
      </c>
      <c r="Z697" s="79"/>
    </row>
    <row r="698" spans="1:26" x14ac:dyDescent="0.25">
      <c r="A698" s="4">
        <v>697</v>
      </c>
      <c r="B698" s="5" t="s">
        <v>699</v>
      </c>
      <c r="C698" s="6">
        <v>0</v>
      </c>
      <c r="D698" s="6">
        <v>0</v>
      </c>
      <c r="E698" s="6">
        <v>0</v>
      </c>
      <c r="F698" s="6">
        <v>0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85</v>
      </c>
      <c r="S698" s="6">
        <v>87</v>
      </c>
      <c r="T698" s="6">
        <v>87</v>
      </c>
      <c r="U698" s="6">
        <v>87</v>
      </c>
      <c r="V698" s="6">
        <v>85</v>
      </c>
      <c r="W698" s="138">
        <v>289199.60405002721</v>
      </c>
      <c r="X698">
        <f ca="1">IF(V698=0,0,OFFSET(CreditMetrics!$B$474,MATCH(RAND(),OFFSET(CreditMetrics!$C$474,1,MATCH(BDClientes!V698,CreditMetrics!$B$475:$B$491,0),COUNT(CreditMetrics!$B$475:$B$491),1),1),0,1,1))</f>
        <v>83</v>
      </c>
      <c r="Z698" s="79"/>
    </row>
    <row r="699" spans="1:26" x14ac:dyDescent="0.25">
      <c r="A699" s="4">
        <v>698</v>
      </c>
      <c r="B699" s="5" t="s">
        <v>700</v>
      </c>
      <c r="C699" s="6">
        <v>0</v>
      </c>
      <c r="D699" s="6">
        <v>0</v>
      </c>
      <c r="E699" s="6">
        <v>0</v>
      </c>
      <c r="F699" s="6">
        <v>0</v>
      </c>
      <c r="G699" s="6">
        <v>0</v>
      </c>
      <c r="H699" s="6">
        <v>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6">
        <v>0</v>
      </c>
      <c r="O699" s="6">
        <v>0</v>
      </c>
      <c r="P699" s="6">
        <v>0</v>
      </c>
      <c r="Q699" s="6">
        <v>0</v>
      </c>
      <c r="R699" s="6">
        <v>87</v>
      </c>
      <c r="S699" s="6">
        <v>87</v>
      </c>
      <c r="T699" s="6">
        <v>87</v>
      </c>
      <c r="U699" s="6">
        <v>85</v>
      </c>
      <c r="V699" s="6">
        <v>83</v>
      </c>
      <c r="W699" s="138">
        <v>185688.66772029613</v>
      </c>
      <c r="X699">
        <f ca="1">IF(V699=0,0,OFFSET(CreditMetrics!$B$474,MATCH(RAND(),OFFSET(CreditMetrics!$C$474,1,MATCH(BDClientes!V699,CreditMetrics!$B$475:$B$491,0),COUNT(CreditMetrics!$B$475:$B$491),1),1),0,1,1))</f>
        <v>80</v>
      </c>
      <c r="Z699" s="79"/>
    </row>
    <row r="700" spans="1:26" x14ac:dyDescent="0.25">
      <c r="A700" s="4">
        <v>699</v>
      </c>
      <c r="B700" s="5" t="s">
        <v>701</v>
      </c>
      <c r="C700" s="6">
        <v>0</v>
      </c>
      <c r="D700" s="6">
        <v>0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85</v>
      </c>
      <c r="S700" s="6">
        <v>85</v>
      </c>
      <c r="T700" s="6">
        <v>0</v>
      </c>
      <c r="U700" s="6">
        <v>0</v>
      </c>
      <c r="V700" s="6">
        <v>85</v>
      </c>
      <c r="W700" s="138">
        <v>170495.78034201029</v>
      </c>
      <c r="X700">
        <f ca="1">IF(V700=0,0,OFFSET(CreditMetrics!$B$474,MATCH(RAND(),OFFSET(CreditMetrics!$C$474,1,MATCH(BDClientes!V700,CreditMetrics!$B$475:$B$491,0),COUNT(CreditMetrics!$B$475:$B$491),1),1),0,1,1))</f>
        <v>85</v>
      </c>
      <c r="Z700" s="79"/>
    </row>
    <row r="701" spans="1:26" x14ac:dyDescent="0.25">
      <c r="A701" s="4">
        <v>700</v>
      </c>
      <c r="B701" s="5" t="s">
        <v>702</v>
      </c>
      <c r="C701" s="6">
        <v>0</v>
      </c>
      <c r="D701" s="6">
        <v>0</v>
      </c>
      <c r="E701" s="6">
        <v>0</v>
      </c>
      <c r="F701" s="6">
        <v>0</v>
      </c>
      <c r="G701" s="6">
        <v>0</v>
      </c>
      <c r="H701" s="6">
        <v>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0</v>
      </c>
      <c r="Q701" s="6">
        <v>0</v>
      </c>
      <c r="R701" s="6">
        <v>85</v>
      </c>
      <c r="S701" s="6">
        <v>85</v>
      </c>
      <c r="T701" s="6">
        <v>85</v>
      </c>
      <c r="U701" s="6">
        <v>85</v>
      </c>
      <c r="V701" s="6">
        <v>83</v>
      </c>
      <c r="W701" s="138">
        <v>179046.79041656764</v>
      </c>
      <c r="X701">
        <f ca="1">IF(V701=0,0,OFFSET(CreditMetrics!$B$474,MATCH(RAND(),OFFSET(CreditMetrics!$C$474,1,MATCH(BDClientes!V701,CreditMetrics!$B$475:$B$491,0),COUNT(CreditMetrics!$B$475:$B$491),1),1),0,1,1))</f>
        <v>80</v>
      </c>
      <c r="Z701" s="79"/>
    </row>
    <row r="702" spans="1:26" x14ac:dyDescent="0.25">
      <c r="A702" s="4">
        <v>701</v>
      </c>
      <c r="B702" s="5" t="s">
        <v>703</v>
      </c>
      <c r="C702" s="6">
        <v>0</v>
      </c>
      <c r="D702" s="6">
        <v>0</v>
      </c>
      <c r="E702" s="6">
        <v>0</v>
      </c>
      <c r="F702" s="6">
        <v>0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80</v>
      </c>
      <c r="S702" s="6">
        <v>83</v>
      </c>
      <c r="T702" s="6">
        <v>80</v>
      </c>
      <c r="U702" s="6">
        <v>80</v>
      </c>
      <c r="V702" s="6">
        <v>80</v>
      </c>
      <c r="W702" s="138">
        <v>115345.36236125078</v>
      </c>
      <c r="X702">
        <f ca="1">IF(V702=0,0,OFFSET(CreditMetrics!$B$474,MATCH(RAND(),OFFSET(CreditMetrics!$C$474,1,MATCH(BDClientes!V702,CreditMetrics!$B$475:$B$491,0),COUNT(CreditMetrics!$B$475:$B$491),1),1),0,1,1))</f>
        <v>83</v>
      </c>
      <c r="Z702" s="79"/>
    </row>
    <row r="703" spans="1:26" x14ac:dyDescent="0.25">
      <c r="A703" s="4">
        <v>702</v>
      </c>
      <c r="B703" s="5" t="s">
        <v>704</v>
      </c>
      <c r="C703" s="6">
        <v>0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85</v>
      </c>
      <c r="S703" s="6">
        <v>85</v>
      </c>
      <c r="T703" s="6">
        <v>85</v>
      </c>
      <c r="U703" s="6">
        <v>83</v>
      </c>
      <c r="V703" s="6">
        <v>85</v>
      </c>
      <c r="W703" s="138">
        <v>1072441.4779197006</v>
      </c>
      <c r="X703">
        <f ca="1">IF(V703=0,0,OFFSET(CreditMetrics!$B$474,MATCH(RAND(),OFFSET(CreditMetrics!$C$474,1,MATCH(BDClientes!V703,CreditMetrics!$B$475:$B$491,0),COUNT(CreditMetrics!$B$475:$B$491),1),1),0,1,1))</f>
        <v>83</v>
      </c>
      <c r="Z703" s="79"/>
    </row>
    <row r="704" spans="1:26" x14ac:dyDescent="0.25">
      <c r="A704" s="4">
        <v>703</v>
      </c>
      <c r="B704" s="5" t="s">
        <v>705</v>
      </c>
      <c r="C704" s="6">
        <v>0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80</v>
      </c>
      <c r="S704" s="6">
        <v>85</v>
      </c>
      <c r="T704" s="6">
        <v>83</v>
      </c>
      <c r="U704" s="6">
        <v>83</v>
      </c>
      <c r="V704" s="6">
        <v>85</v>
      </c>
      <c r="W704" s="138">
        <v>426592.91241830471</v>
      </c>
      <c r="X704">
        <f ca="1">IF(V704=0,0,OFFSET(CreditMetrics!$B$474,MATCH(RAND(),OFFSET(CreditMetrics!$C$474,1,MATCH(BDClientes!V704,CreditMetrics!$B$475:$B$491,0),COUNT(CreditMetrics!$B$475:$B$491),1),1),0,1,1))</f>
        <v>85</v>
      </c>
      <c r="Z704" s="79"/>
    </row>
    <row r="705" spans="1:26" x14ac:dyDescent="0.25">
      <c r="A705" s="4">
        <v>704</v>
      </c>
      <c r="B705" s="5" t="s">
        <v>706</v>
      </c>
      <c r="C705" s="6">
        <v>0</v>
      </c>
      <c r="D705" s="6">
        <v>0</v>
      </c>
      <c r="E705" s="6">
        <v>0</v>
      </c>
      <c r="F705" s="6">
        <v>0</v>
      </c>
      <c r="G705" s="6">
        <v>0</v>
      </c>
      <c r="H705" s="6">
        <v>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6">
        <v>0</v>
      </c>
      <c r="O705" s="6">
        <v>0</v>
      </c>
      <c r="P705" s="6">
        <v>0</v>
      </c>
      <c r="Q705" s="6">
        <v>0</v>
      </c>
      <c r="R705" s="6">
        <v>80</v>
      </c>
      <c r="S705" s="6">
        <v>80</v>
      </c>
      <c r="T705" s="6">
        <v>80</v>
      </c>
      <c r="U705" s="6">
        <v>80</v>
      </c>
      <c r="V705" s="6">
        <v>77</v>
      </c>
      <c r="W705" s="138">
        <v>138378.08732518172</v>
      </c>
      <c r="X705">
        <f ca="1">IF(V705=0,0,OFFSET(CreditMetrics!$B$474,MATCH(RAND(),OFFSET(CreditMetrics!$C$474,1,MATCH(BDClientes!V705,CreditMetrics!$B$475:$B$491,0),COUNT(CreditMetrics!$B$475:$B$491),1),1),0,1,1))</f>
        <v>80</v>
      </c>
      <c r="Z705" s="79"/>
    </row>
    <row r="706" spans="1:26" x14ac:dyDescent="0.25">
      <c r="A706" s="4">
        <v>705</v>
      </c>
      <c r="B706" s="5" t="s">
        <v>707</v>
      </c>
      <c r="C706" s="6">
        <v>0</v>
      </c>
      <c r="D706" s="6">
        <v>0</v>
      </c>
      <c r="E706" s="6">
        <v>0</v>
      </c>
      <c r="F706" s="6">
        <v>0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85</v>
      </c>
      <c r="S706" s="6">
        <v>85</v>
      </c>
      <c r="T706" s="6">
        <v>87</v>
      </c>
      <c r="U706" s="6">
        <v>87</v>
      </c>
      <c r="V706" s="6">
        <v>87</v>
      </c>
      <c r="W706" s="138">
        <v>189372.70304689649</v>
      </c>
      <c r="X706">
        <f ca="1">IF(V706=0,0,OFFSET(CreditMetrics!$B$474,MATCH(RAND(),OFFSET(CreditMetrics!$C$474,1,MATCH(BDClientes!V706,CreditMetrics!$B$475:$B$491,0),COUNT(CreditMetrics!$B$475:$B$491),1),1),0,1,1))</f>
        <v>80</v>
      </c>
      <c r="Z706" s="79"/>
    </row>
    <row r="707" spans="1:26" x14ac:dyDescent="0.25">
      <c r="A707" s="4">
        <v>706</v>
      </c>
      <c r="B707" s="5" t="s">
        <v>708</v>
      </c>
      <c r="C707" s="6">
        <v>0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6">
        <v>0</v>
      </c>
      <c r="O707" s="6">
        <v>0</v>
      </c>
      <c r="P707" s="6">
        <v>0</v>
      </c>
      <c r="Q707" s="6">
        <v>0</v>
      </c>
      <c r="R707" s="6">
        <v>73</v>
      </c>
      <c r="S707" s="6">
        <v>73</v>
      </c>
      <c r="T707" s="6">
        <v>70</v>
      </c>
      <c r="U707" s="6">
        <v>73</v>
      </c>
      <c r="V707" s="6">
        <v>75</v>
      </c>
      <c r="W707" s="138">
        <v>109324.36977462791</v>
      </c>
      <c r="X707">
        <f ca="1">IF(V707=0,0,OFFSET(CreditMetrics!$B$474,MATCH(RAND(),OFFSET(CreditMetrics!$C$474,1,MATCH(BDClientes!V707,CreditMetrics!$B$475:$B$491,0),COUNT(CreditMetrics!$B$475:$B$491),1),1),0,1,1))</f>
        <v>75</v>
      </c>
      <c r="Z707" s="79"/>
    </row>
    <row r="708" spans="1:26" x14ac:dyDescent="0.25">
      <c r="A708" s="4">
        <v>707</v>
      </c>
      <c r="B708" s="5" t="s">
        <v>709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83</v>
      </c>
      <c r="S708" s="6">
        <v>83</v>
      </c>
      <c r="T708" s="6">
        <v>83</v>
      </c>
      <c r="U708" s="6">
        <v>80</v>
      </c>
      <c r="V708" s="6">
        <v>80</v>
      </c>
      <c r="W708" s="138">
        <v>1501829.246386525</v>
      </c>
      <c r="X708">
        <f ca="1">IF(V708=0,0,OFFSET(CreditMetrics!$B$474,MATCH(RAND(),OFFSET(CreditMetrics!$C$474,1,MATCH(BDClientes!V708,CreditMetrics!$B$475:$B$491,0),COUNT(CreditMetrics!$B$475:$B$491),1),1),0,1,1))</f>
        <v>85</v>
      </c>
      <c r="Z708" s="79"/>
    </row>
    <row r="709" spans="1:26" x14ac:dyDescent="0.25">
      <c r="A709" s="4">
        <v>708</v>
      </c>
      <c r="B709" s="5" t="s">
        <v>710</v>
      </c>
      <c r="C709" s="6">
        <v>0</v>
      </c>
      <c r="D709" s="6">
        <v>0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0</v>
      </c>
      <c r="Q709" s="6">
        <v>0</v>
      </c>
      <c r="R709" s="6">
        <v>85</v>
      </c>
      <c r="S709" s="6">
        <v>85</v>
      </c>
      <c r="T709" s="6">
        <v>85</v>
      </c>
      <c r="U709" s="6">
        <v>85</v>
      </c>
      <c r="V709" s="6">
        <v>85</v>
      </c>
      <c r="W709" s="138">
        <v>261929.93574980416</v>
      </c>
      <c r="X709">
        <f ca="1">IF(V709=0,0,OFFSET(CreditMetrics!$B$474,MATCH(RAND(),OFFSET(CreditMetrics!$C$474,1,MATCH(BDClientes!V709,CreditMetrics!$B$475:$B$491,0),COUNT(CreditMetrics!$B$475:$B$491),1),1),0,1,1))</f>
        <v>22</v>
      </c>
      <c r="Z709" s="79"/>
    </row>
    <row r="710" spans="1:26" x14ac:dyDescent="0.25">
      <c r="A710" s="4">
        <v>709</v>
      </c>
      <c r="B710" s="5" t="s">
        <v>711</v>
      </c>
      <c r="C710" s="6">
        <v>0</v>
      </c>
      <c r="D710" s="6">
        <v>0</v>
      </c>
      <c r="E710" s="6">
        <v>0</v>
      </c>
      <c r="F710" s="6">
        <v>0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80</v>
      </c>
      <c r="S710" s="6">
        <v>80</v>
      </c>
      <c r="T710" s="6">
        <v>80</v>
      </c>
      <c r="U710" s="6">
        <v>80</v>
      </c>
      <c r="V710" s="6">
        <v>0</v>
      </c>
      <c r="X710">
        <f ca="1">IF(V710=0,0,OFFSET(CreditMetrics!$B$474,MATCH(RAND(),OFFSET(CreditMetrics!$C$474,1,MATCH(BDClientes!V710,CreditMetrics!$B$475:$B$491,0),COUNT(CreditMetrics!$B$475:$B$491),1),1),0,1,1))</f>
        <v>0</v>
      </c>
      <c r="Z710" s="79"/>
    </row>
    <row r="711" spans="1:26" x14ac:dyDescent="0.25">
      <c r="A711" s="4">
        <v>710</v>
      </c>
      <c r="B711" s="5" t="s">
        <v>712</v>
      </c>
      <c r="C711" s="6">
        <v>0</v>
      </c>
      <c r="D711" s="6">
        <v>0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6">
        <v>0</v>
      </c>
      <c r="O711" s="6">
        <v>0</v>
      </c>
      <c r="P711" s="6">
        <v>0</v>
      </c>
      <c r="Q711" s="6">
        <v>0</v>
      </c>
      <c r="R711" s="6">
        <v>65</v>
      </c>
      <c r="S711" s="6">
        <v>65</v>
      </c>
      <c r="T711" s="6">
        <v>65</v>
      </c>
      <c r="U711" s="6">
        <v>0</v>
      </c>
      <c r="V711" s="6">
        <v>0</v>
      </c>
      <c r="X711">
        <f ca="1">IF(V711=0,0,OFFSET(CreditMetrics!$B$474,MATCH(RAND(),OFFSET(CreditMetrics!$C$474,1,MATCH(BDClientes!V711,CreditMetrics!$B$475:$B$491,0),COUNT(CreditMetrics!$B$475:$B$491),1),1),0,1,1))</f>
        <v>0</v>
      </c>
      <c r="Z711" s="79"/>
    </row>
    <row r="712" spans="1:26" x14ac:dyDescent="0.25">
      <c r="A712" s="4">
        <v>711</v>
      </c>
      <c r="B712" s="5" t="s">
        <v>713</v>
      </c>
      <c r="C712" s="6">
        <v>0</v>
      </c>
      <c r="D712" s="6">
        <v>0</v>
      </c>
      <c r="E712" s="6">
        <v>0</v>
      </c>
      <c r="F712" s="6">
        <v>0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83</v>
      </c>
      <c r="S712" s="6">
        <v>80</v>
      </c>
      <c r="T712" s="6">
        <v>80</v>
      </c>
      <c r="U712" s="6">
        <v>70</v>
      </c>
      <c r="V712" s="6">
        <v>73</v>
      </c>
      <c r="W712" s="138">
        <v>382330.22101871949</v>
      </c>
      <c r="X712">
        <f ca="1">IF(V712=0,0,OFFSET(CreditMetrics!$B$474,MATCH(RAND(),OFFSET(CreditMetrics!$C$474,1,MATCH(BDClientes!V712,CreditMetrics!$B$475:$B$491,0),COUNT(CreditMetrics!$B$475:$B$491),1),1),0,1,1))</f>
        <v>73</v>
      </c>
      <c r="Z712" s="79"/>
    </row>
    <row r="713" spans="1:26" x14ac:dyDescent="0.25">
      <c r="A713" s="4">
        <v>712</v>
      </c>
      <c r="B713" s="5" t="s">
        <v>714</v>
      </c>
      <c r="C713" s="6">
        <v>0</v>
      </c>
      <c r="D713" s="6">
        <v>0</v>
      </c>
      <c r="E713" s="6">
        <v>0</v>
      </c>
      <c r="F713" s="6">
        <v>0</v>
      </c>
      <c r="G713" s="6">
        <v>0</v>
      </c>
      <c r="H713" s="6">
        <v>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85</v>
      </c>
      <c r="S713" s="6">
        <v>0</v>
      </c>
      <c r="T713" s="6">
        <v>83</v>
      </c>
      <c r="U713" s="6">
        <v>0</v>
      </c>
      <c r="V713" s="6">
        <v>0</v>
      </c>
      <c r="X713">
        <f ca="1">IF(V713=0,0,OFFSET(CreditMetrics!$B$474,MATCH(RAND(),OFFSET(CreditMetrics!$C$474,1,MATCH(BDClientes!V713,CreditMetrics!$B$475:$B$491,0),COUNT(CreditMetrics!$B$475:$B$491),1),1),0,1,1))</f>
        <v>0</v>
      </c>
      <c r="Z713" s="79"/>
    </row>
    <row r="714" spans="1:26" x14ac:dyDescent="0.25">
      <c r="A714" s="4">
        <v>713</v>
      </c>
      <c r="B714" s="5" t="s">
        <v>715</v>
      </c>
      <c r="C714" s="6">
        <v>0</v>
      </c>
      <c r="D714" s="6">
        <v>0</v>
      </c>
      <c r="E714" s="6">
        <v>0</v>
      </c>
      <c r="F714" s="6">
        <v>0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85</v>
      </c>
      <c r="S714" s="6">
        <v>85</v>
      </c>
      <c r="T714" s="6">
        <v>0</v>
      </c>
      <c r="U714" s="6">
        <v>0</v>
      </c>
      <c r="V714" s="6">
        <v>0</v>
      </c>
      <c r="X714">
        <f ca="1">IF(V714=0,0,OFFSET(CreditMetrics!$B$474,MATCH(RAND(),OFFSET(CreditMetrics!$C$474,1,MATCH(BDClientes!V714,CreditMetrics!$B$475:$B$491,0),COUNT(CreditMetrics!$B$475:$B$491),1),1),0,1,1))</f>
        <v>0</v>
      </c>
      <c r="Z714" s="79"/>
    </row>
    <row r="715" spans="1:26" x14ac:dyDescent="0.25">
      <c r="A715" s="4">
        <v>714</v>
      </c>
      <c r="B715" s="5" t="s">
        <v>716</v>
      </c>
      <c r="C715" s="6">
        <v>0</v>
      </c>
      <c r="D715" s="6">
        <v>0</v>
      </c>
      <c r="E715" s="6">
        <v>0</v>
      </c>
      <c r="F715" s="6">
        <v>0</v>
      </c>
      <c r="G715" s="6">
        <v>0</v>
      </c>
      <c r="H715" s="6">
        <v>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6">
        <v>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X715">
        <f ca="1">IF(V715=0,0,OFFSET(CreditMetrics!$B$474,MATCH(RAND(),OFFSET(CreditMetrics!$C$474,1,MATCH(BDClientes!V715,CreditMetrics!$B$475:$B$491,0),COUNT(CreditMetrics!$B$475:$B$491),1),1),0,1,1))</f>
        <v>0</v>
      </c>
      <c r="Z715" s="79"/>
    </row>
    <row r="716" spans="1:26" x14ac:dyDescent="0.25">
      <c r="A716" s="4">
        <v>715</v>
      </c>
      <c r="B716" s="5" t="s">
        <v>717</v>
      </c>
      <c r="C716" s="6">
        <v>0</v>
      </c>
      <c r="D716" s="6">
        <v>0</v>
      </c>
      <c r="E716" s="6">
        <v>0</v>
      </c>
      <c r="F716" s="6">
        <v>0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85</v>
      </c>
      <c r="S716" s="6">
        <v>80</v>
      </c>
      <c r="T716" s="6">
        <v>0</v>
      </c>
      <c r="U716" s="6">
        <v>0</v>
      </c>
      <c r="V716" s="6">
        <v>0</v>
      </c>
      <c r="X716">
        <f ca="1">IF(V716=0,0,OFFSET(CreditMetrics!$B$474,MATCH(RAND(),OFFSET(CreditMetrics!$C$474,1,MATCH(BDClientes!V716,CreditMetrics!$B$475:$B$491,0),COUNT(CreditMetrics!$B$475:$B$491),1),1),0,1,1))</f>
        <v>0</v>
      </c>
      <c r="Z716" s="79"/>
    </row>
    <row r="717" spans="1:26" x14ac:dyDescent="0.25">
      <c r="A717" s="4">
        <v>716</v>
      </c>
      <c r="B717" s="5" t="s">
        <v>718</v>
      </c>
      <c r="C717" s="6">
        <v>0</v>
      </c>
      <c r="D717" s="6">
        <v>0</v>
      </c>
      <c r="E717" s="6">
        <v>0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6">
        <v>0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X717">
        <f ca="1">IF(V717=0,0,OFFSET(CreditMetrics!$B$474,MATCH(RAND(),OFFSET(CreditMetrics!$C$474,1,MATCH(BDClientes!V717,CreditMetrics!$B$475:$B$491,0),COUNT(CreditMetrics!$B$475:$B$491),1),1),0,1,1))</f>
        <v>0</v>
      </c>
      <c r="Z717" s="79"/>
    </row>
    <row r="718" spans="1:26" x14ac:dyDescent="0.25">
      <c r="A718" s="4">
        <v>717</v>
      </c>
      <c r="B718" s="5" t="s">
        <v>719</v>
      </c>
      <c r="C718" s="6">
        <v>0</v>
      </c>
      <c r="D718" s="6">
        <v>0</v>
      </c>
      <c r="E718" s="6">
        <v>0</v>
      </c>
      <c r="F718" s="6">
        <v>0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85</v>
      </c>
      <c r="S718" s="6">
        <v>0</v>
      </c>
      <c r="T718" s="6">
        <v>80</v>
      </c>
      <c r="U718" s="6">
        <v>0</v>
      </c>
      <c r="V718" s="6">
        <v>0</v>
      </c>
      <c r="X718">
        <f ca="1">IF(V718=0,0,OFFSET(CreditMetrics!$B$474,MATCH(RAND(),OFFSET(CreditMetrics!$C$474,1,MATCH(BDClientes!V718,CreditMetrics!$B$475:$B$491,0),COUNT(CreditMetrics!$B$475:$B$491),1),1),0,1,1))</f>
        <v>0</v>
      </c>
      <c r="Z718" s="79"/>
    </row>
    <row r="719" spans="1:26" x14ac:dyDescent="0.25">
      <c r="A719" s="4">
        <v>718</v>
      </c>
      <c r="B719" s="5" t="s">
        <v>720</v>
      </c>
      <c r="C719" s="6">
        <v>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6">
        <v>0</v>
      </c>
      <c r="O719" s="6">
        <v>0</v>
      </c>
      <c r="P719" s="6">
        <v>0</v>
      </c>
      <c r="Q719" s="6">
        <v>0</v>
      </c>
      <c r="R719" s="6">
        <v>80</v>
      </c>
      <c r="S719" s="6">
        <v>83</v>
      </c>
      <c r="T719" s="6">
        <v>85</v>
      </c>
      <c r="U719" s="6">
        <v>83</v>
      </c>
      <c r="V719" s="6">
        <v>80</v>
      </c>
      <c r="W719" s="138">
        <v>1961709.0788687069</v>
      </c>
      <c r="X719">
        <f ca="1">IF(V719=0,0,OFFSET(CreditMetrics!$B$474,MATCH(RAND(),OFFSET(CreditMetrics!$C$474,1,MATCH(BDClientes!V719,CreditMetrics!$B$475:$B$491,0),COUNT(CreditMetrics!$B$475:$B$491),1),1),0,1,1))</f>
        <v>85</v>
      </c>
      <c r="Z719" s="79"/>
    </row>
    <row r="720" spans="1:26" x14ac:dyDescent="0.25">
      <c r="A720" s="4">
        <v>719</v>
      </c>
      <c r="B720" s="5" t="s">
        <v>721</v>
      </c>
      <c r="C720" s="6">
        <v>0</v>
      </c>
      <c r="D720" s="6">
        <v>0</v>
      </c>
      <c r="E720" s="6">
        <v>0</v>
      </c>
      <c r="F720" s="6">
        <v>0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80</v>
      </c>
      <c r="S720" s="6">
        <v>77</v>
      </c>
      <c r="T720" s="6">
        <v>80</v>
      </c>
      <c r="U720" s="6">
        <v>80</v>
      </c>
      <c r="V720" s="6">
        <v>83</v>
      </c>
      <c r="W720" s="138">
        <v>137922.83890712826</v>
      </c>
      <c r="X720">
        <f ca="1">IF(V720=0,0,OFFSET(CreditMetrics!$B$474,MATCH(RAND(),OFFSET(CreditMetrics!$C$474,1,MATCH(BDClientes!V720,CreditMetrics!$B$475:$B$491,0),COUNT(CreditMetrics!$B$475:$B$491),1),1),0,1,1))</f>
        <v>85</v>
      </c>
      <c r="Z720" s="79"/>
    </row>
    <row r="721" spans="1:26" x14ac:dyDescent="0.25">
      <c r="A721" s="4">
        <v>720</v>
      </c>
      <c r="B721" s="5" t="s">
        <v>722</v>
      </c>
      <c r="C721" s="6">
        <v>0</v>
      </c>
      <c r="D721" s="6">
        <v>0</v>
      </c>
      <c r="E721" s="6">
        <v>0</v>
      </c>
      <c r="F721" s="6">
        <v>0</v>
      </c>
      <c r="G721" s="6">
        <v>0</v>
      </c>
      <c r="H721" s="6">
        <v>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6">
        <v>0</v>
      </c>
      <c r="O721" s="6">
        <v>0</v>
      </c>
      <c r="P721" s="6">
        <v>0</v>
      </c>
      <c r="Q721" s="6">
        <v>0</v>
      </c>
      <c r="R721" s="6">
        <v>83</v>
      </c>
      <c r="S721" s="6">
        <v>0</v>
      </c>
      <c r="T721" s="6">
        <v>85</v>
      </c>
      <c r="U721" s="6">
        <v>0</v>
      </c>
      <c r="V721" s="6">
        <v>0</v>
      </c>
      <c r="X721">
        <f ca="1">IF(V721=0,0,OFFSET(CreditMetrics!$B$474,MATCH(RAND(),OFFSET(CreditMetrics!$C$474,1,MATCH(BDClientes!V721,CreditMetrics!$B$475:$B$491,0),COUNT(CreditMetrics!$B$475:$B$491),1),1),0,1,1))</f>
        <v>0</v>
      </c>
      <c r="Z721" s="79"/>
    </row>
    <row r="722" spans="1:26" x14ac:dyDescent="0.25">
      <c r="A722" s="4">
        <v>721</v>
      </c>
      <c r="B722" s="5" t="s">
        <v>723</v>
      </c>
      <c r="C722" s="6">
        <v>0</v>
      </c>
      <c r="D722" s="6">
        <v>0</v>
      </c>
      <c r="E722" s="6">
        <v>0</v>
      </c>
      <c r="F722" s="6">
        <v>0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83</v>
      </c>
      <c r="S722" s="6">
        <v>83</v>
      </c>
      <c r="T722" s="6">
        <v>83</v>
      </c>
      <c r="U722" s="6">
        <v>83</v>
      </c>
      <c r="V722" s="6">
        <v>83</v>
      </c>
      <c r="W722" s="138">
        <v>183791.7410677454</v>
      </c>
      <c r="X722">
        <f ca="1">IF(V722=0,0,OFFSET(CreditMetrics!$B$474,MATCH(RAND(),OFFSET(CreditMetrics!$C$474,1,MATCH(BDClientes!V722,CreditMetrics!$B$475:$B$491,0),COUNT(CreditMetrics!$B$475:$B$491),1),1),0,1,1))</f>
        <v>80</v>
      </c>
      <c r="Z722" s="79"/>
    </row>
    <row r="723" spans="1:26" x14ac:dyDescent="0.25">
      <c r="A723" s="4">
        <v>722</v>
      </c>
      <c r="B723" s="5" t="s">
        <v>724</v>
      </c>
      <c r="C723" s="6">
        <v>0</v>
      </c>
      <c r="D723" s="6">
        <v>0</v>
      </c>
      <c r="E723" s="6">
        <v>0</v>
      </c>
      <c r="F723" s="6">
        <v>0</v>
      </c>
      <c r="G723" s="6">
        <v>0</v>
      </c>
      <c r="H723" s="6">
        <v>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0</v>
      </c>
      <c r="Q723" s="6">
        <v>0</v>
      </c>
      <c r="R723" s="6">
        <v>85</v>
      </c>
      <c r="S723" s="6">
        <v>85</v>
      </c>
      <c r="T723" s="6">
        <v>85</v>
      </c>
      <c r="U723" s="6">
        <v>0</v>
      </c>
      <c r="V723" s="6">
        <v>0</v>
      </c>
      <c r="X723">
        <f ca="1">IF(V723=0,0,OFFSET(CreditMetrics!$B$474,MATCH(RAND(),OFFSET(CreditMetrics!$C$474,1,MATCH(BDClientes!V723,CreditMetrics!$B$475:$B$491,0),COUNT(CreditMetrics!$B$475:$B$491),1),1),0,1,1))</f>
        <v>0</v>
      </c>
      <c r="Z723" s="79"/>
    </row>
    <row r="724" spans="1:26" x14ac:dyDescent="0.25">
      <c r="A724" s="4">
        <v>723</v>
      </c>
      <c r="B724" s="5" t="s">
        <v>725</v>
      </c>
      <c r="C724" s="6">
        <v>0</v>
      </c>
      <c r="D724" s="6">
        <v>0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65</v>
      </c>
      <c r="S724" s="6">
        <v>22</v>
      </c>
      <c r="T724" s="6">
        <v>22</v>
      </c>
      <c r="U724" s="6">
        <v>22</v>
      </c>
      <c r="V724" s="6">
        <v>22</v>
      </c>
      <c r="W724" s="138">
        <v>117077.42177020671</v>
      </c>
      <c r="X724">
        <f ca="1">IF(V724=0,0,OFFSET(CreditMetrics!$B$474,MATCH(RAND(),OFFSET(CreditMetrics!$C$474,1,MATCH(BDClientes!V724,CreditMetrics!$B$475:$B$491,0),COUNT(CreditMetrics!$B$475:$B$491),1),1),0,1,1))</f>
        <v>22</v>
      </c>
      <c r="Z724" s="79"/>
    </row>
    <row r="725" spans="1:26" x14ac:dyDescent="0.25">
      <c r="A725" s="4">
        <v>724</v>
      </c>
      <c r="B725" s="5" t="s">
        <v>726</v>
      </c>
      <c r="C725" s="6">
        <v>0</v>
      </c>
      <c r="D725" s="6">
        <v>0</v>
      </c>
      <c r="E725" s="6">
        <v>0</v>
      </c>
      <c r="F725" s="6">
        <v>0</v>
      </c>
      <c r="G725" s="6">
        <v>0</v>
      </c>
      <c r="H725" s="6">
        <v>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6">
        <v>0</v>
      </c>
      <c r="O725" s="6">
        <v>0</v>
      </c>
      <c r="P725" s="6">
        <v>0</v>
      </c>
      <c r="Q725" s="6">
        <v>0</v>
      </c>
      <c r="R725" s="6">
        <v>85</v>
      </c>
      <c r="S725" s="6">
        <v>85</v>
      </c>
      <c r="T725" s="6">
        <v>85</v>
      </c>
      <c r="U725" s="6">
        <v>85</v>
      </c>
      <c r="V725" s="6">
        <v>0</v>
      </c>
      <c r="X725">
        <f ca="1">IF(V725=0,0,OFFSET(CreditMetrics!$B$474,MATCH(RAND(),OFFSET(CreditMetrics!$C$474,1,MATCH(BDClientes!V725,CreditMetrics!$B$475:$B$491,0),COUNT(CreditMetrics!$B$475:$B$491),1),1),0,1,1))</f>
        <v>0</v>
      </c>
      <c r="Z725" s="79"/>
    </row>
    <row r="726" spans="1:26" x14ac:dyDescent="0.25">
      <c r="A726" s="4">
        <v>725</v>
      </c>
      <c r="B726" s="5" t="s">
        <v>727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80</v>
      </c>
      <c r="S726" s="6">
        <v>0</v>
      </c>
      <c r="T726" s="6">
        <v>0</v>
      </c>
      <c r="U726" s="6">
        <v>0</v>
      </c>
      <c r="V726" s="6">
        <v>0</v>
      </c>
      <c r="X726">
        <f ca="1">IF(V726=0,0,OFFSET(CreditMetrics!$B$474,MATCH(RAND(),OFFSET(CreditMetrics!$C$474,1,MATCH(BDClientes!V726,CreditMetrics!$B$475:$B$491,0),COUNT(CreditMetrics!$B$475:$B$491),1),1),0,1,1))</f>
        <v>0</v>
      </c>
      <c r="Z726" s="79"/>
    </row>
    <row r="727" spans="1:26" x14ac:dyDescent="0.25">
      <c r="A727" s="4">
        <v>726</v>
      </c>
      <c r="B727" s="5" t="s">
        <v>728</v>
      </c>
      <c r="C727" s="6">
        <v>0</v>
      </c>
      <c r="D727" s="6">
        <v>0</v>
      </c>
      <c r="E727" s="6">
        <v>0</v>
      </c>
      <c r="F727" s="6">
        <v>0</v>
      </c>
      <c r="G727" s="6">
        <v>0</v>
      </c>
      <c r="H727" s="6">
        <v>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6">
        <v>0</v>
      </c>
      <c r="O727" s="6">
        <v>0</v>
      </c>
      <c r="P727" s="6">
        <v>0</v>
      </c>
      <c r="Q727" s="6">
        <v>0</v>
      </c>
      <c r="R727" s="6">
        <v>83</v>
      </c>
      <c r="S727" s="6">
        <v>83</v>
      </c>
      <c r="T727" s="6">
        <v>83</v>
      </c>
      <c r="U727" s="6">
        <v>80</v>
      </c>
      <c r="V727" s="6">
        <v>80</v>
      </c>
      <c r="W727" s="138">
        <v>367453.30755973741</v>
      </c>
      <c r="X727">
        <f ca="1">IF(V727=0,0,OFFSET(CreditMetrics!$B$474,MATCH(RAND(),OFFSET(CreditMetrics!$C$474,1,MATCH(BDClientes!V727,CreditMetrics!$B$475:$B$491,0),COUNT(CreditMetrics!$B$475:$B$491),1),1),0,1,1))</f>
        <v>77</v>
      </c>
      <c r="Z727" s="79"/>
    </row>
    <row r="728" spans="1:26" x14ac:dyDescent="0.25">
      <c r="A728" s="4">
        <v>727</v>
      </c>
      <c r="B728" s="5" t="s">
        <v>729</v>
      </c>
      <c r="C728" s="6">
        <v>0</v>
      </c>
      <c r="D728" s="6">
        <v>0</v>
      </c>
      <c r="E728" s="6">
        <v>0</v>
      </c>
      <c r="F728" s="6">
        <v>0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85</v>
      </c>
      <c r="S728" s="6">
        <v>85</v>
      </c>
      <c r="T728" s="6">
        <v>85</v>
      </c>
      <c r="U728" s="6">
        <v>85</v>
      </c>
      <c r="V728" s="6">
        <v>85</v>
      </c>
      <c r="W728" s="138">
        <v>116780.7432337434</v>
      </c>
      <c r="X728">
        <f ca="1">IF(V728=0,0,OFFSET(CreditMetrics!$B$474,MATCH(RAND(),OFFSET(CreditMetrics!$C$474,1,MATCH(BDClientes!V728,CreditMetrics!$B$475:$B$491,0),COUNT(CreditMetrics!$B$475:$B$491),1),1),0,1,1))</f>
        <v>80</v>
      </c>
      <c r="Z728" s="79"/>
    </row>
    <row r="729" spans="1:26" x14ac:dyDescent="0.25">
      <c r="A729" s="4">
        <v>728</v>
      </c>
      <c r="B729" s="5" t="s">
        <v>730</v>
      </c>
      <c r="C729" s="6">
        <v>0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0</v>
      </c>
      <c r="Q729" s="6">
        <v>0</v>
      </c>
      <c r="R729" s="6">
        <v>87</v>
      </c>
      <c r="S729" s="6">
        <v>83</v>
      </c>
      <c r="T729" s="6">
        <v>80</v>
      </c>
      <c r="U729" s="6">
        <v>0</v>
      </c>
      <c r="V729" s="6">
        <v>83</v>
      </c>
      <c r="W729" s="138">
        <v>331388.55150166317</v>
      </c>
      <c r="X729">
        <f ca="1">IF(V729=0,0,OFFSET(CreditMetrics!$B$474,MATCH(RAND(),OFFSET(CreditMetrics!$C$474,1,MATCH(BDClientes!V729,CreditMetrics!$B$475:$B$491,0),COUNT(CreditMetrics!$B$475:$B$491),1),1),0,1,1))</f>
        <v>83</v>
      </c>
      <c r="Z729" s="79"/>
    </row>
    <row r="730" spans="1:26" x14ac:dyDescent="0.25">
      <c r="A730" s="4">
        <v>729</v>
      </c>
      <c r="B730" s="5" t="s">
        <v>731</v>
      </c>
      <c r="C730" s="6">
        <v>0</v>
      </c>
      <c r="D730" s="6">
        <v>0</v>
      </c>
      <c r="E730" s="6">
        <v>0</v>
      </c>
      <c r="F730" s="6">
        <v>0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87</v>
      </c>
      <c r="S730" s="6">
        <v>87</v>
      </c>
      <c r="T730" s="6">
        <v>85</v>
      </c>
      <c r="U730" s="6">
        <v>87</v>
      </c>
      <c r="V730" s="6">
        <v>87</v>
      </c>
      <c r="W730" s="138">
        <v>150756.73572075123</v>
      </c>
      <c r="X730">
        <f ca="1">IF(V730=0,0,OFFSET(CreditMetrics!$B$474,MATCH(RAND(),OFFSET(CreditMetrics!$C$474,1,MATCH(BDClientes!V730,CreditMetrics!$B$475:$B$491,0),COUNT(CreditMetrics!$B$475:$B$491),1),1),0,1,1))</f>
        <v>87</v>
      </c>
      <c r="Z730" s="79"/>
    </row>
    <row r="731" spans="1:26" x14ac:dyDescent="0.25">
      <c r="A731" s="4">
        <v>730</v>
      </c>
      <c r="B731" s="5" t="s">
        <v>732</v>
      </c>
      <c r="C731" s="6">
        <v>0</v>
      </c>
      <c r="D731" s="6">
        <v>0</v>
      </c>
      <c r="E731" s="6">
        <v>0</v>
      </c>
      <c r="F731" s="6">
        <v>0</v>
      </c>
      <c r="G731" s="6">
        <v>0</v>
      </c>
      <c r="H731" s="6">
        <v>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6">
        <v>0</v>
      </c>
      <c r="O731" s="6">
        <v>0</v>
      </c>
      <c r="P731" s="6">
        <v>0</v>
      </c>
      <c r="Q731" s="6">
        <v>0</v>
      </c>
      <c r="R731" s="6">
        <v>85</v>
      </c>
      <c r="S731" s="6">
        <v>83</v>
      </c>
      <c r="T731" s="6">
        <v>80</v>
      </c>
      <c r="U731" s="6">
        <v>80</v>
      </c>
      <c r="V731" s="6">
        <v>77</v>
      </c>
      <c r="W731" s="138">
        <v>251386.82089850339</v>
      </c>
      <c r="X731">
        <f ca="1">IF(V731=0,0,OFFSET(CreditMetrics!$B$474,MATCH(RAND(),OFFSET(CreditMetrics!$C$474,1,MATCH(BDClientes!V731,CreditMetrics!$B$475:$B$491,0),COUNT(CreditMetrics!$B$475:$B$491),1),1),0,1,1))</f>
        <v>77</v>
      </c>
      <c r="Z731" s="79"/>
    </row>
    <row r="732" spans="1:26" x14ac:dyDescent="0.25">
      <c r="A732" s="4">
        <v>731</v>
      </c>
      <c r="B732" s="5" t="s">
        <v>733</v>
      </c>
      <c r="C732" s="6">
        <v>0</v>
      </c>
      <c r="D732" s="6">
        <v>0</v>
      </c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85</v>
      </c>
      <c r="S732" s="6">
        <v>85</v>
      </c>
      <c r="T732" s="6">
        <v>85</v>
      </c>
      <c r="U732" s="6">
        <v>85</v>
      </c>
      <c r="V732" s="6">
        <v>85</v>
      </c>
      <c r="W732" s="138">
        <v>318613.19076277525</v>
      </c>
      <c r="X732">
        <f ca="1">IF(V732=0,0,OFFSET(CreditMetrics!$B$474,MATCH(RAND(),OFFSET(CreditMetrics!$C$474,1,MATCH(BDClientes!V732,CreditMetrics!$B$475:$B$491,0),COUNT(CreditMetrics!$B$475:$B$491),1),1),0,1,1))</f>
        <v>85</v>
      </c>
      <c r="Z732" s="79"/>
    </row>
    <row r="733" spans="1:26" x14ac:dyDescent="0.25">
      <c r="A733" s="4">
        <v>732</v>
      </c>
      <c r="B733" s="5" t="s">
        <v>734</v>
      </c>
      <c r="C733" s="6">
        <v>0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6">
        <v>0</v>
      </c>
      <c r="O733" s="6">
        <v>0</v>
      </c>
      <c r="P733" s="6">
        <v>0</v>
      </c>
      <c r="Q733" s="6">
        <v>0</v>
      </c>
      <c r="R733" s="6">
        <v>85</v>
      </c>
      <c r="S733" s="6">
        <v>73</v>
      </c>
      <c r="T733" s="6">
        <v>73</v>
      </c>
      <c r="U733" s="6">
        <v>73</v>
      </c>
      <c r="V733" s="6">
        <v>73</v>
      </c>
      <c r="W733" s="138">
        <v>156989.18341818638</v>
      </c>
      <c r="X733">
        <f ca="1">IF(V733=0,0,OFFSET(CreditMetrics!$B$474,MATCH(RAND(),OFFSET(CreditMetrics!$C$474,1,MATCH(BDClientes!V733,CreditMetrics!$B$475:$B$491,0),COUNT(CreditMetrics!$B$475:$B$491),1),1),0,1,1))</f>
        <v>65</v>
      </c>
      <c r="Z733" s="79"/>
    </row>
    <row r="734" spans="1:26" x14ac:dyDescent="0.25">
      <c r="A734" s="4">
        <v>733</v>
      </c>
      <c r="B734" s="5" t="s">
        <v>735</v>
      </c>
      <c r="C734" s="6">
        <v>0</v>
      </c>
      <c r="D734" s="6">
        <v>0</v>
      </c>
      <c r="E734" s="6">
        <v>0</v>
      </c>
      <c r="F734" s="6">
        <v>0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77</v>
      </c>
      <c r="S734" s="6">
        <v>77</v>
      </c>
      <c r="T734" s="6">
        <v>77</v>
      </c>
      <c r="U734" s="6">
        <v>77</v>
      </c>
      <c r="V734" s="6">
        <v>77</v>
      </c>
      <c r="W734" s="138">
        <v>670133.19331780938</v>
      </c>
      <c r="X734">
        <f ca="1">IF(V734=0,0,OFFSET(CreditMetrics!$B$474,MATCH(RAND(),OFFSET(CreditMetrics!$C$474,1,MATCH(BDClientes!V734,CreditMetrics!$B$475:$B$491,0),COUNT(CreditMetrics!$B$475:$B$491),1),1),0,1,1))</f>
        <v>73</v>
      </c>
      <c r="Z734" s="79"/>
    </row>
    <row r="735" spans="1:26" x14ac:dyDescent="0.25">
      <c r="A735" s="4">
        <v>734</v>
      </c>
      <c r="B735" s="5" t="s">
        <v>736</v>
      </c>
      <c r="C735" s="6">
        <v>0</v>
      </c>
      <c r="D735" s="6">
        <v>0</v>
      </c>
      <c r="E735" s="6">
        <v>0</v>
      </c>
      <c r="F735" s="6">
        <v>0</v>
      </c>
      <c r="G735" s="6">
        <v>0</v>
      </c>
      <c r="H735" s="6">
        <v>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6">
        <v>0</v>
      </c>
      <c r="O735" s="6">
        <v>0</v>
      </c>
      <c r="P735" s="6">
        <v>0</v>
      </c>
      <c r="Q735" s="6">
        <v>0</v>
      </c>
      <c r="R735" s="6">
        <v>85</v>
      </c>
      <c r="S735" s="6">
        <v>85</v>
      </c>
      <c r="T735" s="6">
        <v>83</v>
      </c>
      <c r="U735" s="6">
        <v>83</v>
      </c>
      <c r="V735" s="6">
        <v>0</v>
      </c>
      <c r="X735">
        <f ca="1">IF(V735=0,0,OFFSET(CreditMetrics!$B$474,MATCH(RAND(),OFFSET(CreditMetrics!$C$474,1,MATCH(BDClientes!V735,CreditMetrics!$B$475:$B$491,0),COUNT(CreditMetrics!$B$475:$B$491),1),1),0,1,1))</f>
        <v>0</v>
      </c>
      <c r="Z735" s="79"/>
    </row>
    <row r="736" spans="1:26" x14ac:dyDescent="0.25">
      <c r="A736" s="4">
        <v>735</v>
      </c>
      <c r="B736" s="5" t="s">
        <v>737</v>
      </c>
      <c r="C736" s="6">
        <v>0</v>
      </c>
      <c r="D736" s="6">
        <v>0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85</v>
      </c>
      <c r="S736" s="6">
        <v>85</v>
      </c>
      <c r="T736" s="6">
        <v>85</v>
      </c>
      <c r="U736" s="6">
        <v>85</v>
      </c>
      <c r="V736" s="6">
        <v>85</v>
      </c>
      <c r="W736" s="138">
        <v>110966.67527810774</v>
      </c>
      <c r="X736">
        <f ca="1">IF(V736=0,0,OFFSET(CreditMetrics!$B$474,MATCH(RAND(),OFFSET(CreditMetrics!$C$474,1,MATCH(BDClientes!V736,CreditMetrics!$B$475:$B$491,0),COUNT(CreditMetrics!$B$475:$B$491),1),1),0,1,1))</f>
        <v>85</v>
      </c>
      <c r="Z736" s="79"/>
    </row>
    <row r="737" spans="1:26" x14ac:dyDescent="0.25">
      <c r="A737" s="4">
        <v>736</v>
      </c>
      <c r="B737" s="5" t="s">
        <v>738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0</v>
      </c>
      <c r="Q737" s="6">
        <v>0</v>
      </c>
      <c r="R737" s="6">
        <v>87</v>
      </c>
      <c r="S737" s="6">
        <v>87</v>
      </c>
      <c r="T737" s="6">
        <v>90</v>
      </c>
      <c r="U737" s="6">
        <v>90</v>
      </c>
      <c r="V737" s="6">
        <v>90</v>
      </c>
      <c r="W737" s="138">
        <v>339702.26898527367</v>
      </c>
      <c r="X737">
        <f ca="1">IF(V737=0,0,OFFSET(CreditMetrics!$B$474,MATCH(RAND(),OFFSET(CreditMetrics!$C$474,1,MATCH(BDClientes!V737,CreditMetrics!$B$475:$B$491,0),COUNT(CreditMetrics!$B$475:$B$491),1),1),0,1,1))</f>
        <v>85</v>
      </c>
      <c r="Z737" s="79"/>
    </row>
    <row r="738" spans="1:26" x14ac:dyDescent="0.25">
      <c r="A738" s="4">
        <v>737</v>
      </c>
      <c r="B738" s="5" t="s">
        <v>739</v>
      </c>
      <c r="C738" s="6">
        <v>0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85</v>
      </c>
      <c r="S738" s="6">
        <v>85</v>
      </c>
      <c r="T738" s="6">
        <v>85</v>
      </c>
      <c r="U738" s="6">
        <v>83</v>
      </c>
      <c r="V738" s="6">
        <v>0</v>
      </c>
      <c r="X738">
        <f ca="1">IF(V738=0,0,OFFSET(CreditMetrics!$B$474,MATCH(RAND(),OFFSET(CreditMetrics!$C$474,1,MATCH(BDClientes!V738,CreditMetrics!$B$475:$B$491,0),COUNT(CreditMetrics!$B$475:$B$491),1),1),0,1,1))</f>
        <v>0</v>
      </c>
      <c r="Z738" s="79"/>
    </row>
    <row r="739" spans="1:26" x14ac:dyDescent="0.25">
      <c r="A739" s="4">
        <v>738</v>
      </c>
      <c r="B739" s="5" t="s">
        <v>740</v>
      </c>
      <c r="C739" s="6">
        <v>0</v>
      </c>
      <c r="D739" s="6">
        <v>0</v>
      </c>
      <c r="E739" s="6">
        <v>0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6">
        <v>0</v>
      </c>
      <c r="O739" s="6">
        <v>0</v>
      </c>
      <c r="P739" s="6">
        <v>0</v>
      </c>
      <c r="Q739" s="6">
        <v>0</v>
      </c>
      <c r="R739" s="6">
        <v>80</v>
      </c>
      <c r="S739" s="6">
        <v>80</v>
      </c>
      <c r="T739" s="6">
        <v>80</v>
      </c>
      <c r="U739" s="6">
        <v>80</v>
      </c>
      <c r="V739" s="6">
        <v>77</v>
      </c>
      <c r="W739" s="138">
        <v>282481.77220978955</v>
      </c>
      <c r="X739">
        <f ca="1">IF(V739=0,0,OFFSET(CreditMetrics!$B$474,MATCH(RAND(),OFFSET(CreditMetrics!$C$474,1,MATCH(BDClientes!V739,CreditMetrics!$B$475:$B$491,0),COUNT(CreditMetrics!$B$475:$B$491),1),1),0,1,1))</f>
        <v>83</v>
      </c>
      <c r="Z739" s="79"/>
    </row>
    <row r="740" spans="1:26" x14ac:dyDescent="0.25">
      <c r="A740" s="4">
        <v>739</v>
      </c>
      <c r="B740" s="5" t="s">
        <v>741</v>
      </c>
      <c r="C740" s="6">
        <v>0</v>
      </c>
      <c r="D740" s="6">
        <v>0</v>
      </c>
      <c r="E740" s="6">
        <v>0</v>
      </c>
      <c r="F740" s="6">
        <v>0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85</v>
      </c>
      <c r="S740" s="6">
        <v>85</v>
      </c>
      <c r="T740" s="6">
        <v>22</v>
      </c>
      <c r="U740" s="6">
        <v>22</v>
      </c>
      <c r="V740" s="6">
        <v>22</v>
      </c>
      <c r="W740" s="138">
        <v>164096.62452631799</v>
      </c>
      <c r="X740">
        <f ca="1">IF(V740=0,0,OFFSET(CreditMetrics!$B$474,MATCH(RAND(),OFFSET(CreditMetrics!$C$474,1,MATCH(BDClientes!V740,CreditMetrics!$B$475:$B$491,0),COUNT(CreditMetrics!$B$475:$B$491),1),1),0,1,1))</f>
        <v>22</v>
      </c>
      <c r="Z740" s="79"/>
    </row>
    <row r="741" spans="1:26" x14ac:dyDescent="0.25">
      <c r="A741" s="4">
        <v>740</v>
      </c>
      <c r="B741" s="5" t="s">
        <v>742</v>
      </c>
      <c r="C741" s="6">
        <v>0</v>
      </c>
      <c r="D741" s="6">
        <v>0</v>
      </c>
      <c r="E741" s="6">
        <v>0</v>
      </c>
      <c r="F741" s="6">
        <v>0</v>
      </c>
      <c r="G741" s="6">
        <v>0</v>
      </c>
      <c r="H741" s="6">
        <v>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6">
        <v>0</v>
      </c>
      <c r="O741" s="6">
        <v>0</v>
      </c>
      <c r="P741" s="6">
        <v>0</v>
      </c>
      <c r="Q741" s="6">
        <v>0</v>
      </c>
      <c r="R741" s="6">
        <v>80</v>
      </c>
      <c r="S741" s="6">
        <v>80</v>
      </c>
      <c r="T741" s="6">
        <v>0</v>
      </c>
      <c r="U741" s="6">
        <v>80</v>
      </c>
      <c r="V741" s="6">
        <v>75</v>
      </c>
      <c r="W741" s="138">
        <v>846059.11709616578</v>
      </c>
      <c r="X741">
        <f ca="1">IF(V741=0,0,OFFSET(CreditMetrics!$B$474,MATCH(RAND(),OFFSET(CreditMetrics!$C$474,1,MATCH(BDClientes!V741,CreditMetrics!$B$475:$B$491,0),COUNT(CreditMetrics!$B$475:$B$491),1),1),0,1,1))</f>
        <v>75</v>
      </c>
      <c r="Z741" s="79"/>
    </row>
    <row r="742" spans="1:26" x14ac:dyDescent="0.25">
      <c r="A742" s="4">
        <v>741</v>
      </c>
      <c r="B742" s="5" t="s">
        <v>743</v>
      </c>
      <c r="C742" s="6">
        <v>0</v>
      </c>
      <c r="D742" s="6">
        <v>0</v>
      </c>
      <c r="E742" s="6">
        <v>0</v>
      </c>
      <c r="F742" s="6">
        <v>0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83</v>
      </c>
      <c r="S742" s="6">
        <v>85</v>
      </c>
      <c r="T742" s="6">
        <v>85</v>
      </c>
      <c r="U742" s="6">
        <v>85</v>
      </c>
      <c r="V742" s="6">
        <v>85</v>
      </c>
      <c r="W742" s="138">
        <v>284935.44971643499</v>
      </c>
      <c r="X742">
        <f ca="1">IF(V742=0,0,OFFSET(CreditMetrics!$B$474,MATCH(RAND(),OFFSET(CreditMetrics!$C$474,1,MATCH(BDClientes!V742,CreditMetrics!$B$475:$B$491,0),COUNT(CreditMetrics!$B$475:$B$491),1),1),0,1,1))</f>
        <v>83</v>
      </c>
      <c r="Z742" s="79"/>
    </row>
    <row r="743" spans="1:26" x14ac:dyDescent="0.25">
      <c r="A743" s="4">
        <v>742</v>
      </c>
      <c r="B743" s="5" t="s">
        <v>744</v>
      </c>
      <c r="C743" s="6">
        <v>0</v>
      </c>
      <c r="D743" s="6">
        <v>0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0</v>
      </c>
      <c r="P743" s="6">
        <v>0</v>
      </c>
      <c r="Q743" s="6">
        <v>0</v>
      </c>
      <c r="R743" s="6">
        <v>75</v>
      </c>
      <c r="S743" s="6">
        <v>75</v>
      </c>
      <c r="T743" s="6">
        <v>75</v>
      </c>
      <c r="U743" s="6">
        <v>73</v>
      </c>
      <c r="V743" s="6">
        <v>73</v>
      </c>
      <c r="W743" s="138">
        <v>145680.96876901051</v>
      </c>
      <c r="X743">
        <f ca="1">IF(V743=0,0,OFFSET(CreditMetrics!$B$474,MATCH(RAND(),OFFSET(CreditMetrics!$C$474,1,MATCH(BDClientes!V743,CreditMetrics!$B$475:$B$491,0),COUNT(CreditMetrics!$B$475:$B$491),1),1),0,1,1))</f>
        <v>60</v>
      </c>
      <c r="Z743" s="79"/>
    </row>
    <row r="744" spans="1:26" x14ac:dyDescent="0.25">
      <c r="A744" s="4">
        <v>743</v>
      </c>
      <c r="B744" s="5" t="s">
        <v>745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83</v>
      </c>
      <c r="S744" s="6">
        <v>83</v>
      </c>
      <c r="T744" s="6">
        <v>85</v>
      </c>
      <c r="U744" s="6">
        <v>85</v>
      </c>
      <c r="V744" s="6">
        <v>85</v>
      </c>
      <c r="W744" s="138">
        <v>3861582.7872609161</v>
      </c>
      <c r="X744">
        <f ca="1">IF(V744=0,0,OFFSET(CreditMetrics!$B$474,MATCH(RAND(),OFFSET(CreditMetrics!$C$474,1,MATCH(BDClientes!V744,CreditMetrics!$B$475:$B$491,0),COUNT(CreditMetrics!$B$475:$B$491),1),1),0,1,1))</f>
        <v>85</v>
      </c>
      <c r="Z744" s="79"/>
    </row>
    <row r="745" spans="1:26" x14ac:dyDescent="0.25">
      <c r="A745" s="4">
        <v>744</v>
      </c>
      <c r="B745" s="5" t="s">
        <v>746</v>
      </c>
      <c r="C745" s="6">
        <v>0</v>
      </c>
      <c r="D745" s="6">
        <v>0</v>
      </c>
      <c r="E745" s="6">
        <v>0</v>
      </c>
      <c r="F745" s="6">
        <v>0</v>
      </c>
      <c r="G745" s="6">
        <v>0</v>
      </c>
      <c r="H745" s="6">
        <v>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6">
        <v>0</v>
      </c>
      <c r="O745" s="6">
        <v>0</v>
      </c>
      <c r="P745" s="6">
        <v>0</v>
      </c>
      <c r="Q745" s="6">
        <v>0</v>
      </c>
      <c r="R745" s="6">
        <v>83</v>
      </c>
      <c r="S745" s="6">
        <v>83</v>
      </c>
      <c r="T745" s="6">
        <v>0</v>
      </c>
      <c r="U745" s="6">
        <v>0</v>
      </c>
      <c r="V745" s="6">
        <v>83</v>
      </c>
      <c r="W745" s="138">
        <v>403775.28325177019</v>
      </c>
      <c r="X745">
        <f ca="1">IF(V745=0,0,OFFSET(CreditMetrics!$B$474,MATCH(RAND(),OFFSET(CreditMetrics!$C$474,1,MATCH(BDClientes!V745,CreditMetrics!$B$475:$B$491,0),COUNT(CreditMetrics!$B$475:$B$491),1),1),0,1,1))</f>
        <v>83</v>
      </c>
      <c r="Z745" s="79"/>
    </row>
    <row r="746" spans="1:26" x14ac:dyDescent="0.25">
      <c r="A746" s="4">
        <v>745</v>
      </c>
      <c r="B746" s="5" t="s">
        <v>747</v>
      </c>
      <c r="C746" s="6">
        <v>0</v>
      </c>
      <c r="D746" s="6">
        <v>0</v>
      </c>
      <c r="E746" s="6">
        <v>0</v>
      </c>
      <c r="F746" s="6">
        <v>0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85</v>
      </c>
      <c r="S746" s="6">
        <v>85</v>
      </c>
      <c r="T746" s="6">
        <v>80</v>
      </c>
      <c r="U746" s="6">
        <v>0</v>
      </c>
      <c r="V746" s="6">
        <v>0</v>
      </c>
      <c r="X746">
        <f ca="1">IF(V746=0,0,OFFSET(CreditMetrics!$B$474,MATCH(RAND(),OFFSET(CreditMetrics!$C$474,1,MATCH(BDClientes!V746,CreditMetrics!$B$475:$B$491,0),COUNT(CreditMetrics!$B$475:$B$491),1),1),0,1,1))</f>
        <v>0</v>
      </c>
      <c r="Z746" s="79"/>
    </row>
    <row r="747" spans="1:26" x14ac:dyDescent="0.25">
      <c r="A747" s="4">
        <v>746</v>
      </c>
      <c r="B747" s="5" t="s">
        <v>748</v>
      </c>
      <c r="C747" s="6">
        <v>0</v>
      </c>
      <c r="D747" s="6">
        <v>0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6">
        <v>0</v>
      </c>
      <c r="O747" s="6">
        <v>0</v>
      </c>
      <c r="P747" s="6">
        <v>0</v>
      </c>
      <c r="Q747" s="6">
        <v>0</v>
      </c>
      <c r="R747" s="6">
        <v>80</v>
      </c>
      <c r="S747" s="6">
        <v>80</v>
      </c>
      <c r="T747" s="6">
        <v>80</v>
      </c>
      <c r="U747" s="6">
        <v>80</v>
      </c>
      <c r="V747" s="6">
        <v>80</v>
      </c>
      <c r="W747" s="138">
        <v>129958.42991098635</v>
      </c>
      <c r="X747">
        <f ca="1">IF(V747=0,0,OFFSET(CreditMetrics!$B$474,MATCH(RAND(),OFFSET(CreditMetrics!$C$474,1,MATCH(BDClientes!V747,CreditMetrics!$B$475:$B$491,0),COUNT(CreditMetrics!$B$475:$B$491),1),1),0,1,1))</f>
        <v>80</v>
      </c>
      <c r="Z747" s="79"/>
    </row>
    <row r="748" spans="1:26" x14ac:dyDescent="0.25">
      <c r="A748" s="4">
        <v>747</v>
      </c>
      <c r="B748" s="5" t="s">
        <v>749</v>
      </c>
      <c r="C748" s="6">
        <v>0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83</v>
      </c>
      <c r="S748" s="6">
        <v>83</v>
      </c>
      <c r="T748" s="6">
        <v>83</v>
      </c>
      <c r="U748" s="6">
        <v>83</v>
      </c>
      <c r="V748" s="6">
        <v>0</v>
      </c>
      <c r="X748">
        <f ca="1">IF(V748=0,0,OFFSET(CreditMetrics!$B$474,MATCH(RAND(),OFFSET(CreditMetrics!$C$474,1,MATCH(BDClientes!V748,CreditMetrics!$B$475:$B$491,0),COUNT(CreditMetrics!$B$475:$B$491),1),1),0,1,1))</f>
        <v>0</v>
      </c>
      <c r="Z748" s="79"/>
    </row>
    <row r="749" spans="1:26" x14ac:dyDescent="0.25">
      <c r="A749" s="4">
        <v>748</v>
      </c>
      <c r="B749" s="5" t="s">
        <v>750</v>
      </c>
      <c r="C749" s="6">
        <v>0</v>
      </c>
      <c r="D749" s="6">
        <v>0</v>
      </c>
      <c r="E749" s="6">
        <v>0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6">
        <v>0</v>
      </c>
      <c r="O749" s="6">
        <v>0</v>
      </c>
      <c r="P749" s="6">
        <v>0</v>
      </c>
      <c r="Q749" s="6">
        <v>0</v>
      </c>
      <c r="R749" s="6">
        <v>85</v>
      </c>
      <c r="S749" s="6">
        <v>83</v>
      </c>
      <c r="T749" s="6">
        <v>83</v>
      </c>
      <c r="U749" s="6">
        <v>80</v>
      </c>
      <c r="V749" s="6">
        <v>80</v>
      </c>
      <c r="W749" s="138">
        <v>254670.06051177465</v>
      </c>
      <c r="X749">
        <f ca="1">IF(V749=0,0,OFFSET(CreditMetrics!$B$474,MATCH(RAND(),OFFSET(CreditMetrics!$C$474,1,MATCH(BDClientes!V749,CreditMetrics!$B$475:$B$491,0),COUNT(CreditMetrics!$B$475:$B$491),1),1),0,1,1))</f>
        <v>80</v>
      </c>
      <c r="Z749" s="79"/>
    </row>
    <row r="750" spans="1:26" x14ac:dyDescent="0.25">
      <c r="A750" s="4">
        <v>749</v>
      </c>
      <c r="B750" s="5" t="s">
        <v>751</v>
      </c>
      <c r="C750" s="6">
        <v>0</v>
      </c>
      <c r="D750" s="6">
        <v>0</v>
      </c>
      <c r="E750" s="6">
        <v>0</v>
      </c>
      <c r="F750" s="6">
        <v>0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87</v>
      </c>
      <c r="S750" s="6">
        <v>87</v>
      </c>
      <c r="T750" s="6">
        <v>87</v>
      </c>
      <c r="U750" s="6">
        <v>85</v>
      </c>
      <c r="V750" s="6">
        <v>85</v>
      </c>
      <c r="W750" s="138">
        <v>244329.53729962095</v>
      </c>
      <c r="X750">
        <f ca="1">IF(V750=0,0,OFFSET(CreditMetrics!$B$474,MATCH(RAND(),OFFSET(CreditMetrics!$C$474,1,MATCH(BDClientes!V750,CreditMetrics!$B$475:$B$491,0),COUNT(CreditMetrics!$B$475:$B$491),1),1),0,1,1))</f>
        <v>85</v>
      </c>
      <c r="Z750" s="79"/>
    </row>
    <row r="751" spans="1:26" x14ac:dyDescent="0.25">
      <c r="A751" s="4">
        <v>750</v>
      </c>
      <c r="B751" s="5" t="s">
        <v>752</v>
      </c>
      <c r="C751" s="6">
        <v>0</v>
      </c>
      <c r="D751" s="6">
        <v>0</v>
      </c>
      <c r="E751" s="6">
        <v>0</v>
      </c>
      <c r="F751" s="6">
        <v>0</v>
      </c>
      <c r="G751" s="6">
        <v>0</v>
      </c>
      <c r="H751" s="6">
        <v>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6">
        <v>0</v>
      </c>
      <c r="O751" s="6">
        <v>0</v>
      </c>
      <c r="P751" s="6">
        <v>0</v>
      </c>
      <c r="Q751" s="6">
        <v>0</v>
      </c>
      <c r="R751" s="6">
        <v>85</v>
      </c>
      <c r="S751" s="6">
        <v>0</v>
      </c>
      <c r="T751" s="6">
        <v>85</v>
      </c>
      <c r="U751" s="6">
        <v>85</v>
      </c>
      <c r="V751" s="6">
        <v>85</v>
      </c>
      <c r="W751" s="138">
        <v>157139.06062526794</v>
      </c>
      <c r="X751">
        <f ca="1">IF(V751=0,0,OFFSET(CreditMetrics!$B$474,MATCH(RAND(),OFFSET(CreditMetrics!$C$474,1,MATCH(BDClientes!V751,CreditMetrics!$B$475:$B$491,0),COUNT(CreditMetrics!$B$475:$B$491),1),1),0,1,1))</f>
        <v>83</v>
      </c>
      <c r="Z751" s="79"/>
    </row>
    <row r="752" spans="1:26" x14ac:dyDescent="0.25">
      <c r="A752" s="4">
        <v>751</v>
      </c>
      <c r="B752" s="5" t="s">
        <v>753</v>
      </c>
      <c r="C752" s="6">
        <v>0</v>
      </c>
      <c r="D752" s="6">
        <v>0</v>
      </c>
      <c r="E752" s="6">
        <v>0</v>
      </c>
      <c r="F752" s="6">
        <v>0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80</v>
      </c>
      <c r="S752" s="6">
        <v>77</v>
      </c>
      <c r="T752" s="6">
        <v>77</v>
      </c>
      <c r="U752" s="6">
        <v>75</v>
      </c>
      <c r="V752" s="6">
        <v>77</v>
      </c>
      <c r="W752" s="138">
        <v>253957.28047641952</v>
      </c>
      <c r="X752">
        <f ca="1">IF(V752=0,0,OFFSET(CreditMetrics!$B$474,MATCH(RAND(),OFFSET(CreditMetrics!$C$474,1,MATCH(BDClientes!V752,CreditMetrics!$B$475:$B$491,0),COUNT(CreditMetrics!$B$475:$B$491),1),1),0,1,1))</f>
        <v>75</v>
      </c>
      <c r="Z752" s="79"/>
    </row>
    <row r="753" spans="1:26" x14ac:dyDescent="0.25">
      <c r="A753" s="4">
        <v>752</v>
      </c>
      <c r="B753" s="5" t="s">
        <v>754</v>
      </c>
      <c r="C753" s="6">
        <v>0</v>
      </c>
      <c r="D753" s="6">
        <v>0</v>
      </c>
      <c r="E753" s="6">
        <v>0</v>
      </c>
      <c r="F753" s="6">
        <v>0</v>
      </c>
      <c r="G753" s="6">
        <v>0</v>
      </c>
      <c r="H753" s="6">
        <v>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6">
        <v>0</v>
      </c>
      <c r="O753" s="6">
        <v>0</v>
      </c>
      <c r="P753" s="6">
        <v>0</v>
      </c>
      <c r="Q753" s="6">
        <v>0</v>
      </c>
      <c r="R753" s="6">
        <v>85</v>
      </c>
      <c r="S753" s="6">
        <v>85</v>
      </c>
      <c r="T753" s="6">
        <v>83</v>
      </c>
      <c r="U753" s="6">
        <v>80</v>
      </c>
      <c r="V753" s="6">
        <v>77</v>
      </c>
      <c r="W753" s="138">
        <v>148156.23023111257</v>
      </c>
      <c r="X753">
        <f ca="1">IF(V753=0,0,OFFSET(CreditMetrics!$B$474,MATCH(RAND(),OFFSET(CreditMetrics!$C$474,1,MATCH(BDClientes!V753,CreditMetrics!$B$475:$B$491,0),COUNT(CreditMetrics!$B$475:$B$491),1),1),0,1,1))</f>
        <v>77</v>
      </c>
      <c r="Z753" s="79"/>
    </row>
    <row r="754" spans="1:26" x14ac:dyDescent="0.25">
      <c r="A754" s="4">
        <v>753</v>
      </c>
      <c r="B754" s="5" t="s">
        <v>755</v>
      </c>
      <c r="C754" s="6">
        <v>0</v>
      </c>
      <c r="D754" s="6">
        <v>0</v>
      </c>
      <c r="E754" s="6">
        <v>0</v>
      </c>
      <c r="F754" s="6">
        <v>0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75</v>
      </c>
      <c r="S754" s="6">
        <v>75</v>
      </c>
      <c r="T754" s="6">
        <v>75</v>
      </c>
      <c r="U754" s="6">
        <v>75</v>
      </c>
      <c r="V754" s="6">
        <v>77</v>
      </c>
      <c r="W754" s="138">
        <v>212261.08771517684</v>
      </c>
      <c r="X754">
        <f ca="1">IF(V754=0,0,OFFSET(CreditMetrics!$B$474,MATCH(RAND(),OFFSET(CreditMetrics!$C$474,1,MATCH(BDClientes!V754,CreditMetrics!$B$475:$B$491,0),COUNT(CreditMetrics!$B$475:$B$491),1),1),0,1,1))</f>
        <v>80</v>
      </c>
      <c r="Z754" s="79"/>
    </row>
    <row r="755" spans="1:26" x14ac:dyDescent="0.25">
      <c r="A755" s="4">
        <v>754</v>
      </c>
      <c r="B755" s="5" t="s">
        <v>756</v>
      </c>
      <c r="C755" s="6">
        <v>0</v>
      </c>
      <c r="D755" s="6">
        <v>0</v>
      </c>
      <c r="E755" s="6">
        <v>0</v>
      </c>
      <c r="F755" s="6">
        <v>0</v>
      </c>
      <c r="G755" s="6">
        <v>0</v>
      </c>
      <c r="H755" s="6">
        <v>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6">
        <v>0</v>
      </c>
      <c r="O755" s="6">
        <v>0</v>
      </c>
      <c r="P755" s="6">
        <v>0</v>
      </c>
      <c r="Q755" s="6">
        <v>0</v>
      </c>
      <c r="R755" s="6">
        <v>87</v>
      </c>
      <c r="S755" s="6">
        <v>85</v>
      </c>
      <c r="T755" s="6">
        <v>83</v>
      </c>
      <c r="U755" s="6">
        <v>85</v>
      </c>
      <c r="V755" s="6">
        <v>85</v>
      </c>
      <c r="W755" s="138">
        <v>281297.08550275589</v>
      </c>
      <c r="X755">
        <f ca="1">IF(V755=0,0,OFFSET(CreditMetrics!$B$474,MATCH(RAND(),OFFSET(CreditMetrics!$C$474,1,MATCH(BDClientes!V755,CreditMetrics!$B$475:$B$491,0),COUNT(CreditMetrics!$B$475:$B$491),1),1),0,1,1))</f>
        <v>83</v>
      </c>
      <c r="Z755" s="79"/>
    </row>
    <row r="756" spans="1:26" x14ac:dyDescent="0.25">
      <c r="A756" s="4">
        <v>755</v>
      </c>
      <c r="B756" s="5" t="s">
        <v>757</v>
      </c>
      <c r="C756" s="6">
        <v>0</v>
      </c>
      <c r="D756" s="6">
        <v>0</v>
      </c>
      <c r="E756" s="6">
        <v>0</v>
      </c>
      <c r="F756" s="6">
        <v>0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80</v>
      </c>
      <c r="S756" s="6">
        <v>77</v>
      </c>
      <c r="T756" s="6">
        <v>75</v>
      </c>
      <c r="U756" s="6">
        <v>73</v>
      </c>
      <c r="V756" s="6">
        <v>73</v>
      </c>
      <c r="W756" s="138">
        <v>326898.64785226219</v>
      </c>
      <c r="X756">
        <f ca="1">IF(V756=0,0,OFFSET(CreditMetrics!$B$474,MATCH(RAND(),OFFSET(CreditMetrics!$C$474,1,MATCH(BDClientes!V756,CreditMetrics!$B$475:$B$491,0),COUNT(CreditMetrics!$B$475:$B$491),1),1),0,1,1))</f>
        <v>73</v>
      </c>
      <c r="Z756" s="79"/>
    </row>
    <row r="757" spans="1:26" x14ac:dyDescent="0.25">
      <c r="A757" s="4">
        <v>756</v>
      </c>
      <c r="B757" s="5" t="s">
        <v>758</v>
      </c>
      <c r="C757" s="6">
        <v>0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6">
        <v>0</v>
      </c>
      <c r="O757" s="6">
        <v>0</v>
      </c>
      <c r="P757" s="6">
        <v>0</v>
      </c>
      <c r="Q757" s="6">
        <v>0</v>
      </c>
      <c r="R757" s="6">
        <v>85</v>
      </c>
      <c r="S757" s="6">
        <v>83</v>
      </c>
      <c r="T757" s="6">
        <v>83</v>
      </c>
      <c r="U757" s="6">
        <v>77</v>
      </c>
      <c r="V757" s="6">
        <v>22</v>
      </c>
      <c r="W757" s="138">
        <v>287521.37747874606</v>
      </c>
      <c r="X757">
        <f ca="1">IF(V757=0,0,OFFSET(CreditMetrics!$B$474,MATCH(RAND(),OFFSET(CreditMetrics!$C$474,1,MATCH(BDClientes!V757,CreditMetrics!$B$475:$B$491,0),COUNT(CreditMetrics!$B$475:$B$491),1),1),0,1,1))</f>
        <v>22</v>
      </c>
      <c r="Z757" s="79"/>
    </row>
    <row r="758" spans="1:26" x14ac:dyDescent="0.25">
      <c r="A758" s="4">
        <v>757</v>
      </c>
      <c r="B758" s="5" t="s">
        <v>759</v>
      </c>
      <c r="C758" s="6">
        <v>0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90</v>
      </c>
      <c r="S758" s="6">
        <v>87</v>
      </c>
      <c r="T758" s="6">
        <v>0</v>
      </c>
      <c r="U758" s="6">
        <v>0</v>
      </c>
      <c r="V758" s="6">
        <v>87</v>
      </c>
      <c r="W758" s="138">
        <v>275700.63958735415</v>
      </c>
      <c r="X758">
        <f ca="1">IF(V758=0,0,OFFSET(CreditMetrics!$B$474,MATCH(RAND(),OFFSET(CreditMetrics!$C$474,1,MATCH(BDClientes!V758,CreditMetrics!$B$475:$B$491,0),COUNT(CreditMetrics!$B$475:$B$491),1),1),0,1,1))</f>
        <v>85</v>
      </c>
      <c r="Z758" s="79"/>
    </row>
    <row r="759" spans="1:26" x14ac:dyDescent="0.25">
      <c r="A759" s="4">
        <v>758</v>
      </c>
      <c r="B759" s="5" t="s">
        <v>760</v>
      </c>
      <c r="C759" s="6">
        <v>0</v>
      </c>
      <c r="D759" s="6">
        <v>0</v>
      </c>
      <c r="E759" s="6">
        <v>0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6">
        <v>0</v>
      </c>
      <c r="O759" s="6">
        <v>0</v>
      </c>
      <c r="P759" s="6">
        <v>0</v>
      </c>
      <c r="Q759" s="6">
        <v>0</v>
      </c>
      <c r="R759" s="6">
        <v>80</v>
      </c>
      <c r="S759" s="6">
        <v>83</v>
      </c>
      <c r="T759" s="6">
        <v>85</v>
      </c>
      <c r="U759" s="6">
        <v>85</v>
      </c>
      <c r="V759" s="6">
        <v>85</v>
      </c>
      <c r="W759" s="138">
        <v>247108.58729532425</v>
      </c>
      <c r="X759">
        <f ca="1">IF(V759=0,0,OFFSET(CreditMetrics!$B$474,MATCH(RAND(),OFFSET(CreditMetrics!$C$474,1,MATCH(BDClientes!V759,CreditMetrics!$B$475:$B$491,0),COUNT(CreditMetrics!$B$475:$B$491),1),1),0,1,1))</f>
        <v>70</v>
      </c>
      <c r="Z759" s="79"/>
    </row>
    <row r="760" spans="1:26" x14ac:dyDescent="0.25">
      <c r="A760" s="4">
        <v>759</v>
      </c>
      <c r="B760" s="5" t="s">
        <v>761</v>
      </c>
      <c r="C760" s="6">
        <v>0</v>
      </c>
      <c r="D760" s="6">
        <v>0</v>
      </c>
      <c r="E760" s="6">
        <v>0</v>
      </c>
      <c r="F760" s="6">
        <v>0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80</v>
      </c>
      <c r="S760" s="6">
        <v>83</v>
      </c>
      <c r="T760" s="6">
        <v>0</v>
      </c>
      <c r="U760" s="6">
        <v>0</v>
      </c>
      <c r="V760" s="6">
        <v>0</v>
      </c>
      <c r="X760">
        <f ca="1">IF(V760=0,0,OFFSET(CreditMetrics!$B$474,MATCH(RAND(),OFFSET(CreditMetrics!$C$474,1,MATCH(BDClientes!V760,CreditMetrics!$B$475:$B$491,0),COUNT(CreditMetrics!$B$475:$B$491),1),1),0,1,1))</f>
        <v>0</v>
      </c>
      <c r="Z760" s="79"/>
    </row>
    <row r="761" spans="1:26" x14ac:dyDescent="0.25">
      <c r="A761" s="4">
        <v>760</v>
      </c>
      <c r="B761" s="5" t="s">
        <v>762</v>
      </c>
      <c r="C761" s="6">
        <v>0</v>
      </c>
      <c r="D761" s="6">
        <v>0</v>
      </c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6">
        <v>0</v>
      </c>
      <c r="O761" s="6">
        <v>0</v>
      </c>
      <c r="P761" s="6">
        <v>0</v>
      </c>
      <c r="Q761" s="6">
        <v>0</v>
      </c>
      <c r="R761" s="6">
        <v>85</v>
      </c>
      <c r="S761" s="6">
        <v>85</v>
      </c>
      <c r="T761" s="6">
        <v>85</v>
      </c>
      <c r="U761" s="6">
        <v>85</v>
      </c>
      <c r="V761" s="6">
        <v>85</v>
      </c>
      <c r="W761" s="138">
        <v>3240724.2271047616</v>
      </c>
      <c r="X761">
        <f ca="1">IF(V761=0,0,OFFSET(CreditMetrics!$B$474,MATCH(RAND(),OFFSET(CreditMetrics!$C$474,1,MATCH(BDClientes!V761,CreditMetrics!$B$475:$B$491,0),COUNT(CreditMetrics!$B$475:$B$491),1),1),0,1,1))</f>
        <v>87</v>
      </c>
      <c r="Z761" s="79"/>
    </row>
    <row r="762" spans="1:26" x14ac:dyDescent="0.25">
      <c r="A762" s="4">
        <v>761</v>
      </c>
      <c r="B762" s="5" t="s">
        <v>763</v>
      </c>
      <c r="C762" s="6">
        <v>0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87</v>
      </c>
      <c r="S762" s="6">
        <v>87</v>
      </c>
      <c r="T762" s="6">
        <v>87</v>
      </c>
      <c r="U762" s="6">
        <v>87</v>
      </c>
      <c r="V762" s="6">
        <v>87</v>
      </c>
      <c r="W762" s="138">
        <v>117259.02042277403</v>
      </c>
      <c r="X762">
        <f ca="1">IF(V762=0,0,OFFSET(CreditMetrics!$B$474,MATCH(RAND(),OFFSET(CreditMetrics!$C$474,1,MATCH(BDClientes!V762,CreditMetrics!$B$475:$B$491,0),COUNT(CreditMetrics!$B$475:$B$491),1),1),0,1,1))</f>
        <v>87</v>
      </c>
      <c r="Z762" s="79"/>
    </row>
    <row r="763" spans="1:26" x14ac:dyDescent="0.25">
      <c r="A763" s="4">
        <v>762</v>
      </c>
      <c r="B763" s="5" t="s">
        <v>764</v>
      </c>
      <c r="C763" s="6">
        <v>0</v>
      </c>
      <c r="D763" s="6">
        <v>0</v>
      </c>
      <c r="E763" s="6">
        <v>0</v>
      </c>
      <c r="F763" s="6">
        <v>0</v>
      </c>
      <c r="G763" s="6">
        <v>0</v>
      </c>
      <c r="H763" s="6">
        <v>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6">
        <v>0</v>
      </c>
      <c r="O763" s="6">
        <v>0</v>
      </c>
      <c r="P763" s="6">
        <v>0</v>
      </c>
      <c r="Q763" s="6">
        <v>0</v>
      </c>
      <c r="R763" s="6">
        <v>85</v>
      </c>
      <c r="S763" s="6">
        <v>85</v>
      </c>
      <c r="T763" s="6">
        <v>85</v>
      </c>
      <c r="U763" s="6">
        <v>85</v>
      </c>
      <c r="V763" s="6">
        <v>83</v>
      </c>
      <c r="W763" s="138">
        <v>157116.87009267946</v>
      </c>
      <c r="X763">
        <f ca="1">IF(V763=0,0,OFFSET(CreditMetrics!$B$474,MATCH(RAND(),OFFSET(CreditMetrics!$C$474,1,MATCH(BDClientes!V763,CreditMetrics!$B$475:$B$491,0),COUNT(CreditMetrics!$B$475:$B$491),1),1),0,1,1))</f>
        <v>95</v>
      </c>
      <c r="Z763" s="79"/>
    </row>
    <row r="764" spans="1:26" x14ac:dyDescent="0.25">
      <c r="A764" s="4">
        <v>763</v>
      </c>
      <c r="B764" s="5" t="s">
        <v>765</v>
      </c>
      <c r="C764" s="6">
        <v>0</v>
      </c>
      <c r="D764" s="6">
        <v>0</v>
      </c>
      <c r="E764" s="6">
        <v>0</v>
      </c>
      <c r="F764" s="6">
        <v>0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85</v>
      </c>
      <c r="S764" s="6">
        <v>85</v>
      </c>
      <c r="T764" s="6">
        <v>85</v>
      </c>
      <c r="U764" s="6">
        <v>85</v>
      </c>
      <c r="V764" s="6">
        <v>83</v>
      </c>
      <c r="W764" s="138">
        <v>535183.31058271485</v>
      </c>
      <c r="X764">
        <f ca="1">IF(V764=0,0,OFFSET(CreditMetrics!$B$474,MATCH(RAND(),OFFSET(CreditMetrics!$C$474,1,MATCH(BDClientes!V764,CreditMetrics!$B$475:$B$491,0),COUNT(CreditMetrics!$B$475:$B$491),1),1),0,1,1))</f>
        <v>83</v>
      </c>
      <c r="Z764" s="79"/>
    </row>
    <row r="765" spans="1:26" x14ac:dyDescent="0.25">
      <c r="A765" s="4">
        <v>764</v>
      </c>
      <c r="B765" s="5" t="s">
        <v>766</v>
      </c>
      <c r="C765" s="6">
        <v>0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80</v>
      </c>
      <c r="T765" s="6">
        <v>80</v>
      </c>
      <c r="U765" s="6">
        <v>83</v>
      </c>
      <c r="V765" s="6">
        <v>80</v>
      </c>
      <c r="W765" s="138">
        <v>8410565.9120164644</v>
      </c>
      <c r="X765">
        <f ca="1">IF(V765=0,0,OFFSET(CreditMetrics!$B$474,MATCH(RAND(),OFFSET(CreditMetrics!$C$474,1,MATCH(BDClientes!V765,CreditMetrics!$B$475:$B$491,0),COUNT(CreditMetrics!$B$475:$B$491),1),1),0,1,1))</f>
        <v>77</v>
      </c>
      <c r="Z765" s="79"/>
    </row>
    <row r="766" spans="1:26" x14ac:dyDescent="0.25">
      <c r="A766" s="4">
        <v>765</v>
      </c>
      <c r="B766" s="5" t="s">
        <v>767</v>
      </c>
      <c r="C766" s="6">
        <v>0</v>
      </c>
      <c r="D766" s="6">
        <v>0</v>
      </c>
      <c r="E766" s="6">
        <v>0</v>
      </c>
      <c r="F766" s="6">
        <v>0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83</v>
      </c>
      <c r="T766" s="6">
        <v>0</v>
      </c>
      <c r="U766" s="6">
        <v>73</v>
      </c>
      <c r="V766" s="6">
        <v>73</v>
      </c>
      <c r="W766" s="138">
        <v>231155.29330730825</v>
      </c>
      <c r="X766">
        <f ca="1">IF(V766=0,0,OFFSET(CreditMetrics!$B$474,MATCH(RAND(),OFFSET(CreditMetrics!$C$474,1,MATCH(BDClientes!V766,CreditMetrics!$B$475:$B$491,0),COUNT(CreditMetrics!$B$475:$B$491),1),1),0,1,1))</f>
        <v>73</v>
      </c>
      <c r="Z766" s="79"/>
    </row>
    <row r="767" spans="1:26" x14ac:dyDescent="0.25">
      <c r="A767" s="4">
        <v>766</v>
      </c>
      <c r="B767" s="5" t="s">
        <v>768</v>
      </c>
      <c r="C767" s="6">
        <v>0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6">
        <v>0</v>
      </c>
      <c r="O767" s="6">
        <v>0</v>
      </c>
      <c r="P767" s="6">
        <v>0</v>
      </c>
      <c r="Q767" s="6">
        <v>0</v>
      </c>
      <c r="R767" s="6">
        <v>0</v>
      </c>
      <c r="S767" s="6">
        <v>85</v>
      </c>
      <c r="T767" s="6">
        <v>87</v>
      </c>
      <c r="U767" s="6">
        <v>87</v>
      </c>
      <c r="V767" s="6">
        <v>87</v>
      </c>
      <c r="W767" s="138">
        <v>438365.92514240526</v>
      </c>
      <c r="X767">
        <f ca="1">IF(V767=0,0,OFFSET(CreditMetrics!$B$474,MATCH(RAND(),OFFSET(CreditMetrics!$C$474,1,MATCH(BDClientes!V767,CreditMetrics!$B$475:$B$491,0),COUNT(CreditMetrics!$B$475:$B$491),1),1),0,1,1))</f>
        <v>85</v>
      </c>
      <c r="Z767" s="79"/>
    </row>
    <row r="768" spans="1:26" x14ac:dyDescent="0.25">
      <c r="A768" s="4">
        <v>767</v>
      </c>
      <c r="B768" s="5" t="s">
        <v>769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85</v>
      </c>
      <c r="T768" s="7">
        <v>85</v>
      </c>
      <c r="U768" s="7">
        <v>85</v>
      </c>
      <c r="V768" s="7">
        <v>0</v>
      </c>
      <c r="X768">
        <f ca="1">IF(V768=0,0,OFFSET(CreditMetrics!$B$474,MATCH(RAND(),OFFSET(CreditMetrics!$C$474,1,MATCH(BDClientes!V768,CreditMetrics!$B$475:$B$491,0),COUNT(CreditMetrics!$B$475:$B$491),1),1),0,1,1))</f>
        <v>0</v>
      </c>
      <c r="Z768" s="79"/>
    </row>
    <row r="769" spans="1:26" x14ac:dyDescent="0.25">
      <c r="A769" s="4">
        <v>768</v>
      </c>
      <c r="B769" s="5" t="s">
        <v>770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87</v>
      </c>
      <c r="T769" s="7">
        <v>0</v>
      </c>
      <c r="U769" s="7">
        <v>0</v>
      </c>
      <c r="V769" s="7">
        <v>0</v>
      </c>
      <c r="X769">
        <f ca="1">IF(V769=0,0,OFFSET(CreditMetrics!$B$474,MATCH(RAND(),OFFSET(CreditMetrics!$C$474,1,MATCH(BDClientes!V769,CreditMetrics!$B$475:$B$491,0),COUNT(CreditMetrics!$B$475:$B$491),1),1),0,1,1))</f>
        <v>0</v>
      </c>
      <c r="Z769" s="79"/>
    </row>
    <row r="770" spans="1:26" x14ac:dyDescent="0.25">
      <c r="A770" s="4">
        <v>769</v>
      </c>
      <c r="B770" s="5" t="s">
        <v>771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77</v>
      </c>
      <c r="T770" s="7">
        <v>0</v>
      </c>
      <c r="U770" s="7">
        <v>83</v>
      </c>
      <c r="V770" s="7">
        <v>83</v>
      </c>
      <c r="W770" s="138">
        <v>198322.23442255936</v>
      </c>
      <c r="X770">
        <f ca="1">IF(V770=0,0,OFFSET(CreditMetrics!$B$474,MATCH(RAND(),OFFSET(CreditMetrics!$C$474,1,MATCH(BDClientes!V770,CreditMetrics!$B$475:$B$491,0),COUNT(CreditMetrics!$B$475:$B$491),1),1),0,1,1))</f>
        <v>77</v>
      </c>
      <c r="Z770" s="79"/>
    </row>
    <row r="771" spans="1:26" x14ac:dyDescent="0.25">
      <c r="A771" s="4">
        <v>770</v>
      </c>
      <c r="B771" s="5" t="s">
        <v>772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85</v>
      </c>
      <c r="T771" s="7">
        <v>85</v>
      </c>
      <c r="U771" s="7">
        <v>85</v>
      </c>
      <c r="V771" s="7">
        <v>85</v>
      </c>
      <c r="W771" s="138">
        <v>1042119.7208105171</v>
      </c>
      <c r="X771">
        <f ca="1">IF(V771=0,0,OFFSET(CreditMetrics!$B$474,MATCH(RAND(),OFFSET(CreditMetrics!$C$474,1,MATCH(BDClientes!V771,CreditMetrics!$B$475:$B$491,0),COUNT(CreditMetrics!$B$475:$B$491),1),1),0,1,1))</f>
        <v>83</v>
      </c>
      <c r="Z771" s="79"/>
    </row>
    <row r="772" spans="1:26" x14ac:dyDescent="0.25">
      <c r="A772" s="4">
        <v>771</v>
      </c>
      <c r="B772" s="5" t="s">
        <v>773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83</v>
      </c>
      <c r="T772" s="7">
        <v>0</v>
      </c>
      <c r="U772" s="7">
        <v>83</v>
      </c>
      <c r="V772" s="7">
        <v>83</v>
      </c>
      <c r="W772" s="138">
        <v>121622.58147722861</v>
      </c>
      <c r="X772">
        <f ca="1">IF(V772=0,0,OFFSET(CreditMetrics!$B$474,MATCH(RAND(),OFFSET(CreditMetrics!$C$474,1,MATCH(BDClientes!V772,CreditMetrics!$B$475:$B$491,0),COUNT(CreditMetrics!$B$475:$B$491),1),1),0,1,1))</f>
        <v>70</v>
      </c>
      <c r="Z772" s="79"/>
    </row>
    <row r="773" spans="1:26" x14ac:dyDescent="0.25">
      <c r="A773" s="4">
        <v>772</v>
      </c>
      <c r="B773" s="5" t="s">
        <v>774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87</v>
      </c>
      <c r="T773" s="7">
        <v>0</v>
      </c>
      <c r="U773" s="7">
        <v>0</v>
      </c>
      <c r="V773" s="7">
        <v>0</v>
      </c>
      <c r="X773">
        <f ca="1">IF(V773=0,0,OFFSET(CreditMetrics!$B$474,MATCH(RAND(),OFFSET(CreditMetrics!$C$474,1,MATCH(BDClientes!V773,CreditMetrics!$B$475:$B$491,0),COUNT(CreditMetrics!$B$475:$B$491),1),1),0,1,1))</f>
        <v>0</v>
      </c>
      <c r="Z773" s="79"/>
    </row>
    <row r="774" spans="1:26" x14ac:dyDescent="0.25">
      <c r="A774" s="4">
        <v>773</v>
      </c>
      <c r="B774" s="5" t="s">
        <v>775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8">
        <v>0</v>
      </c>
      <c r="S774" s="7">
        <v>83</v>
      </c>
      <c r="T774" s="7">
        <v>0</v>
      </c>
      <c r="U774" s="7">
        <v>0</v>
      </c>
      <c r="V774" s="7">
        <v>85</v>
      </c>
      <c r="W774" s="138">
        <v>511237.07320081501</v>
      </c>
      <c r="X774">
        <f ca="1">IF(V774=0,0,OFFSET(CreditMetrics!$B$474,MATCH(RAND(),OFFSET(CreditMetrics!$C$474,1,MATCH(BDClientes!V774,CreditMetrics!$B$475:$B$491,0),COUNT(CreditMetrics!$B$475:$B$491),1),1),0,1,1))</f>
        <v>85</v>
      </c>
      <c r="Z774" s="79"/>
    </row>
    <row r="775" spans="1:26" x14ac:dyDescent="0.25">
      <c r="A775" s="4">
        <v>774</v>
      </c>
      <c r="B775" s="5" t="s">
        <v>776</v>
      </c>
      <c r="C775" s="6">
        <v>0</v>
      </c>
      <c r="D775" s="7">
        <v>0</v>
      </c>
      <c r="E775" s="7">
        <v>0</v>
      </c>
      <c r="F775" s="7">
        <v>0</v>
      </c>
      <c r="G775" s="7">
        <v>0</v>
      </c>
      <c r="H775" s="6">
        <v>0</v>
      </c>
      <c r="I775" s="9">
        <v>0</v>
      </c>
      <c r="J775" s="9">
        <v>0</v>
      </c>
      <c r="K775" s="9">
        <v>0</v>
      </c>
      <c r="L775" s="9">
        <v>0</v>
      </c>
      <c r="M775" s="10">
        <v>0</v>
      </c>
      <c r="N775" s="9">
        <v>0</v>
      </c>
      <c r="O775" s="6">
        <v>0</v>
      </c>
      <c r="P775" s="6">
        <v>0</v>
      </c>
      <c r="Q775" s="6">
        <v>0</v>
      </c>
      <c r="R775" s="6">
        <v>0</v>
      </c>
      <c r="S775" s="7">
        <v>87</v>
      </c>
      <c r="T775" s="7">
        <v>87</v>
      </c>
      <c r="U775" s="7">
        <v>87</v>
      </c>
      <c r="V775" s="7">
        <v>85</v>
      </c>
      <c r="W775" s="138">
        <v>254394.26599185177</v>
      </c>
      <c r="X775">
        <f ca="1">IF(V775=0,0,OFFSET(CreditMetrics!$B$474,MATCH(RAND(),OFFSET(CreditMetrics!$C$474,1,MATCH(BDClientes!V775,CreditMetrics!$B$475:$B$491,0),COUNT(CreditMetrics!$B$475:$B$491),1),1),0,1,1))</f>
        <v>85</v>
      </c>
      <c r="Z775" s="79"/>
    </row>
    <row r="776" spans="1:26" x14ac:dyDescent="0.25">
      <c r="A776" s="4">
        <v>775</v>
      </c>
      <c r="B776" s="5" t="s">
        <v>777</v>
      </c>
      <c r="C776" s="6">
        <v>0</v>
      </c>
      <c r="D776" s="7">
        <v>0</v>
      </c>
      <c r="E776" s="7">
        <v>0</v>
      </c>
      <c r="F776" s="7">
        <v>0</v>
      </c>
      <c r="G776" s="7">
        <v>0</v>
      </c>
      <c r="H776" s="6">
        <v>0</v>
      </c>
      <c r="I776" s="9">
        <v>0</v>
      </c>
      <c r="J776" s="9">
        <v>0</v>
      </c>
      <c r="K776" s="9">
        <v>0</v>
      </c>
      <c r="L776" s="9">
        <v>0</v>
      </c>
      <c r="M776" s="10">
        <v>0</v>
      </c>
      <c r="N776" s="9">
        <v>0</v>
      </c>
      <c r="O776" s="6">
        <v>0</v>
      </c>
      <c r="P776" s="6">
        <v>0</v>
      </c>
      <c r="Q776" s="6">
        <v>0</v>
      </c>
      <c r="R776" s="6">
        <v>0</v>
      </c>
      <c r="S776" s="7">
        <v>83</v>
      </c>
      <c r="T776" s="7">
        <v>83</v>
      </c>
      <c r="U776" s="7">
        <v>83</v>
      </c>
      <c r="V776" s="7">
        <v>85</v>
      </c>
      <c r="W776" s="138">
        <v>2034402.4642741005</v>
      </c>
      <c r="X776">
        <f ca="1">IF(V776=0,0,OFFSET(CreditMetrics!$B$474,MATCH(RAND(),OFFSET(CreditMetrics!$C$474,1,MATCH(BDClientes!V776,CreditMetrics!$B$475:$B$491,0),COUNT(CreditMetrics!$B$475:$B$491),1),1),0,1,1))</f>
        <v>85</v>
      </c>
      <c r="Z776" s="79"/>
    </row>
    <row r="777" spans="1:26" x14ac:dyDescent="0.25">
      <c r="A777" s="4">
        <v>776</v>
      </c>
      <c r="B777" s="5" t="s">
        <v>778</v>
      </c>
      <c r="C777" s="6">
        <v>0</v>
      </c>
      <c r="D777" s="7">
        <v>0</v>
      </c>
      <c r="E777" s="7">
        <v>0</v>
      </c>
      <c r="F777" s="7">
        <v>0</v>
      </c>
      <c r="G777" s="7">
        <v>0</v>
      </c>
      <c r="H777" s="6">
        <v>0</v>
      </c>
      <c r="I777" s="9">
        <v>0</v>
      </c>
      <c r="J777" s="9">
        <v>0</v>
      </c>
      <c r="K777" s="9">
        <v>0</v>
      </c>
      <c r="L777" s="9">
        <v>0</v>
      </c>
      <c r="M777" s="10">
        <v>0</v>
      </c>
      <c r="N777" s="9">
        <v>0</v>
      </c>
      <c r="O777" s="6">
        <v>0</v>
      </c>
      <c r="P777" s="6">
        <v>0</v>
      </c>
      <c r="Q777" s="6">
        <v>0</v>
      </c>
      <c r="R777" s="6">
        <v>0</v>
      </c>
      <c r="S777" s="7">
        <v>83</v>
      </c>
      <c r="T777" s="7">
        <v>75</v>
      </c>
      <c r="U777" s="7">
        <v>0</v>
      </c>
      <c r="V777" s="7">
        <v>0</v>
      </c>
      <c r="X777">
        <f ca="1">IF(V777=0,0,OFFSET(CreditMetrics!$B$474,MATCH(RAND(),OFFSET(CreditMetrics!$C$474,1,MATCH(BDClientes!V777,CreditMetrics!$B$475:$B$491,0),COUNT(CreditMetrics!$B$475:$B$491),1),1),0,1,1))</f>
        <v>0</v>
      </c>
      <c r="Z777" s="79"/>
    </row>
    <row r="778" spans="1:26" x14ac:dyDescent="0.25">
      <c r="A778" s="4">
        <v>777</v>
      </c>
      <c r="B778" s="5" t="s">
        <v>779</v>
      </c>
      <c r="C778" s="6">
        <v>0</v>
      </c>
      <c r="D778" s="7">
        <v>0</v>
      </c>
      <c r="E778" s="7">
        <v>0</v>
      </c>
      <c r="F778" s="7">
        <v>0</v>
      </c>
      <c r="G778" s="7">
        <v>0</v>
      </c>
      <c r="H778" s="6">
        <v>0</v>
      </c>
      <c r="I778" s="9">
        <v>0</v>
      </c>
      <c r="J778" s="9">
        <v>0</v>
      </c>
      <c r="K778" s="9">
        <v>0</v>
      </c>
      <c r="L778" s="9">
        <v>0</v>
      </c>
      <c r="M778" s="10">
        <v>0</v>
      </c>
      <c r="N778" s="9">
        <v>0</v>
      </c>
      <c r="O778" s="6">
        <v>0</v>
      </c>
      <c r="P778" s="6">
        <v>0</v>
      </c>
      <c r="Q778" s="6">
        <v>0</v>
      </c>
      <c r="R778" s="6">
        <v>0</v>
      </c>
      <c r="S778" s="7">
        <v>85</v>
      </c>
      <c r="T778" s="7">
        <v>85</v>
      </c>
      <c r="U778" s="7">
        <v>85</v>
      </c>
      <c r="V778" s="7">
        <v>85</v>
      </c>
      <c r="W778" s="138">
        <v>182384.48772923485</v>
      </c>
      <c r="X778">
        <f ca="1">IF(V778=0,0,OFFSET(CreditMetrics!$B$474,MATCH(RAND(),OFFSET(CreditMetrics!$C$474,1,MATCH(BDClientes!V778,CreditMetrics!$B$475:$B$491,0),COUNT(CreditMetrics!$B$475:$B$491),1),1),0,1,1))</f>
        <v>85</v>
      </c>
      <c r="Z778" s="79"/>
    </row>
    <row r="779" spans="1:26" x14ac:dyDescent="0.25">
      <c r="A779" s="4">
        <v>778</v>
      </c>
      <c r="B779" s="5" t="s">
        <v>780</v>
      </c>
      <c r="C779" s="6">
        <v>0</v>
      </c>
      <c r="D779" s="7">
        <v>0</v>
      </c>
      <c r="E779" s="7">
        <v>0</v>
      </c>
      <c r="F779" s="7">
        <v>0</v>
      </c>
      <c r="G779" s="7">
        <v>0</v>
      </c>
      <c r="H779" s="6">
        <v>0</v>
      </c>
      <c r="I779" s="9">
        <v>0</v>
      </c>
      <c r="J779" s="9">
        <v>0</v>
      </c>
      <c r="K779" s="9">
        <v>0</v>
      </c>
      <c r="L779" s="9">
        <v>0</v>
      </c>
      <c r="M779" s="10">
        <v>0</v>
      </c>
      <c r="N779" s="9">
        <v>0</v>
      </c>
      <c r="O779" s="6">
        <v>0</v>
      </c>
      <c r="P779" s="6">
        <v>0</v>
      </c>
      <c r="Q779" s="6">
        <v>0</v>
      </c>
      <c r="R779" s="6">
        <v>0</v>
      </c>
      <c r="S779" s="7">
        <v>85</v>
      </c>
      <c r="T779" s="7">
        <v>85</v>
      </c>
      <c r="U779" s="7">
        <v>85</v>
      </c>
      <c r="V779" s="7">
        <v>85</v>
      </c>
      <c r="W779" s="138">
        <v>305943.41758559085</v>
      </c>
      <c r="X779">
        <f ca="1">IF(V779=0,0,OFFSET(CreditMetrics!$B$474,MATCH(RAND(),OFFSET(CreditMetrics!$C$474,1,MATCH(BDClientes!V779,CreditMetrics!$B$475:$B$491,0),COUNT(CreditMetrics!$B$475:$B$491),1),1),0,1,1))</f>
        <v>85</v>
      </c>
      <c r="Z779" s="79"/>
    </row>
    <row r="780" spans="1:26" x14ac:dyDescent="0.25">
      <c r="A780" s="4">
        <v>779</v>
      </c>
      <c r="B780" s="5" t="s">
        <v>781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8">
        <v>0</v>
      </c>
      <c r="S780" s="7">
        <v>83</v>
      </c>
      <c r="T780" s="7">
        <v>0</v>
      </c>
      <c r="U780" s="7">
        <v>83</v>
      </c>
      <c r="V780" s="7">
        <v>83</v>
      </c>
      <c r="W780" s="138">
        <v>118824.31094038603</v>
      </c>
      <c r="X780">
        <f ca="1">IF(V780=0,0,OFFSET(CreditMetrics!$B$474,MATCH(RAND(),OFFSET(CreditMetrics!$C$474,1,MATCH(BDClientes!V780,CreditMetrics!$B$475:$B$491,0),COUNT(CreditMetrics!$B$475:$B$491),1),1),0,1,1))</f>
        <v>85</v>
      </c>
      <c r="Z780" s="79"/>
    </row>
    <row r="781" spans="1:26" x14ac:dyDescent="0.25">
      <c r="A781" s="4">
        <v>780</v>
      </c>
      <c r="B781" s="5" t="s">
        <v>782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8">
        <v>0</v>
      </c>
      <c r="S781" s="7">
        <v>85</v>
      </c>
      <c r="T781" s="7">
        <v>83</v>
      </c>
      <c r="U781" s="7">
        <v>85</v>
      </c>
      <c r="V781" s="7">
        <v>80</v>
      </c>
      <c r="W781" s="138">
        <v>122071.68591168552</v>
      </c>
      <c r="X781">
        <f ca="1">IF(V781=0,0,OFFSET(CreditMetrics!$B$474,MATCH(RAND(),OFFSET(CreditMetrics!$C$474,1,MATCH(BDClientes!V781,CreditMetrics!$B$475:$B$491,0),COUNT(CreditMetrics!$B$475:$B$491),1),1),0,1,1))</f>
        <v>77</v>
      </c>
      <c r="Z781" s="79"/>
    </row>
    <row r="782" spans="1:26" x14ac:dyDescent="0.25">
      <c r="A782" s="4">
        <v>781</v>
      </c>
      <c r="B782" s="5" t="s">
        <v>783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8">
        <v>0</v>
      </c>
      <c r="S782" s="7">
        <v>87</v>
      </c>
      <c r="T782" s="7">
        <v>87</v>
      </c>
      <c r="U782" s="7">
        <v>87</v>
      </c>
      <c r="V782" s="7">
        <v>87</v>
      </c>
      <c r="W782" s="138">
        <v>108096.36688152059</v>
      </c>
      <c r="X782">
        <f ca="1">IF(V782=0,0,OFFSET(CreditMetrics!$B$474,MATCH(RAND(),OFFSET(CreditMetrics!$C$474,1,MATCH(BDClientes!V782,CreditMetrics!$B$475:$B$491,0),COUNT(CreditMetrics!$B$475:$B$491),1),1),0,1,1))</f>
        <v>85</v>
      </c>
      <c r="Z782" s="79"/>
    </row>
    <row r="783" spans="1:26" x14ac:dyDescent="0.25">
      <c r="A783" s="4">
        <v>782</v>
      </c>
      <c r="B783" s="5" t="s">
        <v>784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8">
        <v>0</v>
      </c>
      <c r="S783" s="7">
        <v>83</v>
      </c>
      <c r="T783" s="7">
        <v>0</v>
      </c>
      <c r="U783" s="7">
        <v>0</v>
      </c>
      <c r="V783" s="7">
        <v>0</v>
      </c>
      <c r="X783">
        <f ca="1">IF(V783=0,0,OFFSET(CreditMetrics!$B$474,MATCH(RAND(),OFFSET(CreditMetrics!$C$474,1,MATCH(BDClientes!V783,CreditMetrics!$B$475:$B$491,0),COUNT(CreditMetrics!$B$475:$B$491),1),1),0,1,1))</f>
        <v>0</v>
      </c>
      <c r="Z783" s="79"/>
    </row>
    <row r="784" spans="1:26" x14ac:dyDescent="0.25">
      <c r="A784" s="4">
        <v>783</v>
      </c>
      <c r="B784" s="5" t="s">
        <v>785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8">
        <v>0</v>
      </c>
      <c r="S784" s="7">
        <v>85</v>
      </c>
      <c r="T784" s="7">
        <v>85</v>
      </c>
      <c r="U784" s="7">
        <v>85</v>
      </c>
      <c r="V784" s="7">
        <v>83</v>
      </c>
      <c r="W784" s="138">
        <v>297907.92405077902</v>
      </c>
      <c r="X784">
        <f ca="1">IF(V784=0,0,OFFSET(CreditMetrics!$B$474,MATCH(RAND(),OFFSET(CreditMetrics!$C$474,1,MATCH(BDClientes!V784,CreditMetrics!$B$475:$B$491,0),COUNT(CreditMetrics!$B$475:$B$491),1),1),0,1,1))</f>
        <v>83</v>
      </c>
      <c r="Z784" s="79"/>
    </row>
    <row r="785" spans="1:26" x14ac:dyDescent="0.25">
      <c r="A785" s="4">
        <v>784</v>
      </c>
      <c r="B785" s="5" t="s">
        <v>786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8">
        <v>0</v>
      </c>
      <c r="S785" s="7">
        <v>85</v>
      </c>
      <c r="T785" s="7">
        <v>85</v>
      </c>
      <c r="U785" s="7">
        <v>85</v>
      </c>
      <c r="V785" s="7">
        <v>85</v>
      </c>
      <c r="W785" s="138">
        <v>119568.68705821547</v>
      </c>
      <c r="X785">
        <f ca="1">IF(V785=0,0,OFFSET(CreditMetrics!$B$474,MATCH(RAND(),OFFSET(CreditMetrics!$C$474,1,MATCH(BDClientes!V785,CreditMetrics!$B$475:$B$491,0),COUNT(CreditMetrics!$B$475:$B$491),1),1),0,1,1))</f>
        <v>85</v>
      </c>
      <c r="Z785" s="79"/>
    </row>
    <row r="786" spans="1:26" x14ac:dyDescent="0.25">
      <c r="A786" s="4">
        <v>785</v>
      </c>
      <c r="B786" s="5" t="s">
        <v>787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8">
        <v>0</v>
      </c>
      <c r="S786" s="7">
        <v>85</v>
      </c>
      <c r="T786" s="7">
        <v>83</v>
      </c>
      <c r="U786" s="7">
        <v>0</v>
      </c>
      <c r="V786" s="7">
        <v>0</v>
      </c>
      <c r="X786">
        <f ca="1">IF(V786=0,0,OFFSET(CreditMetrics!$B$474,MATCH(RAND(),OFFSET(CreditMetrics!$C$474,1,MATCH(BDClientes!V786,CreditMetrics!$B$475:$B$491,0),COUNT(CreditMetrics!$B$475:$B$491),1),1),0,1,1))</f>
        <v>0</v>
      </c>
      <c r="Z786" s="79"/>
    </row>
    <row r="787" spans="1:26" x14ac:dyDescent="0.25">
      <c r="A787" s="4">
        <v>786</v>
      </c>
      <c r="B787" s="5" t="s">
        <v>788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  <c r="R787" s="8">
        <v>0</v>
      </c>
      <c r="S787" s="7">
        <v>85</v>
      </c>
      <c r="T787" s="7">
        <v>83</v>
      </c>
      <c r="U787" s="7">
        <v>83</v>
      </c>
      <c r="V787" s="7">
        <v>83</v>
      </c>
      <c r="W787" s="138">
        <v>841006.12533147924</v>
      </c>
      <c r="X787">
        <f ca="1">IF(V787=0,0,OFFSET(CreditMetrics!$B$474,MATCH(RAND(),OFFSET(CreditMetrics!$C$474,1,MATCH(BDClientes!V787,CreditMetrics!$B$475:$B$491,0),COUNT(CreditMetrics!$B$475:$B$491),1),1),0,1,1))</f>
        <v>85</v>
      </c>
      <c r="Z787" s="79"/>
    </row>
    <row r="788" spans="1:26" x14ac:dyDescent="0.25">
      <c r="A788" s="4">
        <v>787</v>
      </c>
      <c r="B788" s="5" t="s">
        <v>789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8">
        <v>0</v>
      </c>
      <c r="S788" s="7">
        <v>87</v>
      </c>
      <c r="T788" s="7">
        <v>85</v>
      </c>
      <c r="U788" s="7">
        <v>87</v>
      </c>
      <c r="V788" s="7">
        <v>0</v>
      </c>
      <c r="X788">
        <f ca="1">IF(V788=0,0,OFFSET(CreditMetrics!$B$474,MATCH(RAND(),OFFSET(CreditMetrics!$C$474,1,MATCH(BDClientes!V788,CreditMetrics!$B$475:$B$491,0),COUNT(CreditMetrics!$B$475:$B$491),1),1),0,1,1))</f>
        <v>0</v>
      </c>
      <c r="Z788" s="79"/>
    </row>
    <row r="789" spans="1:26" x14ac:dyDescent="0.25">
      <c r="A789" s="4">
        <v>788</v>
      </c>
      <c r="B789" s="5" t="s">
        <v>790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8">
        <v>0</v>
      </c>
      <c r="S789" s="7">
        <v>80</v>
      </c>
      <c r="T789" s="7">
        <v>83</v>
      </c>
      <c r="U789" s="7">
        <v>83</v>
      </c>
      <c r="V789" s="7">
        <v>83</v>
      </c>
      <c r="W789" s="138">
        <v>188766.97969300565</v>
      </c>
      <c r="X789">
        <f ca="1">IF(V789=0,0,OFFSET(CreditMetrics!$B$474,MATCH(RAND(),OFFSET(CreditMetrics!$C$474,1,MATCH(BDClientes!V789,CreditMetrics!$B$475:$B$491,0),COUNT(CreditMetrics!$B$475:$B$491),1),1),0,1,1))</f>
        <v>83</v>
      </c>
      <c r="Z789" s="79"/>
    </row>
    <row r="790" spans="1:26" x14ac:dyDescent="0.25">
      <c r="A790" s="4">
        <v>789</v>
      </c>
      <c r="B790" s="5" t="s">
        <v>791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8">
        <v>0</v>
      </c>
      <c r="S790" s="7">
        <v>83</v>
      </c>
      <c r="T790" s="7">
        <v>85</v>
      </c>
      <c r="U790" s="7">
        <v>85</v>
      </c>
      <c r="V790" s="7">
        <v>85</v>
      </c>
      <c r="W790" s="138">
        <v>684377.903970454</v>
      </c>
      <c r="X790">
        <f ca="1">IF(V790=0,0,OFFSET(CreditMetrics!$B$474,MATCH(RAND(),OFFSET(CreditMetrics!$C$474,1,MATCH(BDClientes!V790,CreditMetrics!$B$475:$B$491,0),COUNT(CreditMetrics!$B$475:$B$491),1),1),0,1,1))</f>
        <v>83</v>
      </c>
      <c r="Z790" s="79"/>
    </row>
    <row r="791" spans="1:26" x14ac:dyDescent="0.25">
      <c r="A791" s="4">
        <v>790</v>
      </c>
      <c r="B791" s="5" t="s">
        <v>792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8">
        <v>0</v>
      </c>
      <c r="S791" s="7">
        <v>85</v>
      </c>
      <c r="T791" s="7">
        <v>85</v>
      </c>
      <c r="U791" s="7">
        <v>85</v>
      </c>
      <c r="V791" s="7">
        <v>85</v>
      </c>
      <c r="W791" s="138">
        <v>821315.56562346022</v>
      </c>
      <c r="X791">
        <f ca="1">IF(V791=0,0,OFFSET(CreditMetrics!$B$474,MATCH(RAND(),OFFSET(CreditMetrics!$C$474,1,MATCH(BDClientes!V791,CreditMetrics!$B$475:$B$491,0),COUNT(CreditMetrics!$B$475:$B$491),1),1),0,1,1))</f>
        <v>85</v>
      </c>
      <c r="Z791" s="79"/>
    </row>
    <row r="792" spans="1:26" x14ac:dyDescent="0.25">
      <c r="A792" s="4">
        <v>791</v>
      </c>
      <c r="B792" s="5" t="s">
        <v>793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8">
        <v>0</v>
      </c>
      <c r="S792" s="7">
        <v>85</v>
      </c>
      <c r="T792" s="7">
        <v>85</v>
      </c>
      <c r="U792" s="7">
        <v>85</v>
      </c>
      <c r="V792" s="7">
        <v>85</v>
      </c>
      <c r="W792" s="138">
        <v>119729.37740273296</v>
      </c>
      <c r="X792">
        <f ca="1">IF(V792=0,0,OFFSET(CreditMetrics!$B$474,MATCH(RAND(),OFFSET(CreditMetrics!$C$474,1,MATCH(BDClientes!V792,CreditMetrics!$B$475:$B$491,0),COUNT(CreditMetrics!$B$475:$B$491),1),1),0,1,1))</f>
        <v>77</v>
      </c>
      <c r="Z792" s="79"/>
    </row>
    <row r="793" spans="1:26" x14ac:dyDescent="0.25">
      <c r="A793" s="4">
        <v>792</v>
      </c>
      <c r="B793" s="5" t="s">
        <v>794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8">
        <v>0</v>
      </c>
      <c r="S793" s="7">
        <v>0</v>
      </c>
      <c r="T793" s="7">
        <v>80</v>
      </c>
      <c r="U793" s="7">
        <v>83</v>
      </c>
      <c r="V793" s="7">
        <v>83</v>
      </c>
      <c r="W793" s="138">
        <v>141688.36046954271</v>
      </c>
      <c r="X793">
        <f ca="1">IF(V793=0,0,OFFSET(CreditMetrics!$B$474,MATCH(RAND(),OFFSET(CreditMetrics!$C$474,1,MATCH(BDClientes!V793,CreditMetrics!$B$475:$B$491,0),COUNT(CreditMetrics!$B$475:$B$491),1),1),0,1,1))</f>
        <v>85</v>
      </c>
      <c r="Z793" s="79"/>
    </row>
    <row r="794" spans="1:26" x14ac:dyDescent="0.25">
      <c r="A794" s="4">
        <v>793</v>
      </c>
      <c r="B794" s="5" t="s">
        <v>795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  <c r="R794" s="8">
        <v>0</v>
      </c>
      <c r="S794" s="7">
        <v>0</v>
      </c>
      <c r="T794" s="7">
        <v>83</v>
      </c>
      <c r="U794" s="7">
        <v>85</v>
      </c>
      <c r="V794" s="7">
        <v>85</v>
      </c>
      <c r="W794" s="138">
        <v>960182.50572998542</v>
      </c>
      <c r="X794">
        <f ca="1">IF(V794=0,0,OFFSET(CreditMetrics!$B$474,MATCH(RAND(),OFFSET(CreditMetrics!$C$474,1,MATCH(BDClientes!V794,CreditMetrics!$B$475:$B$491,0),COUNT(CreditMetrics!$B$475:$B$491),1),1),0,1,1))</f>
        <v>85</v>
      </c>
      <c r="Z794" s="79"/>
    </row>
    <row r="795" spans="1:26" x14ac:dyDescent="0.25">
      <c r="A795" s="4">
        <v>794</v>
      </c>
      <c r="B795" s="5" t="s">
        <v>796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8">
        <v>0</v>
      </c>
      <c r="S795" s="7">
        <v>0</v>
      </c>
      <c r="T795" s="7">
        <v>77</v>
      </c>
      <c r="U795" s="7">
        <v>77</v>
      </c>
      <c r="V795" s="7">
        <v>77</v>
      </c>
      <c r="W795" s="138">
        <v>180437.62183506083</v>
      </c>
      <c r="X795">
        <f ca="1">IF(V795=0,0,OFFSET(CreditMetrics!$B$474,MATCH(RAND(),OFFSET(CreditMetrics!$C$474,1,MATCH(BDClientes!V795,CreditMetrics!$B$475:$B$491,0),COUNT(CreditMetrics!$B$475:$B$491),1),1),0,1,1))</f>
        <v>83</v>
      </c>
      <c r="Z795" s="79"/>
    </row>
    <row r="796" spans="1:26" x14ac:dyDescent="0.25">
      <c r="A796" s="4">
        <v>795</v>
      </c>
      <c r="B796" s="5" t="s">
        <v>797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8">
        <v>0</v>
      </c>
      <c r="S796" s="7">
        <v>0</v>
      </c>
      <c r="T796" s="7">
        <v>80</v>
      </c>
      <c r="U796" s="7">
        <v>0</v>
      </c>
      <c r="V796" s="7">
        <v>83</v>
      </c>
      <c r="W796" s="138">
        <v>121748.86742391901</v>
      </c>
      <c r="X796">
        <f ca="1">IF(V796=0,0,OFFSET(CreditMetrics!$B$474,MATCH(RAND(),OFFSET(CreditMetrics!$C$474,1,MATCH(BDClientes!V796,CreditMetrics!$B$475:$B$491,0),COUNT(CreditMetrics!$B$475:$B$491),1),1),0,1,1))</f>
        <v>85</v>
      </c>
      <c r="Z796" s="79"/>
    </row>
    <row r="797" spans="1:26" x14ac:dyDescent="0.25">
      <c r="A797" s="4">
        <v>796</v>
      </c>
      <c r="B797" s="5" t="s">
        <v>798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8">
        <v>0</v>
      </c>
      <c r="S797" s="7">
        <v>0</v>
      </c>
      <c r="T797" s="7">
        <v>80</v>
      </c>
      <c r="U797" s="7">
        <v>77</v>
      </c>
      <c r="V797" s="7">
        <v>77</v>
      </c>
      <c r="W797" s="138">
        <v>648043.37063237489</v>
      </c>
      <c r="X797">
        <f ca="1">IF(V797=0,0,OFFSET(CreditMetrics!$B$474,MATCH(RAND(),OFFSET(CreditMetrics!$C$474,1,MATCH(BDClientes!V797,CreditMetrics!$B$475:$B$491,0),COUNT(CreditMetrics!$B$475:$B$491),1),1),0,1,1))</f>
        <v>77</v>
      </c>
      <c r="Z797" s="79"/>
    </row>
    <row r="798" spans="1:26" x14ac:dyDescent="0.25">
      <c r="A798" s="4">
        <v>797</v>
      </c>
      <c r="B798" s="5" t="s">
        <v>799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8">
        <v>0</v>
      </c>
      <c r="S798" s="7">
        <v>0</v>
      </c>
      <c r="T798" s="7">
        <v>85</v>
      </c>
      <c r="U798" s="7">
        <v>85</v>
      </c>
      <c r="V798" s="7">
        <v>85</v>
      </c>
      <c r="W798" s="138">
        <v>457985.27403578308</v>
      </c>
      <c r="X798">
        <f ca="1">IF(V798=0,0,OFFSET(CreditMetrics!$B$474,MATCH(RAND(),OFFSET(CreditMetrics!$C$474,1,MATCH(BDClientes!V798,CreditMetrics!$B$475:$B$491,0),COUNT(CreditMetrics!$B$475:$B$491),1),1),0,1,1))</f>
        <v>85</v>
      </c>
      <c r="Z798" s="79"/>
    </row>
    <row r="799" spans="1:26" x14ac:dyDescent="0.25">
      <c r="A799" s="4">
        <v>798</v>
      </c>
      <c r="B799" s="5" t="s">
        <v>800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  <c r="R799" s="8">
        <v>0</v>
      </c>
      <c r="S799" s="7">
        <v>0</v>
      </c>
      <c r="T799" s="7">
        <v>80</v>
      </c>
      <c r="U799" s="7">
        <v>83</v>
      </c>
      <c r="V799" s="7">
        <v>83</v>
      </c>
      <c r="W799" s="138">
        <v>261973.35068796473</v>
      </c>
      <c r="X799">
        <f ca="1">IF(V799=0,0,OFFSET(CreditMetrics!$B$474,MATCH(RAND(),OFFSET(CreditMetrics!$C$474,1,MATCH(BDClientes!V799,CreditMetrics!$B$475:$B$491,0),COUNT(CreditMetrics!$B$475:$B$491),1),1),0,1,1))</f>
        <v>83</v>
      </c>
      <c r="Z799" s="79"/>
    </row>
    <row r="800" spans="1:26" x14ac:dyDescent="0.25">
      <c r="A800" s="4">
        <v>799</v>
      </c>
      <c r="B800" s="5" t="s">
        <v>801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  <c r="R800" s="8">
        <v>0</v>
      </c>
      <c r="S800" s="7">
        <v>0</v>
      </c>
      <c r="T800" s="7">
        <v>83</v>
      </c>
      <c r="U800" s="7">
        <v>80</v>
      </c>
      <c r="V800" s="7">
        <v>80</v>
      </c>
      <c r="W800" s="138">
        <v>220769.2043750071</v>
      </c>
      <c r="X800">
        <f ca="1">IF(V800=0,0,OFFSET(CreditMetrics!$B$474,MATCH(RAND(),OFFSET(CreditMetrics!$C$474,1,MATCH(BDClientes!V800,CreditMetrics!$B$475:$B$491,0),COUNT(CreditMetrics!$B$475:$B$491),1),1),0,1,1))</f>
        <v>77</v>
      </c>
      <c r="Z800" s="79"/>
    </row>
    <row r="801" spans="1:26" x14ac:dyDescent="0.25">
      <c r="A801" s="4">
        <v>800</v>
      </c>
      <c r="B801" s="5" t="s">
        <v>802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  <c r="R801" s="8">
        <v>0</v>
      </c>
      <c r="S801" s="7">
        <v>0</v>
      </c>
      <c r="T801" s="7">
        <v>87</v>
      </c>
      <c r="U801" s="7">
        <v>87</v>
      </c>
      <c r="V801" s="7">
        <v>87</v>
      </c>
      <c r="W801" s="138">
        <v>326368.79790635512</v>
      </c>
      <c r="X801">
        <f ca="1">IF(V801=0,0,OFFSET(CreditMetrics!$B$474,MATCH(RAND(),OFFSET(CreditMetrics!$C$474,1,MATCH(BDClientes!V801,CreditMetrics!$B$475:$B$491,0),COUNT(CreditMetrics!$B$475:$B$491),1),1),0,1,1))</f>
        <v>85</v>
      </c>
      <c r="Z801" s="79"/>
    </row>
    <row r="802" spans="1:26" x14ac:dyDescent="0.25">
      <c r="A802" s="4">
        <v>801</v>
      </c>
      <c r="B802" s="5" t="s">
        <v>803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  <c r="R802" s="8">
        <v>0</v>
      </c>
      <c r="S802" s="7">
        <v>0</v>
      </c>
      <c r="T802" s="7">
        <v>85</v>
      </c>
      <c r="U802" s="7">
        <v>87</v>
      </c>
      <c r="V802" s="7">
        <v>85</v>
      </c>
      <c r="W802" s="138">
        <v>445754.62476010114</v>
      </c>
      <c r="X802">
        <f ca="1">IF(V802=0,0,OFFSET(CreditMetrics!$B$474,MATCH(RAND(),OFFSET(CreditMetrics!$C$474,1,MATCH(BDClientes!V802,CreditMetrics!$B$475:$B$491,0),COUNT(CreditMetrics!$B$475:$B$491),1),1),0,1,1))</f>
        <v>87</v>
      </c>
      <c r="Z802" s="79"/>
    </row>
    <row r="803" spans="1:26" x14ac:dyDescent="0.25">
      <c r="A803" s="4">
        <v>802</v>
      </c>
      <c r="B803" s="5" t="s">
        <v>804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  <c r="R803" s="8">
        <v>0</v>
      </c>
      <c r="S803" s="7">
        <v>0</v>
      </c>
      <c r="T803" s="7">
        <v>85</v>
      </c>
      <c r="U803" s="7">
        <v>85</v>
      </c>
      <c r="V803" s="7">
        <v>85</v>
      </c>
      <c r="W803" s="138">
        <v>149860.96157744181</v>
      </c>
      <c r="X803">
        <f ca="1">IF(V803=0,0,OFFSET(CreditMetrics!$B$474,MATCH(RAND(),OFFSET(CreditMetrics!$C$474,1,MATCH(BDClientes!V803,CreditMetrics!$B$475:$B$491,0),COUNT(CreditMetrics!$B$475:$B$491),1),1),0,1,1))</f>
        <v>85</v>
      </c>
      <c r="Z803" s="79"/>
    </row>
    <row r="804" spans="1:26" x14ac:dyDescent="0.25">
      <c r="A804" s="4">
        <v>803</v>
      </c>
      <c r="B804" s="5" t="s">
        <v>805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8">
        <v>0</v>
      </c>
      <c r="S804" s="7">
        <v>0</v>
      </c>
      <c r="T804" s="7">
        <v>80</v>
      </c>
      <c r="U804" s="7">
        <v>83</v>
      </c>
      <c r="V804" s="7">
        <v>85</v>
      </c>
      <c r="W804" s="138">
        <v>116199.1879219674</v>
      </c>
      <c r="X804">
        <f ca="1">IF(V804=0,0,OFFSET(CreditMetrics!$B$474,MATCH(RAND(),OFFSET(CreditMetrics!$C$474,1,MATCH(BDClientes!V804,CreditMetrics!$B$475:$B$491,0),COUNT(CreditMetrics!$B$475:$B$491),1),1),0,1,1))</f>
        <v>87</v>
      </c>
      <c r="Z804" s="79"/>
    </row>
    <row r="805" spans="1:26" x14ac:dyDescent="0.25">
      <c r="A805" s="4">
        <v>804</v>
      </c>
      <c r="B805" s="5" t="s">
        <v>806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  <c r="R805" s="8">
        <v>0</v>
      </c>
      <c r="S805" s="7">
        <v>0</v>
      </c>
      <c r="T805" s="7">
        <v>83</v>
      </c>
      <c r="U805" s="7">
        <v>80</v>
      </c>
      <c r="V805" s="7">
        <v>80</v>
      </c>
      <c r="W805" s="138">
        <v>227993.8838409505</v>
      </c>
      <c r="X805">
        <f ca="1">IF(V805=0,0,OFFSET(CreditMetrics!$B$474,MATCH(RAND(),OFFSET(CreditMetrics!$C$474,1,MATCH(BDClientes!V805,CreditMetrics!$B$475:$B$491,0),COUNT(CreditMetrics!$B$475:$B$491),1),1),0,1,1))</f>
        <v>80</v>
      </c>
      <c r="Z805" s="79"/>
    </row>
    <row r="806" spans="1:26" x14ac:dyDescent="0.25">
      <c r="A806" s="4">
        <v>805</v>
      </c>
      <c r="B806" s="5" t="s">
        <v>807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  <c r="R806" s="8">
        <v>0</v>
      </c>
      <c r="S806" s="7">
        <v>0</v>
      </c>
      <c r="T806" s="7">
        <v>87</v>
      </c>
      <c r="U806" s="7">
        <v>87</v>
      </c>
      <c r="V806" s="7">
        <v>85</v>
      </c>
      <c r="W806" s="138">
        <v>530491.33557975327</v>
      </c>
      <c r="X806">
        <f ca="1">IF(V806=0,0,OFFSET(CreditMetrics!$B$474,MATCH(RAND(),OFFSET(CreditMetrics!$C$474,1,MATCH(BDClientes!V806,CreditMetrics!$B$475:$B$491,0),COUNT(CreditMetrics!$B$475:$B$491),1),1),0,1,1))</f>
        <v>83</v>
      </c>
      <c r="Z806" s="79"/>
    </row>
    <row r="807" spans="1:26" x14ac:dyDescent="0.25">
      <c r="A807" s="4">
        <v>806</v>
      </c>
      <c r="B807" s="5" t="s">
        <v>808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  <c r="R807" s="8">
        <v>0</v>
      </c>
      <c r="S807" s="7">
        <v>0</v>
      </c>
      <c r="T807" s="7">
        <v>85</v>
      </c>
      <c r="U807" s="7">
        <v>85</v>
      </c>
      <c r="V807" s="7">
        <v>83</v>
      </c>
      <c r="W807" s="138">
        <v>1352466.6941925734</v>
      </c>
      <c r="X807">
        <f ca="1">IF(V807=0,0,OFFSET(CreditMetrics!$B$474,MATCH(RAND(),OFFSET(CreditMetrics!$C$474,1,MATCH(BDClientes!V807,CreditMetrics!$B$475:$B$491,0),COUNT(CreditMetrics!$B$475:$B$491),1),1),0,1,1))</f>
        <v>80</v>
      </c>
      <c r="Z807" s="79"/>
    </row>
    <row r="808" spans="1:26" x14ac:dyDescent="0.25">
      <c r="A808" s="4">
        <v>807</v>
      </c>
      <c r="B808" s="5" t="s">
        <v>809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  <c r="R808" s="8">
        <v>0</v>
      </c>
      <c r="S808" s="7">
        <v>0</v>
      </c>
      <c r="T808" s="7">
        <v>83</v>
      </c>
      <c r="U808" s="7">
        <v>83</v>
      </c>
      <c r="V808" s="7">
        <v>83</v>
      </c>
      <c r="W808" s="138">
        <v>292675.65346847277</v>
      </c>
      <c r="X808">
        <f ca="1">IF(V808=0,0,OFFSET(CreditMetrics!$B$474,MATCH(RAND(),OFFSET(CreditMetrics!$C$474,1,MATCH(BDClientes!V808,CreditMetrics!$B$475:$B$491,0),COUNT(CreditMetrics!$B$475:$B$491),1),1),0,1,1))</f>
        <v>85</v>
      </c>
      <c r="Z808" s="79"/>
    </row>
    <row r="809" spans="1:26" x14ac:dyDescent="0.25">
      <c r="A809" s="4">
        <v>808</v>
      </c>
      <c r="B809" s="5" t="s">
        <v>810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  <c r="R809" s="8">
        <v>0</v>
      </c>
      <c r="S809" s="7">
        <v>0</v>
      </c>
      <c r="T809" s="7">
        <v>85</v>
      </c>
      <c r="U809" s="7">
        <v>85</v>
      </c>
      <c r="V809" s="7">
        <v>85</v>
      </c>
      <c r="W809" s="138">
        <v>252932.32653306751</v>
      </c>
      <c r="X809">
        <f ca="1">IF(V809=0,0,OFFSET(CreditMetrics!$B$474,MATCH(RAND(),OFFSET(CreditMetrics!$C$474,1,MATCH(BDClientes!V809,CreditMetrics!$B$475:$B$491,0),COUNT(CreditMetrics!$B$475:$B$491),1),1),0,1,1))</f>
        <v>85</v>
      </c>
      <c r="Z809" s="79"/>
    </row>
    <row r="810" spans="1:26" x14ac:dyDescent="0.25">
      <c r="A810" s="4">
        <v>809</v>
      </c>
      <c r="B810" s="5" t="s">
        <v>811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  <c r="R810" s="8">
        <v>0</v>
      </c>
      <c r="S810" s="7">
        <v>0</v>
      </c>
      <c r="T810" s="7">
        <v>73</v>
      </c>
      <c r="U810" s="7">
        <v>73</v>
      </c>
      <c r="V810" s="7">
        <v>73</v>
      </c>
      <c r="W810" s="138">
        <v>140288.01292172735</v>
      </c>
      <c r="X810">
        <f ca="1">IF(V810=0,0,OFFSET(CreditMetrics!$B$474,MATCH(RAND(),OFFSET(CreditMetrics!$C$474,1,MATCH(BDClientes!V810,CreditMetrics!$B$475:$B$491,0),COUNT(CreditMetrics!$B$475:$B$491),1),1),0,1,1))</f>
        <v>80</v>
      </c>
      <c r="Z810" s="79"/>
    </row>
    <row r="811" spans="1:26" x14ac:dyDescent="0.25">
      <c r="A811" s="4">
        <v>810</v>
      </c>
      <c r="B811" s="5" t="s">
        <v>812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  <c r="R811" s="8">
        <v>0</v>
      </c>
      <c r="S811" s="7">
        <v>0</v>
      </c>
      <c r="T811" s="7">
        <v>80</v>
      </c>
      <c r="U811" s="7">
        <v>77</v>
      </c>
      <c r="V811" s="7">
        <v>80</v>
      </c>
      <c r="W811" s="138">
        <v>992689.92803475657</v>
      </c>
      <c r="X811">
        <f ca="1">IF(V811=0,0,OFFSET(CreditMetrics!$B$474,MATCH(RAND(),OFFSET(CreditMetrics!$C$474,1,MATCH(BDClientes!V811,CreditMetrics!$B$475:$B$491,0),COUNT(CreditMetrics!$B$475:$B$491),1),1),0,1,1))</f>
        <v>80</v>
      </c>
      <c r="Z811" s="79"/>
    </row>
    <row r="812" spans="1:26" x14ac:dyDescent="0.25">
      <c r="A812" s="4">
        <v>811</v>
      </c>
      <c r="B812" s="5" t="s">
        <v>813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  <c r="R812" s="8">
        <v>0</v>
      </c>
      <c r="S812" s="7">
        <v>0</v>
      </c>
      <c r="T812" s="7">
        <v>83</v>
      </c>
      <c r="U812" s="7">
        <v>80</v>
      </c>
      <c r="V812" s="7">
        <v>73</v>
      </c>
      <c r="W812" s="138">
        <v>148527.58316266787</v>
      </c>
      <c r="X812">
        <f ca="1">IF(V812=0,0,OFFSET(CreditMetrics!$B$474,MATCH(RAND(),OFFSET(CreditMetrics!$C$474,1,MATCH(BDClientes!V812,CreditMetrics!$B$475:$B$491,0),COUNT(CreditMetrics!$B$475:$B$491),1),1),0,1,1))</f>
        <v>75</v>
      </c>
      <c r="Z812" s="79"/>
    </row>
    <row r="813" spans="1:26" x14ac:dyDescent="0.25">
      <c r="A813" s="4">
        <v>812</v>
      </c>
      <c r="B813" s="5" t="s">
        <v>814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  <c r="R813" s="8">
        <v>0</v>
      </c>
      <c r="S813" s="7">
        <v>0</v>
      </c>
      <c r="T813" s="7">
        <v>73</v>
      </c>
      <c r="U813" s="7">
        <v>73</v>
      </c>
      <c r="V813" s="7">
        <v>73</v>
      </c>
      <c r="W813" s="138">
        <v>112007.93692459261</v>
      </c>
      <c r="X813">
        <f ca="1">IF(V813=0,0,OFFSET(CreditMetrics!$B$474,MATCH(RAND(),OFFSET(CreditMetrics!$C$474,1,MATCH(BDClientes!V813,CreditMetrics!$B$475:$B$491,0),COUNT(CreditMetrics!$B$475:$B$491),1),1),0,1,1))</f>
        <v>22</v>
      </c>
      <c r="Z813" s="79"/>
    </row>
    <row r="814" spans="1:26" x14ac:dyDescent="0.25">
      <c r="A814" s="4">
        <v>813</v>
      </c>
      <c r="B814" s="5" t="s">
        <v>815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  <c r="R814" s="8">
        <v>0</v>
      </c>
      <c r="S814" s="7">
        <v>0</v>
      </c>
      <c r="T814" s="7">
        <v>85</v>
      </c>
      <c r="U814" s="7">
        <v>0</v>
      </c>
      <c r="V814" s="7">
        <v>0</v>
      </c>
      <c r="X814">
        <f ca="1">IF(V814=0,0,OFFSET(CreditMetrics!$B$474,MATCH(RAND(),OFFSET(CreditMetrics!$C$474,1,MATCH(BDClientes!V814,CreditMetrics!$B$475:$B$491,0),COUNT(CreditMetrics!$B$475:$B$491),1),1),0,1,1))</f>
        <v>0</v>
      </c>
      <c r="Z814" s="79"/>
    </row>
    <row r="815" spans="1:26" x14ac:dyDescent="0.25">
      <c r="A815" s="4">
        <v>814</v>
      </c>
      <c r="B815" s="5" t="s">
        <v>816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  <c r="R815" s="8">
        <v>0</v>
      </c>
      <c r="S815" s="7">
        <v>0</v>
      </c>
      <c r="T815" s="7">
        <v>0</v>
      </c>
      <c r="U815" s="7">
        <v>85</v>
      </c>
      <c r="V815" s="7">
        <v>85</v>
      </c>
      <c r="W815" s="138">
        <v>117014.52123774895</v>
      </c>
      <c r="X815">
        <f ca="1">IF(V815=0,0,OFFSET(CreditMetrics!$B$474,MATCH(RAND(),OFFSET(CreditMetrics!$C$474,1,MATCH(BDClientes!V815,CreditMetrics!$B$475:$B$491,0),COUNT(CreditMetrics!$B$475:$B$491),1),1),0,1,1))</f>
        <v>75</v>
      </c>
      <c r="Z815" s="79"/>
    </row>
    <row r="816" spans="1:26" x14ac:dyDescent="0.25">
      <c r="A816" s="4">
        <v>815</v>
      </c>
      <c r="B816" s="5" t="s">
        <v>817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  <c r="R816" s="8">
        <v>0</v>
      </c>
      <c r="S816" s="7">
        <v>0</v>
      </c>
      <c r="T816" s="7">
        <v>0</v>
      </c>
      <c r="U816" s="7">
        <v>87</v>
      </c>
      <c r="V816" s="7">
        <v>87</v>
      </c>
      <c r="W816" s="138">
        <v>687562.39442194905</v>
      </c>
      <c r="X816">
        <f ca="1">IF(V816=0,0,OFFSET(CreditMetrics!$B$474,MATCH(RAND(),OFFSET(CreditMetrics!$C$474,1,MATCH(BDClientes!V816,CreditMetrics!$B$475:$B$491,0),COUNT(CreditMetrics!$B$475:$B$491),1),1),0,1,1))</f>
        <v>90</v>
      </c>
      <c r="Z816" s="79"/>
    </row>
    <row r="817" spans="1:26" x14ac:dyDescent="0.25">
      <c r="A817" s="4">
        <v>816</v>
      </c>
      <c r="B817" s="5" t="s">
        <v>818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  <c r="R817" s="8">
        <v>0</v>
      </c>
      <c r="S817" s="7">
        <v>0</v>
      </c>
      <c r="T817" s="7">
        <v>0</v>
      </c>
      <c r="U817" s="7">
        <v>77</v>
      </c>
      <c r="V817" s="7">
        <v>77</v>
      </c>
      <c r="W817" s="138">
        <v>9976907.9483182952</v>
      </c>
      <c r="X817">
        <f ca="1">IF(V817=0,0,OFFSET(CreditMetrics!$B$474,MATCH(RAND(),OFFSET(CreditMetrics!$C$474,1,MATCH(BDClientes!V817,CreditMetrics!$B$475:$B$491,0),COUNT(CreditMetrics!$B$475:$B$491),1),1),0,1,1))</f>
        <v>73</v>
      </c>
      <c r="Z817" s="79"/>
    </row>
    <row r="818" spans="1:26" x14ac:dyDescent="0.25">
      <c r="A818" s="4">
        <v>817</v>
      </c>
      <c r="B818" s="5" t="s">
        <v>819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  <c r="R818" s="8">
        <v>0</v>
      </c>
      <c r="S818" s="7">
        <v>0</v>
      </c>
      <c r="T818" s="7">
        <v>0</v>
      </c>
      <c r="U818" s="7">
        <v>85</v>
      </c>
      <c r="V818" s="7">
        <v>0</v>
      </c>
      <c r="X818">
        <f ca="1">IF(V818=0,0,OFFSET(CreditMetrics!$B$474,MATCH(RAND(),OFFSET(CreditMetrics!$C$474,1,MATCH(BDClientes!V818,CreditMetrics!$B$475:$B$491,0),COUNT(CreditMetrics!$B$475:$B$491),1),1),0,1,1))</f>
        <v>0</v>
      </c>
      <c r="Z818" s="79"/>
    </row>
    <row r="819" spans="1:26" x14ac:dyDescent="0.25">
      <c r="A819" s="4">
        <v>818</v>
      </c>
      <c r="B819" s="5" t="s">
        <v>820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  <c r="R819" s="8">
        <v>0</v>
      </c>
      <c r="S819" s="7">
        <v>0</v>
      </c>
      <c r="T819" s="7">
        <v>0</v>
      </c>
      <c r="U819" s="7">
        <v>77</v>
      </c>
      <c r="V819" s="7">
        <v>77</v>
      </c>
      <c r="W819" s="138">
        <v>130460.37251102962</v>
      </c>
      <c r="X819">
        <f ca="1">IF(V819=0,0,OFFSET(CreditMetrics!$B$474,MATCH(RAND(),OFFSET(CreditMetrics!$C$474,1,MATCH(BDClientes!V819,CreditMetrics!$B$475:$B$491,0),COUNT(CreditMetrics!$B$475:$B$491),1),1),0,1,1))</f>
        <v>80</v>
      </c>
      <c r="Z819" s="79"/>
    </row>
    <row r="820" spans="1:26" x14ac:dyDescent="0.25">
      <c r="A820" s="4">
        <v>819</v>
      </c>
      <c r="B820" s="5" t="s">
        <v>821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  <c r="R820" s="8">
        <v>0</v>
      </c>
      <c r="S820" s="7">
        <v>0</v>
      </c>
      <c r="T820" s="7">
        <v>0</v>
      </c>
      <c r="U820" s="7">
        <v>85</v>
      </c>
      <c r="V820" s="7">
        <v>85</v>
      </c>
      <c r="W820" s="138">
        <v>273770.29222432332</v>
      </c>
      <c r="X820">
        <f ca="1">IF(V820=0,0,OFFSET(CreditMetrics!$B$474,MATCH(RAND(),OFFSET(CreditMetrics!$C$474,1,MATCH(BDClientes!V820,CreditMetrics!$B$475:$B$491,0),COUNT(CreditMetrics!$B$475:$B$491),1),1),0,1,1))</f>
        <v>85</v>
      </c>
      <c r="Z820" s="79"/>
    </row>
    <row r="821" spans="1:26" x14ac:dyDescent="0.25">
      <c r="A821" s="4">
        <v>820</v>
      </c>
      <c r="B821" s="5" t="s">
        <v>822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  <c r="R821" s="8">
        <v>0</v>
      </c>
      <c r="S821" s="7">
        <v>0</v>
      </c>
      <c r="T821" s="7">
        <v>0</v>
      </c>
      <c r="U821" s="7">
        <v>83</v>
      </c>
      <c r="V821" s="7">
        <v>83</v>
      </c>
      <c r="W821" s="138">
        <v>110046.28264069486</v>
      </c>
      <c r="X821">
        <f ca="1">IF(V821=0,0,OFFSET(CreditMetrics!$B$474,MATCH(RAND(),OFFSET(CreditMetrics!$C$474,1,MATCH(BDClientes!V821,CreditMetrics!$B$475:$B$491,0),COUNT(CreditMetrics!$B$475:$B$491),1),1),0,1,1))</f>
        <v>83</v>
      </c>
      <c r="Z821" s="79"/>
    </row>
    <row r="822" spans="1:26" x14ac:dyDescent="0.25">
      <c r="A822" s="4">
        <v>821</v>
      </c>
      <c r="B822" s="5" t="s">
        <v>823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  <c r="R822" s="8">
        <v>0</v>
      </c>
      <c r="S822" s="7">
        <v>0</v>
      </c>
      <c r="T822" s="7">
        <v>0</v>
      </c>
      <c r="U822" s="7">
        <v>87</v>
      </c>
      <c r="V822" s="7">
        <v>87</v>
      </c>
      <c r="W822" s="138">
        <v>125272.5443764704</v>
      </c>
      <c r="X822">
        <f ca="1">IF(V822=0,0,OFFSET(CreditMetrics!$B$474,MATCH(RAND(),OFFSET(CreditMetrics!$C$474,1,MATCH(BDClientes!V822,CreditMetrics!$B$475:$B$491,0),COUNT(CreditMetrics!$B$475:$B$491),1),1),0,1,1))</f>
        <v>87</v>
      </c>
      <c r="Z822" s="79"/>
    </row>
    <row r="823" spans="1:26" x14ac:dyDescent="0.25">
      <c r="A823" s="4">
        <v>822</v>
      </c>
      <c r="B823" s="5" t="s">
        <v>824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  <c r="R823" s="8">
        <v>0</v>
      </c>
      <c r="S823" s="7">
        <v>0</v>
      </c>
      <c r="T823" s="7">
        <v>0</v>
      </c>
      <c r="U823" s="7">
        <v>85</v>
      </c>
      <c r="V823" s="7">
        <v>0</v>
      </c>
      <c r="X823">
        <f ca="1">IF(V823=0,0,OFFSET(CreditMetrics!$B$474,MATCH(RAND(),OFFSET(CreditMetrics!$C$474,1,MATCH(BDClientes!V823,CreditMetrics!$B$475:$B$491,0),COUNT(CreditMetrics!$B$475:$B$491),1),1),0,1,1))</f>
        <v>0</v>
      </c>
      <c r="Z823" s="79"/>
    </row>
    <row r="824" spans="1:26" x14ac:dyDescent="0.25">
      <c r="A824" s="4">
        <v>823</v>
      </c>
      <c r="B824" s="5" t="s">
        <v>825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  <c r="R824" s="8">
        <v>0</v>
      </c>
      <c r="S824" s="7">
        <v>0</v>
      </c>
      <c r="T824" s="7">
        <v>0</v>
      </c>
      <c r="U824" s="7">
        <v>77</v>
      </c>
      <c r="V824" s="7">
        <v>80</v>
      </c>
      <c r="W824" s="138">
        <v>263728.03146354243</v>
      </c>
      <c r="X824">
        <f ca="1">IF(V824=0,0,OFFSET(CreditMetrics!$B$474,MATCH(RAND(),OFFSET(CreditMetrics!$C$474,1,MATCH(BDClientes!V824,CreditMetrics!$B$475:$B$491,0),COUNT(CreditMetrics!$B$475:$B$491),1),1),0,1,1))</f>
        <v>80</v>
      </c>
      <c r="Z824" s="79"/>
    </row>
    <row r="825" spans="1:26" x14ac:dyDescent="0.25">
      <c r="A825" s="4">
        <v>824</v>
      </c>
      <c r="B825" s="5" t="s">
        <v>826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  <c r="R825" s="8">
        <v>0</v>
      </c>
      <c r="S825" s="7">
        <v>0</v>
      </c>
      <c r="T825" s="7">
        <v>0</v>
      </c>
      <c r="U825" s="7">
        <v>85</v>
      </c>
      <c r="V825" s="7">
        <v>85</v>
      </c>
      <c r="W825" s="138">
        <v>2802360.7549392111</v>
      </c>
      <c r="X825">
        <f ca="1">IF(V825=0,0,OFFSET(CreditMetrics!$B$474,MATCH(RAND(),OFFSET(CreditMetrics!$C$474,1,MATCH(BDClientes!V825,CreditMetrics!$B$475:$B$491,0),COUNT(CreditMetrics!$B$475:$B$491),1),1),0,1,1))</f>
        <v>83</v>
      </c>
      <c r="Z825" s="79"/>
    </row>
    <row r="826" spans="1:26" x14ac:dyDescent="0.25">
      <c r="A826" s="4">
        <v>825</v>
      </c>
      <c r="B826" s="5" t="s">
        <v>827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  <c r="R826" s="8">
        <v>0</v>
      </c>
      <c r="S826" s="7">
        <v>0</v>
      </c>
      <c r="T826" s="7">
        <v>0</v>
      </c>
      <c r="U826" s="7">
        <v>83</v>
      </c>
      <c r="V826" s="7">
        <v>85</v>
      </c>
      <c r="W826" s="138">
        <v>473399.00837007852</v>
      </c>
      <c r="X826">
        <f ca="1">IF(V826=0,0,OFFSET(CreditMetrics!$B$474,MATCH(RAND(),OFFSET(CreditMetrics!$C$474,1,MATCH(BDClientes!V826,CreditMetrics!$B$475:$B$491,0),COUNT(CreditMetrics!$B$475:$B$491),1),1),0,1,1))</f>
        <v>87</v>
      </c>
      <c r="Z826" s="79"/>
    </row>
    <row r="827" spans="1:26" x14ac:dyDescent="0.25">
      <c r="A827" s="4">
        <v>826</v>
      </c>
      <c r="B827" s="5" t="s">
        <v>828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  <c r="R827" s="8">
        <v>0</v>
      </c>
      <c r="S827" s="7">
        <v>0</v>
      </c>
      <c r="T827" s="7">
        <v>0</v>
      </c>
      <c r="U827" s="7">
        <v>77</v>
      </c>
      <c r="V827" s="7">
        <v>0</v>
      </c>
      <c r="X827">
        <f ca="1">IF(V827=0,0,OFFSET(CreditMetrics!$B$474,MATCH(RAND(),OFFSET(CreditMetrics!$C$474,1,MATCH(BDClientes!V827,CreditMetrics!$B$475:$B$491,0),COUNT(CreditMetrics!$B$475:$B$491),1),1),0,1,1))</f>
        <v>0</v>
      </c>
      <c r="Z827" s="79"/>
    </row>
    <row r="828" spans="1:26" x14ac:dyDescent="0.25">
      <c r="A828" s="4">
        <v>827</v>
      </c>
      <c r="B828" s="5" t="s">
        <v>829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  <c r="R828" s="8">
        <v>0</v>
      </c>
      <c r="S828" s="7">
        <v>0</v>
      </c>
      <c r="T828" s="7">
        <v>0</v>
      </c>
      <c r="U828" s="7">
        <v>85</v>
      </c>
      <c r="V828" s="7">
        <v>85</v>
      </c>
      <c r="W828" s="138">
        <v>167076.47445462181</v>
      </c>
      <c r="X828">
        <f ca="1">IF(V828=0,0,OFFSET(CreditMetrics!$B$474,MATCH(RAND(),OFFSET(CreditMetrics!$C$474,1,MATCH(BDClientes!V828,CreditMetrics!$B$475:$B$491,0),COUNT(CreditMetrics!$B$475:$B$491),1),1),0,1,1))</f>
        <v>73</v>
      </c>
      <c r="Z828" s="79"/>
    </row>
    <row r="829" spans="1:26" x14ac:dyDescent="0.25">
      <c r="A829" s="4">
        <v>828</v>
      </c>
      <c r="B829" s="5" t="s">
        <v>830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  <c r="R829" s="8">
        <v>0</v>
      </c>
      <c r="S829" s="7">
        <v>0</v>
      </c>
      <c r="T829" s="7">
        <v>0</v>
      </c>
      <c r="U829" s="7">
        <v>85</v>
      </c>
      <c r="V829" s="7">
        <v>83</v>
      </c>
      <c r="W829" s="138">
        <v>129512.54043040622</v>
      </c>
      <c r="X829">
        <f ca="1">IF(V829=0,0,OFFSET(CreditMetrics!$B$474,MATCH(RAND(),OFFSET(CreditMetrics!$C$474,1,MATCH(BDClientes!V829,CreditMetrics!$B$475:$B$491,0),COUNT(CreditMetrics!$B$475:$B$491),1),1),0,1,1))</f>
        <v>80</v>
      </c>
      <c r="Z829" s="79"/>
    </row>
    <row r="830" spans="1:26" x14ac:dyDescent="0.25">
      <c r="A830" s="4">
        <v>829</v>
      </c>
      <c r="B830" s="5" t="s">
        <v>831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  <c r="R830" s="8">
        <v>0</v>
      </c>
      <c r="S830" s="7">
        <v>0</v>
      </c>
      <c r="T830" s="7">
        <v>0</v>
      </c>
      <c r="U830" s="7">
        <v>83</v>
      </c>
      <c r="V830" s="7">
        <v>80</v>
      </c>
      <c r="W830" s="138">
        <v>185805.47212038565</v>
      </c>
      <c r="X830">
        <f ca="1">IF(V830=0,0,OFFSET(CreditMetrics!$B$474,MATCH(RAND(),OFFSET(CreditMetrics!$C$474,1,MATCH(BDClientes!V830,CreditMetrics!$B$475:$B$491,0),COUNT(CreditMetrics!$B$475:$B$491),1),1),0,1,1))</f>
        <v>80</v>
      </c>
      <c r="Z830" s="79"/>
    </row>
    <row r="831" spans="1:26" x14ac:dyDescent="0.25">
      <c r="A831" s="4">
        <v>830</v>
      </c>
      <c r="B831" s="5" t="s">
        <v>832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  <c r="R831" s="8">
        <v>0</v>
      </c>
      <c r="S831" s="7">
        <v>0</v>
      </c>
      <c r="T831" s="7">
        <v>0</v>
      </c>
      <c r="U831" s="7">
        <v>83</v>
      </c>
      <c r="V831" s="7">
        <v>83</v>
      </c>
      <c r="W831" s="138">
        <v>123936.4775899216</v>
      </c>
      <c r="X831">
        <f ca="1">IF(V831=0,0,OFFSET(CreditMetrics!$B$474,MATCH(RAND(),OFFSET(CreditMetrics!$C$474,1,MATCH(BDClientes!V831,CreditMetrics!$B$475:$B$491,0),COUNT(CreditMetrics!$B$475:$B$491),1),1),0,1,1))</f>
        <v>80</v>
      </c>
      <c r="Z831" s="79"/>
    </row>
    <row r="832" spans="1:26" x14ac:dyDescent="0.25">
      <c r="A832" s="4">
        <v>831</v>
      </c>
      <c r="B832" s="5" t="s">
        <v>833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  <c r="R832" s="8">
        <v>0</v>
      </c>
      <c r="S832" s="7">
        <v>0</v>
      </c>
      <c r="T832" s="7">
        <v>0</v>
      </c>
      <c r="U832" s="7">
        <v>85</v>
      </c>
      <c r="V832" s="7">
        <v>85</v>
      </c>
      <c r="W832" s="138">
        <v>227024.38436230199</v>
      </c>
      <c r="X832">
        <f ca="1">IF(V832=0,0,OFFSET(CreditMetrics!$B$474,MATCH(RAND(),OFFSET(CreditMetrics!$C$474,1,MATCH(BDClientes!V832,CreditMetrics!$B$475:$B$491,0),COUNT(CreditMetrics!$B$475:$B$491),1),1),0,1,1))</f>
        <v>85</v>
      </c>
      <c r="Z832" s="79"/>
    </row>
    <row r="833" spans="1:26" x14ac:dyDescent="0.25">
      <c r="A833" s="4">
        <v>832</v>
      </c>
      <c r="B833" s="5" t="s">
        <v>834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  <c r="R833" s="8">
        <v>0</v>
      </c>
      <c r="S833" s="7">
        <v>0</v>
      </c>
      <c r="T833" s="7">
        <v>0</v>
      </c>
      <c r="U833" s="7">
        <v>0</v>
      </c>
      <c r="V833" s="7">
        <v>0</v>
      </c>
      <c r="X833">
        <f ca="1">IF(V833=0,0,OFFSET(CreditMetrics!$B$474,MATCH(RAND(),OFFSET(CreditMetrics!$C$474,1,MATCH(BDClientes!V833,CreditMetrics!$B$475:$B$491,0),COUNT(CreditMetrics!$B$475:$B$491),1),1),0,1,1))</f>
        <v>0</v>
      </c>
      <c r="Z833" s="79"/>
    </row>
    <row r="834" spans="1:26" x14ac:dyDescent="0.25">
      <c r="A834" s="4">
        <v>833</v>
      </c>
      <c r="B834" s="5" t="s">
        <v>835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  <c r="R834" s="8">
        <v>0</v>
      </c>
      <c r="S834" s="7">
        <v>0</v>
      </c>
      <c r="T834" s="7">
        <v>0</v>
      </c>
      <c r="U834" s="7">
        <v>83</v>
      </c>
      <c r="V834" s="7">
        <v>77</v>
      </c>
      <c r="W834" s="138">
        <v>428211.51641021878</v>
      </c>
      <c r="X834">
        <f ca="1">IF(V834=0,0,OFFSET(CreditMetrics!$B$474,MATCH(RAND(),OFFSET(CreditMetrics!$C$474,1,MATCH(BDClientes!V834,CreditMetrics!$B$475:$B$491,0),COUNT(CreditMetrics!$B$475:$B$491),1),1),0,1,1))</f>
        <v>80</v>
      </c>
      <c r="Z834" s="79"/>
    </row>
    <row r="835" spans="1:26" x14ac:dyDescent="0.25">
      <c r="A835" s="4">
        <v>834</v>
      </c>
      <c r="B835" s="5" t="s">
        <v>836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  <c r="R835" s="8">
        <v>0</v>
      </c>
      <c r="S835" s="7">
        <v>0</v>
      </c>
      <c r="T835" s="7">
        <v>0</v>
      </c>
      <c r="U835" s="7">
        <v>0</v>
      </c>
      <c r="V835" s="7">
        <v>87</v>
      </c>
      <c r="W835" s="138">
        <v>149119.52762792056</v>
      </c>
      <c r="X835">
        <f ca="1">IF(V835=0,0,OFFSET(CreditMetrics!$B$474,MATCH(RAND(),OFFSET(CreditMetrics!$C$474,1,MATCH(BDClientes!V835,CreditMetrics!$B$475:$B$491,0),COUNT(CreditMetrics!$B$475:$B$491),1),1),0,1,1))</f>
        <v>87</v>
      </c>
      <c r="Z835" s="79"/>
    </row>
    <row r="836" spans="1:26" x14ac:dyDescent="0.25">
      <c r="A836" s="4">
        <v>835</v>
      </c>
      <c r="B836" s="5" t="s">
        <v>837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  <c r="R836" s="8">
        <v>0</v>
      </c>
      <c r="S836" s="7">
        <v>0</v>
      </c>
      <c r="T836" s="7">
        <v>0</v>
      </c>
      <c r="U836" s="7">
        <v>0</v>
      </c>
      <c r="V836" s="7">
        <v>85</v>
      </c>
      <c r="W836" s="138">
        <v>152738.59250446287</v>
      </c>
      <c r="X836">
        <f ca="1">IF(V836=0,0,OFFSET(CreditMetrics!$B$474,MATCH(RAND(),OFFSET(CreditMetrics!$C$474,1,MATCH(BDClientes!V836,CreditMetrics!$B$475:$B$491,0),COUNT(CreditMetrics!$B$475:$B$491),1),1),0,1,1))</f>
        <v>85</v>
      </c>
      <c r="Z836" s="79"/>
    </row>
    <row r="837" spans="1:26" x14ac:dyDescent="0.25">
      <c r="A837" s="4">
        <v>836</v>
      </c>
      <c r="B837" s="5" t="s">
        <v>838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  <c r="R837" s="8">
        <v>0</v>
      </c>
      <c r="S837" s="7">
        <v>0</v>
      </c>
      <c r="T837" s="7">
        <v>0</v>
      </c>
      <c r="U837" s="7">
        <v>0</v>
      </c>
      <c r="V837" s="7">
        <v>83</v>
      </c>
      <c r="W837" s="138">
        <v>116351.93529717707</v>
      </c>
      <c r="X837">
        <f ca="1">IF(V837=0,0,OFFSET(CreditMetrics!$B$474,MATCH(RAND(),OFFSET(CreditMetrics!$C$474,1,MATCH(BDClientes!V837,CreditMetrics!$B$475:$B$491,0),COUNT(CreditMetrics!$B$475:$B$491),1),1),0,1,1))</f>
        <v>83</v>
      </c>
      <c r="Z837" s="79"/>
    </row>
    <row r="838" spans="1:26" x14ac:dyDescent="0.25">
      <c r="A838" s="4">
        <v>837</v>
      </c>
      <c r="B838" s="5" t="s">
        <v>839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  <c r="R838" s="8">
        <v>0</v>
      </c>
      <c r="S838" s="7">
        <v>0</v>
      </c>
      <c r="T838" s="7">
        <v>0</v>
      </c>
      <c r="U838" s="7">
        <v>0</v>
      </c>
      <c r="V838" s="7">
        <v>85</v>
      </c>
      <c r="W838" s="138">
        <v>146592.48993394032</v>
      </c>
      <c r="X838">
        <f ca="1">IF(V838=0,0,OFFSET(CreditMetrics!$B$474,MATCH(RAND(),OFFSET(CreditMetrics!$C$474,1,MATCH(BDClientes!V838,CreditMetrics!$B$475:$B$491,0),COUNT(CreditMetrics!$B$475:$B$491),1),1),0,1,1))</f>
        <v>85</v>
      </c>
      <c r="Z838" s="79"/>
    </row>
    <row r="839" spans="1:26" x14ac:dyDescent="0.25">
      <c r="A839" s="4">
        <v>838</v>
      </c>
      <c r="B839" s="5" t="s">
        <v>840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  <c r="R839" s="8">
        <v>0</v>
      </c>
      <c r="S839" s="7">
        <v>0</v>
      </c>
      <c r="T839" s="7">
        <v>0</v>
      </c>
      <c r="U839" s="7">
        <v>0</v>
      </c>
      <c r="V839" s="7">
        <v>85</v>
      </c>
      <c r="W839" s="138">
        <v>107849.29847293596</v>
      </c>
      <c r="X839">
        <f ca="1">IF(V839=0,0,OFFSET(CreditMetrics!$B$474,MATCH(RAND(),OFFSET(CreditMetrics!$C$474,1,MATCH(BDClientes!V839,CreditMetrics!$B$475:$B$491,0),COUNT(CreditMetrics!$B$475:$B$491),1),1),0,1,1))</f>
        <v>85</v>
      </c>
      <c r="Z839" s="79"/>
    </row>
    <row r="840" spans="1:26" x14ac:dyDescent="0.25">
      <c r="A840" s="4">
        <v>839</v>
      </c>
      <c r="B840" s="5" t="s">
        <v>841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  <c r="R840" s="8">
        <v>0</v>
      </c>
      <c r="S840" s="7">
        <v>0</v>
      </c>
      <c r="T840" s="7">
        <v>0</v>
      </c>
      <c r="U840" s="7">
        <v>0</v>
      </c>
      <c r="V840" s="7">
        <v>85</v>
      </c>
      <c r="W840" s="138">
        <v>389498.84172410012</v>
      </c>
      <c r="X840">
        <f ca="1">IF(V840=0,0,OFFSET(CreditMetrics!$B$474,MATCH(RAND(),OFFSET(CreditMetrics!$C$474,1,MATCH(BDClientes!V840,CreditMetrics!$B$475:$B$491,0),COUNT(CreditMetrics!$B$475:$B$491),1),1),0,1,1))</f>
        <v>80</v>
      </c>
      <c r="Z840" s="79"/>
    </row>
    <row r="841" spans="1:26" x14ac:dyDescent="0.25">
      <c r="A841" s="4">
        <v>840</v>
      </c>
      <c r="B841" s="5" t="s">
        <v>842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  <c r="R841" s="8">
        <v>0</v>
      </c>
      <c r="S841" s="7">
        <v>0</v>
      </c>
      <c r="T841" s="7">
        <v>0</v>
      </c>
      <c r="U841" s="7">
        <v>0</v>
      </c>
      <c r="V841" s="7">
        <v>80</v>
      </c>
      <c r="W841" s="138">
        <v>794776.91652700445</v>
      </c>
      <c r="X841">
        <f ca="1">IF(V841=0,0,OFFSET(CreditMetrics!$B$474,MATCH(RAND(),OFFSET(CreditMetrics!$C$474,1,MATCH(BDClientes!V841,CreditMetrics!$B$475:$B$491,0),COUNT(CreditMetrics!$B$475:$B$491),1),1),0,1,1))</f>
        <v>83</v>
      </c>
      <c r="Z841" s="79"/>
    </row>
    <row r="842" spans="1:26" x14ac:dyDescent="0.25">
      <c r="A842" s="4">
        <v>841</v>
      </c>
      <c r="B842" s="5" t="s">
        <v>843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  <c r="R842" s="8">
        <v>0</v>
      </c>
      <c r="S842" s="7">
        <v>0</v>
      </c>
      <c r="T842" s="7">
        <v>0</v>
      </c>
      <c r="U842" s="7">
        <v>0</v>
      </c>
      <c r="V842" s="7">
        <v>85</v>
      </c>
      <c r="W842" s="138">
        <v>590929.62763628806</v>
      </c>
      <c r="X842">
        <f ca="1">IF(V842=0,0,OFFSET(CreditMetrics!$B$474,MATCH(RAND(),OFFSET(CreditMetrics!$C$474,1,MATCH(BDClientes!V842,CreditMetrics!$B$475:$B$491,0),COUNT(CreditMetrics!$B$475:$B$491),1),1),0,1,1))</f>
        <v>83</v>
      </c>
      <c r="Z842" s="79"/>
    </row>
    <row r="843" spans="1:26" x14ac:dyDescent="0.25">
      <c r="A843" s="4">
        <v>842</v>
      </c>
      <c r="B843" s="5" t="s">
        <v>844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  <c r="R843" s="8">
        <v>0</v>
      </c>
      <c r="S843" s="7">
        <v>0</v>
      </c>
      <c r="T843" s="7">
        <v>0</v>
      </c>
      <c r="U843" s="7">
        <v>0</v>
      </c>
      <c r="V843" s="7">
        <v>85</v>
      </c>
      <c r="W843" s="138">
        <v>241455.21216584436</v>
      </c>
      <c r="X843">
        <f ca="1">IF(V843=0,0,OFFSET(CreditMetrics!$B$474,MATCH(RAND(),OFFSET(CreditMetrics!$C$474,1,MATCH(BDClientes!V843,CreditMetrics!$B$475:$B$491,0),COUNT(CreditMetrics!$B$475:$B$491),1),1),0,1,1))</f>
        <v>85</v>
      </c>
      <c r="Z843" s="79"/>
    </row>
    <row r="844" spans="1:26" x14ac:dyDescent="0.25">
      <c r="A844" s="4">
        <v>843</v>
      </c>
      <c r="B844" s="5" t="s">
        <v>845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  <c r="R844" s="8">
        <v>0</v>
      </c>
      <c r="S844" s="7">
        <v>0</v>
      </c>
      <c r="T844" s="7">
        <v>0</v>
      </c>
      <c r="U844" s="7">
        <v>0</v>
      </c>
      <c r="V844" s="7">
        <v>85</v>
      </c>
      <c r="W844" s="138">
        <v>118710.19607293297</v>
      </c>
      <c r="X844">
        <f ca="1">IF(V844=0,0,OFFSET(CreditMetrics!$B$474,MATCH(RAND(),OFFSET(CreditMetrics!$C$474,1,MATCH(BDClientes!V844,CreditMetrics!$B$475:$B$491,0),COUNT(CreditMetrics!$B$475:$B$491),1),1),0,1,1))</f>
        <v>80</v>
      </c>
      <c r="Z844" s="79"/>
    </row>
    <row r="845" spans="1:26" x14ac:dyDescent="0.25">
      <c r="A845" s="4">
        <v>844</v>
      </c>
      <c r="B845" s="5" t="s">
        <v>846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  <c r="R845" s="8">
        <v>0</v>
      </c>
      <c r="S845" s="7">
        <v>0</v>
      </c>
      <c r="T845" s="7">
        <v>0</v>
      </c>
      <c r="U845" s="7">
        <v>0</v>
      </c>
      <c r="V845" s="7">
        <v>85</v>
      </c>
      <c r="W845" s="138">
        <v>143483.88959239621</v>
      </c>
      <c r="X845">
        <f ca="1">IF(V845=0,0,OFFSET(CreditMetrics!$B$474,MATCH(RAND(),OFFSET(CreditMetrics!$C$474,1,MATCH(BDClientes!V845,CreditMetrics!$B$475:$B$491,0),COUNT(CreditMetrics!$B$475:$B$491),1),1),0,1,1))</f>
        <v>85</v>
      </c>
      <c r="Z845" s="79"/>
    </row>
    <row r="846" spans="1:26" x14ac:dyDescent="0.25">
      <c r="A846" s="4">
        <v>845</v>
      </c>
      <c r="B846" s="5" t="s">
        <v>847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  <c r="R846" s="8">
        <v>0</v>
      </c>
      <c r="S846" s="7">
        <v>0</v>
      </c>
      <c r="T846" s="7">
        <v>0</v>
      </c>
      <c r="U846" s="7">
        <v>0</v>
      </c>
      <c r="V846" s="7">
        <v>87</v>
      </c>
      <c r="W846" s="138">
        <v>1175255.736403344</v>
      </c>
      <c r="X846">
        <f ca="1">IF(V846=0,0,OFFSET(CreditMetrics!$B$474,MATCH(RAND(),OFFSET(CreditMetrics!$C$474,1,MATCH(BDClientes!V846,CreditMetrics!$B$475:$B$491,0),COUNT(CreditMetrics!$B$475:$B$491),1),1),0,1,1))</f>
        <v>87</v>
      </c>
      <c r="Z846" s="79"/>
    </row>
    <row r="847" spans="1:26" x14ac:dyDescent="0.25">
      <c r="A847" s="4">
        <v>846</v>
      </c>
      <c r="B847" s="5" t="s">
        <v>848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  <c r="R847" s="8">
        <v>0</v>
      </c>
      <c r="S847" s="7">
        <v>0</v>
      </c>
      <c r="T847" s="7">
        <v>0</v>
      </c>
      <c r="U847" s="7">
        <v>0</v>
      </c>
      <c r="V847" s="7">
        <v>87</v>
      </c>
      <c r="W847" s="138">
        <v>192886.7967921948</v>
      </c>
      <c r="X847">
        <f ca="1">IF(V847=0,0,OFFSET(CreditMetrics!$B$474,MATCH(RAND(),OFFSET(CreditMetrics!$C$474,1,MATCH(BDClientes!V847,CreditMetrics!$B$475:$B$491,0),COUNT(CreditMetrics!$B$475:$B$491),1),1),0,1,1))</f>
        <v>87</v>
      </c>
      <c r="Z847" s="79"/>
    </row>
    <row r="848" spans="1:26" x14ac:dyDescent="0.25">
      <c r="A848" s="4">
        <v>847</v>
      </c>
      <c r="B848" s="5" t="s">
        <v>849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  <c r="R848" s="8">
        <v>0</v>
      </c>
      <c r="S848" s="7">
        <v>0</v>
      </c>
      <c r="T848" s="7">
        <v>0</v>
      </c>
      <c r="U848" s="7">
        <v>0</v>
      </c>
      <c r="V848" s="7">
        <v>85</v>
      </c>
      <c r="W848" s="138">
        <v>246830.2767877584</v>
      </c>
      <c r="X848">
        <f ca="1">IF(V848=0,0,OFFSET(CreditMetrics!$B$474,MATCH(RAND(),OFFSET(CreditMetrics!$C$474,1,MATCH(BDClientes!V848,CreditMetrics!$B$475:$B$491,0),COUNT(CreditMetrics!$B$475:$B$491),1),1),0,1,1))</f>
        <v>85</v>
      </c>
      <c r="Z848" s="79"/>
    </row>
    <row r="849" spans="1:26" x14ac:dyDescent="0.25">
      <c r="A849" s="4">
        <v>848</v>
      </c>
      <c r="B849" s="5" t="s">
        <v>850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  <c r="R849" s="8">
        <v>0</v>
      </c>
      <c r="S849" s="7">
        <v>0</v>
      </c>
      <c r="T849" s="7">
        <v>0</v>
      </c>
      <c r="U849" s="7">
        <v>0</v>
      </c>
      <c r="V849" s="7">
        <v>80</v>
      </c>
      <c r="W849" s="138">
        <v>143876.32681139116</v>
      </c>
      <c r="X849">
        <f ca="1">IF(V849=0,0,OFFSET(CreditMetrics!$B$474,MATCH(RAND(),OFFSET(CreditMetrics!$C$474,1,MATCH(BDClientes!V849,CreditMetrics!$B$475:$B$491,0),COUNT(CreditMetrics!$B$475:$B$491),1),1),0,1,1))</f>
        <v>70</v>
      </c>
      <c r="Z849" s="79"/>
    </row>
    <row r="850" spans="1:26" x14ac:dyDescent="0.25">
      <c r="A850" s="4">
        <v>849</v>
      </c>
      <c r="B850" s="5" t="s">
        <v>851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  <c r="R850" s="8">
        <v>0</v>
      </c>
      <c r="S850" s="7">
        <v>0</v>
      </c>
      <c r="T850" s="7">
        <v>0</v>
      </c>
      <c r="U850" s="7">
        <v>0</v>
      </c>
      <c r="V850" s="7">
        <v>0</v>
      </c>
      <c r="X850">
        <f ca="1">IF(V850=0,0,OFFSET(CreditMetrics!$B$474,MATCH(RAND(),OFFSET(CreditMetrics!$C$474,1,MATCH(BDClientes!V850,CreditMetrics!$B$475:$B$491,0),COUNT(CreditMetrics!$B$475:$B$491),1),1),0,1,1))</f>
        <v>0</v>
      </c>
      <c r="Z850" s="79"/>
    </row>
    <row r="851" spans="1:26" x14ac:dyDescent="0.25">
      <c r="A851" s="4">
        <v>850</v>
      </c>
      <c r="B851" s="5" t="s">
        <v>852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  <c r="R851" s="8">
        <v>0</v>
      </c>
      <c r="S851" s="7">
        <v>0</v>
      </c>
      <c r="T851" s="7">
        <v>0</v>
      </c>
      <c r="U851" s="7">
        <v>0</v>
      </c>
      <c r="V851" s="7">
        <v>80</v>
      </c>
      <c r="W851" s="138">
        <v>318125.83654752752</v>
      </c>
      <c r="X851">
        <f ca="1">IF(V851=0,0,OFFSET(CreditMetrics!$B$474,MATCH(RAND(),OFFSET(CreditMetrics!$C$474,1,MATCH(BDClientes!V851,CreditMetrics!$B$475:$B$491,0),COUNT(CreditMetrics!$B$475:$B$491),1),1),0,1,1))</f>
        <v>80</v>
      </c>
      <c r="Z851" s="79"/>
    </row>
    <row r="852" spans="1:26" x14ac:dyDescent="0.25">
      <c r="A852" s="4">
        <v>851</v>
      </c>
      <c r="B852" s="5" t="s">
        <v>853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  <c r="R852" s="8">
        <v>0</v>
      </c>
      <c r="S852" s="7">
        <v>0</v>
      </c>
      <c r="T852" s="7">
        <v>0</v>
      </c>
      <c r="U852" s="7">
        <v>0</v>
      </c>
      <c r="V852" s="7">
        <v>87</v>
      </c>
      <c r="W852" s="138">
        <v>355492.12283276266</v>
      </c>
      <c r="X852">
        <f ca="1">IF(V852=0,0,OFFSET(CreditMetrics!$B$474,MATCH(RAND(),OFFSET(CreditMetrics!$C$474,1,MATCH(BDClientes!V852,CreditMetrics!$B$475:$B$491,0),COUNT(CreditMetrics!$B$475:$B$491),1),1),0,1,1))</f>
        <v>80</v>
      </c>
      <c r="Z852" s="79"/>
    </row>
    <row r="853" spans="1:26" x14ac:dyDescent="0.25">
      <c r="A853" s="4">
        <v>852</v>
      </c>
      <c r="B853" s="5" t="s">
        <v>854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  <c r="R853" s="8">
        <v>0</v>
      </c>
      <c r="S853" s="7">
        <v>0</v>
      </c>
      <c r="T853" s="7">
        <v>0</v>
      </c>
      <c r="U853" s="7">
        <v>0</v>
      </c>
      <c r="V853" s="7">
        <v>87</v>
      </c>
      <c r="W853" s="138">
        <v>125711.40392601579</v>
      </c>
      <c r="X853">
        <f ca="1">IF(V853=0,0,OFFSET(CreditMetrics!$B$474,MATCH(RAND(),OFFSET(CreditMetrics!$C$474,1,MATCH(BDClientes!V853,CreditMetrics!$B$475:$B$491,0),COUNT(CreditMetrics!$B$475:$B$491),1),1),0,1,1))</f>
        <v>85</v>
      </c>
      <c r="Z853" s="79"/>
    </row>
    <row r="854" spans="1:26" x14ac:dyDescent="0.25">
      <c r="A854" s="4">
        <v>853</v>
      </c>
      <c r="B854" s="5" t="s">
        <v>855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  <c r="R854" s="8">
        <v>0</v>
      </c>
      <c r="S854" s="7">
        <v>0</v>
      </c>
      <c r="T854" s="7">
        <v>0</v>
      </c>
      <c r="U854" s="7">
        <v>0</v>
      </c>
      <c r="V854" s="7">
        <v>87</v>
      </c>
      <c r="W854" s="138">
        <v>173380.25505688234</v>
      </c>
      <c r="X854">
        <f ca="1">IF(V854=0,0,OFFSET(CreditMetrics!$B$474,MATCH(RAND(),OFFSET(CreditMetrics!$C$474,1,MATCH(BDClientes!V854,CreditMetrics!$B$475:$B$491,0),COUNT(CreditMetrics!$B$475:$B$491),1),1),0,1,1))</f>
        <v>87</v>
      </c>
      <c r="Z854" s="79"/>
    </row>
    <row r="855" spans="1:26" x14ac:dyDescent="0.25">
      <c r="A855" s="4">
        <v>854</v>
      </c>
      <c r="B855" s="5" t="s">
        <v>856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  <c r="R855" s="8">
        <v>0</v>
      </c>
      <c r="S855" s="7">
        <v>0</v>
      </c>
      <c r="T855" s="7">
        <v>0</v>
      </c>
      <c r="U855" s="7">
        <v>0</v>
      </c>
      <c r="V855" s="7">
        <v>85</v>
      </c>
      <c r="W855" s="138">
        <v>120312.00026370742</v>
      </c>
      <c r="X855">
        <f ca="1">IF(V855=0,0,OFFSET(CreditMetrics!$B$474,MATCH(RAND(),OFFSET(CreditMetrics!$C$474,1,MATCH(BDClientes!V855,CreditMetrics!$B$475:$B$491,0),COUNT(CreditMetrics!$B$475:$B$491),1),1),0,1,1))</f>
        <v>85</v>
      </c>
      <c r="Z855" s="79"/>
    </row>
    <row r="856" spans="1:26" x14ac:dyDescent="0.25">
      <c r="A856" s="4">
        <v>855</v>
      </c>
      <c r="B856" s="5" t="s">
        <v>857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  <c r="R856" s="8">
        <v>0</v>
      </c>
      <c r="S856" s="7">
        <v>0</v>
      </c>
      <c r="T856" s="7">
        <v>0</v>
      </c>
      <c r="U856" s="7">
        <v>0</v>
      </c>
      <c r="V856" s="7">
        <v>85</v>
      </c>
      <c r="W856" s="138">
        <v>108531.56973089748</v>
      </c>
      <c r="X856">
        <f ca="1">IF(V856=0,0,OFFSET(CreditMetrics!$B$474,MATCH(RAND(),OFFSET(CreditMetrics!$C$474,1,MATCH(BDClientes!V856,CreditMetrics!$B$475:$B$491,0),COUNT(CreditMetrics!$B$475:$B$491),1),1),0,1,1))</f>
        <v>87</v>
      </c>
      <c r="Z856" s="79"/>
    </row>
    <row r="857" spans="1:26" x14ac:dyDescent="0.25">
      <c r="A857" s="4">
        <v>856</v>
      </c>
      <c r="B857" s="5" t="s">
        <v>858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  <c r="R857" s="8">
        <v>0</v>
      </c>
      <c r="S857" s="7">
        <v>0</v>
      </c>
      <c r="T857" s="7">
        <v>0</v>
      </c>
      <c r="U857" s="7">
        <v>0</v>
      </c>
      <c r="V857" s="7">
        <v>85</v>
      </c>
      <c r="W857" s="138">
        <v>203599.49213282959</v>
      </c>
      <c r="X857">
        <f ca="1">IF(V857=0,0,OFFSET(CreditMetrics!$B$474,MATCH(RAND(),OFFSET(CreditMetrics!$C$474,1,MATCH(BDClientes!V857,CreditMetrics!$B$475:$B$491,0),COUNT(CreditMetrics!$B$475:$B$491),1),1),0,1,1))</f>
        <v>85</v>
      </c>
      <c r="Z857" s="79"/>
    </row>
    <row r="858" spans="1:26" x14ac:dyDescent="0.25">
      <c r="A858" s="4">
        <v>857</v>
      </c>
      <c r="B858" s="5" t="s">
        <v>859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  <c r="R858" s="8">
        <v>0</v>
      </c>
      <c r="S858" s="7">
        <v>0</v>
      </c>
      <c r="T858" s="7">
        <v>0</v>
      </c>
      <c r="U858" s="7">
        <v>0</v>
      </c>
      <c r="V858" s="7">
        <v>80</v>
      </c>
      <c r="W858" s="138">
        <v>422170.70941182959</v>
      </c>
      <c r="X858">
        <f ca="1">IF(V858=0,0,OFFSET(CreditMetrics!$B$474,MATCH(RAND(),OFFSET(CreditMetrics!$C$474,1,MATCH(BDClientes!V858,CreditMetrics!$B$475:$B$491,0),COUNT(CreditMetrics!$B$475:$B$491),1),1),0,1,1))</f>
        <v>80</v>
      </c>
      <c r="Z858" s="79"/>
    </row>
    <row r="859" spans="1:26" x14ac:dyDescent="0.25">
      <c r="A859" s="4">
        <v>858</v>
      </c>
      <c r="B859" s="5" t="s">
        <v>860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  <c r="R859" s="8">
        <v>0</v>
      </c>
      <c r="S859" s="7">
        <v>0</v>
      </c>
      <c r="T859" s="7">
        <v>0</v>
      </c>
      <c r="U859" s="7">
        <v>0</v>
      </c>
      <c r="V859" s="7">
        <v>85</v>
      </c>
      <c r="W859" s="138">
        <v>138106.9789653995</v>
      </c>
      <c r="X859">
        <f ca="1">IF(V859=0,0,OFFSET(CreditMetrics!$B$474,MATCH(RAND(),OFFSET(CreditMetrics!$C$474,1,MATCH(BDClientes!V859,CreditMetrics!$B$475:$B$491,0),COUNT(CreditMetrics!$B$475:$B$491),1),1),0,1,1))</f>
        <v>80</v>
      </c>
      <c r="Z859" s="79"/>
    </row>
    <row r="860" spans="1:26" x14ac:dyDescent="0.25">
      <c r="A860" s="4">
        <v>859</v>
      </c>
      <c r="B860" s="5" t="s">
        <v>861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  <c r="R860" s="8">
        <v>0</v>
      </c>
      <c r="S860" s="7">
        <v>0</v>
      </c>
      <c r="T860" s="7">
        <v>0</v>
      </c>
      <c r="U860" s="7">
        <v>0</v>
      </c>
      <c r="V860" s="7">
        <v>73</v>
      </c>
      <c r="W860" s="138">
        <v>374182.08411485929</v>
      </c>
      <c r="X860">
        <f ca="1">IF(V860=0,0,OFFSET(CreditMetrics!$B$474,MATCH(RAND(),OFFSET(CreditMetrics!$C$474,1,MATCH(BDClientes!V860,CreditMetrics!$B$475:$B$491,0),COUNT(CreditMetrics!$B$475:$B$491),1),1),0,1,1))</f>
        <v>77</v>
      </c>
      <c r="Z860" s="79"/>
    </row>
    <row r="861" spans="1:26" x14ac:dyDescent="0.25">
      <c r="A861" s="4">
        <v>860</v>
      </c>
      <c r="B861" s="5" t="s">
        <v>862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  <c r="R861" s="8">
        <v>0</v>
      </c>
      <c r="S861" s="7">
        <v>0</v>
      </c>
      <c r="T861" s="7">
        <v>0</v>
      </c>
      <c r="U861" s="7">
        <v>0</v>
      </c>
      <c r="V861" s="7">
        <v>77</v>
      </c>
      <c r="W861" s="138">
        <v>113298.30021249058</v>
      </c>
      <c r="X861">
        <f ca="1">IF(V861=0,0,OFFSET(CreditMetrics!$B$474,MATCH(RAND(),OFFSET(CreditMetrics!$C$474,1,MATCH(BDClientes!V861,CreditMetrics!$B$475:$B$491,0),COUNT(CreditMetrics!$B$475:$B$491),1),1),0,1,1))</f>
        <v>85</v>
      </c>
      <c r="Z861" s="79"/>
    </row>
    <row r="862" spans="1:26" x14ac:dyDescent="0.25">
      <c r="A862" s="4">
        <v>861</v>
      </c>
      <c r="B862" s="5" t="s">
        <v>863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  <c r="R862" s="8">
        <v>0</v>
      </c>
      <c r="S862" s="7">
        <v>0</v>
      </c>
      <c r="T862" s="7">
        <v>0</v>
      </c>
      <c r="U862" s="7">
        <v>0</v>
      </c>
      <c r="V862" s="7">
        <v>0</v>
      </c>
      <c r="X862">
        <f ca="1">IF(V862=0,0,OFFSET(CreditMetrics!$B$474,MATCH(RAND(),OFFSET(CreditMetrics!$C$474,1,MATCH(BDClientes!V862,CreditMetrics!$B$475:$B$491,0),COUNT(CreditMetrics!$B$475:$B$491),1),1),0,1,1))</f>
        <v>0</v>
      </c>
      <c r="Z862" s="79"/>
    </row>
    <row r="863" spans="1:26" x14ac:dyDescent="0.25">
      <c r="A863" s="4">
        <v>862</v>
      </c>
      <c r="B863" s="5" t="s">
        <v>864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  <c r="R863" s="8">
        <v>0</v>
      </c>
      <c r="S863" s="7">
        <v>0</v>
      </c>
      <c r="T863" s="7">
        <v>0</v>
      </c>
      <c r="U863" s="7">
        <v>0</v>
      </c>
      <c r="V863" s="7">
        <v>0</v>
      </c>
      <c r="X863">
        <f ca="1">IF(V863=0,0,OFFSET(CreditMetrics!$B$474,MATCH(RAND(),OFFSET(CreditMetrics!$C$474,1,MATCH(BDClientes!V863,CreditMetrics!$B$475:$B$491,0),COUNT(CreditMetrics!$B$475:$B$491),1),1),0,1,1))</f>
        <v>0</v>
      </c>
      <c r="Z863" s="79"/>
    </row>
    <row r="864" spans="1:26" x14ac:dyDescent="0.25">
      <c r="A864" s="4">
        <v>863</v>
      </c>
      <c r="B864" s="5" t="s">
        <v>865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  <c r="R864" s="8">
        <v>0</v>
      </c>
      <c r="S864" s="7">
        <v>0</v>
      </c>
      <c r="T864" s="7">
        <v>0</v>
      </c>
      <c r="U864" s="7">
        <v>0</v>
      </c>
      <c r="V864" s="7">
        <v>0</v>
      </c>
      <c r="X864">
        <f ca="1">IF(V864=0,0,OFFSET(CreditMetrics!$B$474,MATCH(RAND(),OFFSET(CreditMetrics!$C$474,1,MATCH(BDClientes!V864,CreditMetrics!$B$475:$B$491,0),COUNT(CreditMetrics!$B$475:$B$491),1),1),0,1,1))</f>
        <v>0</v>
      </c>
      <c r="Z864" s="79"/>
    </row>
    <row r="865" spans="1:26" x14ac:dyDescent="0.25">
      <c r="A865" s="4">
        <v>864</v>
      </c>
      <c r="B865" s="5" t="s">
        <v>866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  <c r="R865" s="8">
        <v>0</v>
      </c>
      <c r="S865" s="7">
        <v>0</v>
      </c>
      <c r="T865" s="7">
        <v>0</v>
      </c>
      <c r="U865" s="7">
        <v>0</v>
      </c>
      <c r="V865" s="7">
        <v>0</v>
      </c>
      <c r="X865">
        <f ca="1">IF(V865=0,0,OFFSET(CreditMetrics!$B$474,MATCH(RAND(),OFFSET(CreditMetrics!$C$474,1,MATCH(BDClientes!V865,CreditMetrics!$B$475:$B$491,0),COUNT(CreditMetrics!$B$475:$B$491),1),1),0,1,1))</f>
        <v>0</v>
      </c>
      <c r="Z865" s="79"/>
    </row>
    <row r="866" spans="1:26" x14ac:dyDescent="0.25">
      <c r="A866" s="4">
        <v>865</v>
      </c>
      <c r="B866" s="5" t="s">
        <v>867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  <c r="R866" s="8">
        <v>0</v>
      </c>
      <c r="S866" s="7">
        <v>0</v>
      </c>
      <c r="T866" s="7">
        <v>0</v>
      </c>
      <c r="U866" s="7">
        <v>0</v>
      </c>
      <c r="V866" s="7">
        <v>0</v>
      </c>
      <c r="X866">
        <f ca="1">IF(V866=0,0,OFFSET(CreditMetrics!$B$474,MATCH(RAND(),OFFSET(CreditMetrics!$C$474,1,MATCH(BDClientes!V866,CreditMetrics!$B$475:$B$491,0),COUNT(CreditMetrics!$B$475:$B$491),1),1),0,1,1))</f>
        <v>0</v>
      </c>
      <c r="Z866" s="79"/>
    </row>
    <row r="867" spans="1:26" x14ac:dyDescent="0.25">
      <c r="A867" s="4">
        <v>866</v>
      </c>
      <c r="B867" s="5" t="s">
        <v>868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  <c r="R867" s="8">
        <v>0</v>
      </c>
      <c r="S867" s="7">
        <v>0</v>
      </c>
      <c r="T867" s="7">
        <v>0</v>
      </c>
      <c r="U867" s="7">
        <v>0</v>
      </c>
      <c r="V867" s="7">
        <v>0</v>
      </c>
      <c r="X867">
        <f ca="1">IF(V867=0,0,OFFSET(CreditMetrics!$B$474,MATCH(RAND(),OFFSET(CreditMetrics!$C$474,1,MATCH(BDClientes!V867,CreditMetrics!$B$475:$B$491,0),COUNT(CreditMetrics!$B$475:$B$491),1),1),0,1,1))</f>
        <v>0</v>
      </c>
      <c r="Z867" s="79"/>
    </row>
    <row r="868" spans="1:26" x14ac:dyDescent="0.25">
      <c r="A868" s="4">
        <v>867</v>
      </c>
      <c r="B868" s="5" t="s">
        <v>869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  <c r="R868" s="8">
        <v>0</v>
      </c>
      <c r="S868" s="7">
        <v>0</v>
      </c>
      <c r="T868" s="7">
        <v>0</v>
      </c>
      <c r="U868" s="7">
        <v>0</v>
      </c>
      <c r="V868" s="7">
        <v>0</v>
      </c>
      <c r="X868">
        <f ca="1">IF(V868=0,0,OFFSET(CreditMetrics!$B$474,MATCH(RAND(),OFFSET(CreditMetrics!$C$474,1,MATCH(BDClientes!V868,CreditMetrics!$B$475:$B$491,0),COUNT(CreditMetrics!$B$475:$B$491),1),1),0,1,1))</f>
        <v>0</v>
      </c>
      <c r="Z868" s="79"/>
    </row>
    <row r="869" spans="1:26" x14ac:dyDescent="0.25">
      <c r="A869" s="4">
        <v>868</v>
      </c>
      <c r="B869" s="5" t="s">
        <v>870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  <c r="R869" s="8">
        <v>0</v>
      </c>
      <c r="S869" s="7">
        <v>0</v>
      </c>
      <c r="T869" s="7">
        <v>0</v>
      </c>
      <c r="U869" s="7">
        <v>0</v>
      </c>
      <c r="V869" s="7">
        <v>0</v>
      </c>
      <c r="X869">
        <f ca="1">IF(V869=0,0,OFFSET(CreditMetrics!$B$474,MATCH(RAND(),OFFSET(CreditMetrics!$C$474,1,MATCH(BDClientes!V869,CreditMetrics!$B$475:$B$491,0),COUNT(CreditMetrics!$B$475:$B$491),1),1),0,1,1))</f>
        <v>0</v>
      </c>
      <c r="Z869" s="79"/>
    </row>
    <row r="870" spans="1:26" x14ac:dyDescent="0.25">
      <c r="A870" s="4">
        <v>869</v>
      </c>
      <c r="B870" s="5" t="s">
        <v>871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  <c r="R870" s="8">
        <v>0</v>
      </c>
      <c r="S870" s="7">
        <v>0</v>
      </c>
      <c r="T870" s="7">
        <v>0</v>
      </c>
      <c r="U870" s="7">
        <v>0</v>
      </c>
      <c r="V870" s="7">
        <v>0</v>
      </c>
      <c r="X870">
        <f ca="1">IF(V870=0,0,OFFSET(CreditMetrics!$B$474,MATCH(RAND(),OFFSET(CreditMetrics!$C$474,1,MATCH(BDClientes!V870,CreditMetrics!$B$475:$B$491,0),COUNT(CreditMetrics!$B$475:$B$491),1),1),0,1,1))</f>
        <v>0</v>
      </c>
      <c r="Z870" s="79"/>
    </row>
    <row r="871" spans="1:26" x14ac:dyDescent="0.25">
      <c r="A871" s="4">
        <v>870</v>
      </c>
      <c r="B871" s="5" t="s">
        <v>872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  <c r="R871" s="8">
        <v>0</v>
      </c>
      <c r="S871" s="7">
        <v>0</v>
      </c>
      <c r="T871" s="7">
        <v>0</v>
      </c>
      <c r="U871" s="7">
        <v>0</v>
      </c>
      <c r="V871" s="7">
        <v>0</v>
      </c>
      <c r="X871">
        <f ca="1">IF(V871=0,0,OFFSET(CreditMetrics!$B$474,MATCH(RAND(),OFFSET(CreditMetrics!$C$474,1,MATCH(BDClientes!V871,CreditMetrics!$B$475:$B$491,0),COUNT(CreditMetrics!$B$475:$B$491),1),1),0,1,1))</f>
        <v>0</v>
      </c>
      <c r="Z871" s="79"/>
    </row>
    <row r="872" spans="1:26" x14ac:dyDescent="0.25">
      <c r="A872" s="4">
        <v>871</v>
      </c>
      <c r="B872" s="5" t="s">
        <v>873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8">
        <v>0</v>
      </c>
      <c r="S872" s="7">
        <v>0</v>
      </c>
      <c r="T872" s="7">
        <v>0</v>
      </c>
      <c r="U872" s="7">
        <v>0</v>
      </c>
      <c r="V872" s="7">
        <v>0</v>
      </c>
      <c r="X872">
        <f ca="1">IF(V872=0,0,OFFSET(CreditMetrics!$B$474,MATCH(RAND(),OFFSET(CreditMetrics!$C$474,1,MATCH(BDClientes!V872,CreditMetrics!$B$475:$B$491,0),COUNT(CreditMetrics!$B$475:$B$491),1),1),0,1,1))</f>
        <v>0</v>
      </c>
      <c r="Z872" s="79"/>
    </row>
    <row r="873" spans="1:26" x14ac:dyDescent="0.25">
      <c r="A873" s="4">
        <v>872</v>
      </c>
      <c r="B873" s="5" t="s">
        <v>874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8">
        <v>0</v>
      </c>
      <c r="S873" s="7">
        <v>0</v>
      </c>
      <c r="T873" s="7">
        <v>0</v>
      </c>
      <c r="U873" s="7">
        <v>0</v>
      </c>
      <c r="V873" s="7">
        <v>0</v>
      </c>
      <c r="X873">
        <f ca="1">IF(V873=0,0,OFFSET(CreditMetrics!$B$474,MATCH(RAND(),OFFSET(CreditMetrics!$C$474,1,MATCH(BDClientes!V873,CreditMetrics!$B$475:$B$491,0),COUNT(CreditMetrics!$B$475:$B$491),1),1),0,1,1))</f>
        <v>0</v>
      </c>
      <c r="Z873" s="79"/>
    </row>
    <row r="874" spans="1:26" x14ac:dyDescent="0.25">
      <c r="A874" s="4">
        <v>873</v>
      </c>
      <c r="B874" s="5" t="s">
        <v>875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  <c r="R874" s="8">
        <v>0</v>
      </c>
      <c r="S874" s="7">
        <v>0</v>
      </c>
      <c r="T874" s="7">
        <v>0</v>
      </c>
      <c r="U874" s="7">
        <v>0</v>
      </c>
      <c r="V874" s="7">
        <v>0</v>
      </c>
      <c r="X874">
        <f ca="1">IF(V874=0,0,OFFSET(CreditMetrics!$B$474,MATCH(RAND(),OFFSET(CreditMetrics!$C$474,1,MATCH(BDClientes!V874,CreditMetrics!$B$475:$B$491,0),COUNT(CreditMetrics!$B$475:$B$491),1),1),0,1,1))</f>
        <v>0</v>
      </c>
      <c r="Z874" s="79"/>
    </row>
    <row r="875" spans="1:26" x14ac:dyDescent="0.25">
      <c r="A875" s="4">
        <v>874</v>
      </c>
      <c r="B875" s="5" t="s">
        <v>876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  <c r="R875" s="8">
        <v>0</v>
      </c>
      <c r="S875" s="7">
        <v>0</v>
      </c>
      <c r="T875" s="7">
        <v>0</v>
      </c>
      <c r="U875" s="7">
        <v>0</v>
      </c>
      <c r="V875" s="7">
        <v>0</v>
      </c>
      <c r="X875">
        <f ca="1">IF(V875=0,0,OFFSET(CreditMetrics!$B$474,MATCH(RAND(),OFFSET(CreditMetrics!$C$474,1,MATCH(BDClientes!V875,CreditMetrics!$B$475:$B$491,0),COUNT(CreditMetrics!$B$475:$B$491),1),1),0,1,1))</f>
        <v>0</v>
      </c>
      <c r="Z875" s="79"/>
    </row>
    <row r="876" spans="1:26" x14ac:dyDescent="0.25">
      <c r="A876" s="4">
        <v>875</v>
      </c>
      <c r="B876" s="5" t="s">
        <v>877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  <c r="R876" s="8">
        <v>0</v>
      </c>
      <c r="S876" s="7">
        <v>0</v>
      </c>
      <c r="T876" s="7">
        <v>0</v>
      </c>
      <c r="U876" s="7">
        <v>0</v>
      </c>
      <c r="V876" s="7">
        <v>0</v>
      </c>
      <c r="X876">
        <f ca="1">IF(V876=0,0,OFFSET(CreditMetrics!$B$474,MATCH(RAND(),OFFSET(CreditMetrics!$C$474,1,MATCH(BDClientes!V876,CreditMetrics!$B$475:$B$491,0),COUNT(CreditMetrics!$B$475:$B$491),1),1),0,1,1))</f>
        <v>0</v>
      </c>
      <c r="Z876" s="79"/>
    </row>
    <row r="877" spans="1:26" x14ac:dyDescent="0.25">
      <c r="A877" s="4">
        <v>876</v>
      </c>
      <c r="B877" s="5" t="s">
        <v>878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  <c r="R877" s="8">
        <v>0</v>
      </c>
      <c r="S877" s="7">
        <v>0</v>
      </c>
      <c r="T877" s="7">
        <v>0</v>
      </c>
      <c r="U877" s="7">
        <v>0</v>
      </c>
      <c r="V877" s="7">
        <v>0</v>
      </c>
      <c r="X877">
        <f ca="1">IF(V877=0,0,OFFSET(CreditMetrics!$B$474,MATCH(RAND(),OFFSET(CreditMetrics!$C$474,1,MATCH(BDClientes!V877,CreditMetrics!$B$475:$B$491,0),COUNT(CreditMetrics!$B$475:$B$491),1),1),0,1,1))</f>
        <v>0</v>
      </c>
      <c r="Z877" s="79"/>
    </row>
    <row r="878" spans="1:26" x14ac:dyDescent="0.25">
      <c r="A878" s="4">
        <v>877</v>
      </c>
      <c r="B878" s="5" t="s">
        <v>879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  <c r="R878" s="8">
        <v>0</v>
      </c>
      <c r="S878" s="7">
        <v>0</v>
      </c>
      <c r="T878" s="7">
        <v>0</v>
      </c>
      <c r="U878" s="7">
        <v>0</v>
      </c>
      <c r="V878" s="7">
        <v>0</v>
      </c>
      <c r="X878">
        <f ca="1">IF(V878=0,0,OFFSET(CreditMetrics!$B$474,MATCH(RAND(),OFFSET(CreditMetrics!$C$474,1,MATCH(BDClientes!V878,CreditMetrics!$B$475:$B$491,0),COUNT(CreditMetrics!$B$475:$B$491),1),1),0,1,1))</f>
        <v>0</v>
      </c>
      <c r="Z878" s="79"/>
    </row>
    <row r="879" spans="1:26" x14ac:dyDescent="0.25">
      <c r="A879" s="4">
        <v>878</v>
      </c>
      <c r="B879" s="5" t="s">
        <v>880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  <c r="R879" s="8">
        <v>0</v>
      </c>
      <c r="S879" s="7">
        <v>0</v>
      </c>
      <c r="T879" s="7">
        <v>0</v>
      </c>
      <c r="U879" s="7">
        <v>0</v>
      </c>
      <c r="V879" s="7">
        <v>0</v>
      </c>
      <c r="X879">
        <f ca="1">IF(V879=0,0,OFFSET(CreditMetrics!$B$474,MATCH(RAND(),OFFSET(CreditMetrics!$C$474,1,MATCH(BDClientes!V879,CreditMetrics!$B$475:$B$491,0),COUNT(CreditMetrics!$B$475:$B$491),1),1),0,1,1))</f>
        <v>0</v>
      </c>
      <c r="Z879" s="79"/>
    </row>
    <row r="880" spans="1:26" x14ac:dyDescent="0.25">
      <c r="A880" s="4">
        <v>879</v>
      </c>
      <c r="B880" s="5" t="s">
        <v>881</v>
      </c>
      <c r="C880" s="7">
        <v>0</v>
      </c>
      <c r="D880" s="7">
        <v>0</v>
      </c>
      <c r="E880" s="7">
        <v>73</v>
      </c>
      <c r="F880" s="7">
        <v>73</v>
      </c>
      <c r="G880" s="7">
        <v>73</v>
      </c>
      <c r="H880" s="7">
        <v>77</v>
      </c>
      <c r="I880" s="7">
        <v>80</v>
      </c>
      <c r="J880" s="7">
        <v>83</v>
      </c>
      <c r="K880" s="7">
        <v>83</v>
      </c>
      <c r="L880" s="7">
        <v>83</v>
      </c>
      <c r="M880" s="7">
        <v>83</v>
      </c>
      <c r="N880" s="7">
        <v>85</v>
      </c>
      <c r="O880" s="7">
        <v>83</v>
      </c>
      <c r="P880" s="7">
        <v>85</v>
      </c>
      <c r="Q880" s="7">
        <v>83</v>
      </c>
      <c r="R880" s="8">
        <v>85</v>
      </c>
      <c r="S880" s="7">
        <v>85</v>
      </c>
      <c r="T880" s="7">
        <v>85</v>
      </c>
      <c r="U880" s="7">
        <v>85</v>
      </c>
      <c r="V880" s="7">
        <v>83</v>
      </c>
      <c r="W880" s="138">
        <v>158105.18315196745</v>
      </c>
      <c r="X880">
        <f ca="1">IF(V880=0,0,OFFSET(CreditMetrics!$B$474,MATCH(RAND(),OFFSET(CreditMetrics!$C$474,1,MATCH(BDClientes!V880,CreditMetrics!$B$475:$B$491,0),COUNT(CreditMetrics!$B$475:$B$491),1),1),0,1,1))</f>
        <v>85</v>
      </c>
      <c r="Z880" s="79"/>
    </row>
    <row r="881" spans="1:26" x14ac:dyDescent="0.25">
      <c r="A881" s="4">
        <v>880</v>
      </c>
      <c r="B881" s="5" t="s">
        <v>882</v>
      </c>
      <c r="C881" s="7">
        <v>0</v>
      </c>
      <c r="D881" s="7">
        <v>0</v>
      </c>
      <c r="E881" s="7">
        <v>73</v>
      </c>
      <c r="F881" s="7">
        <v>73</v>
      </c>
      <c r="G881" s="7">
        <v>77</v>
      </c>
      <c r="H881" s="7">
        <v>80</v>
      </c>
      <c r="I881" s="7">
        <v>77</v>
      </c>
      <c r="J881" s="7">
        <v>77</v>
      </c>
      <c r="K881" s="7">
        <v>80</v>
      </c>
      <c r="L881" s="7">
        <v>80</v>
      </c>
      <c r="M881" s="7">
        <v>80</v>
      </c>
      <c r="N881" s="7">
        <v>77</v>
      </c>
      <c r="O881" s="7">
        <v>80</v>
      </c>
      <c r="P881" s="7">
        <v>80</v>
      </c>
      <c r="Q881" s="7">
        <v>80</v>
      </c>
      <c r="R881" s="8">
        <v>80</v>
      </c>
      <c r="S881" s="7">
        <v>80</v>
      </c>
      <c r="T881" s="7">
        <v>75</v>
      </c>
      <c r="U881" s="7">
        <v>80</v>
      </c>
      <c r="V881" s="7">
        <v>77</v>
      </c>
      <c r="W881" s="138">
        <v>345952.60520431603</v>
      </c>
      <c r="X881">
        <f ca="1">IF(V881=0,0,OFFSET(CreditMetrics!$B$474,MATCH(RAND(),OFFSET(CreditMetrics!$C$474,1,MATCH(BDClientes!V881,CreditMetrics!$B$475:$B$491,0),COUNT(CreditMetrics!$B$475:$B$491),1),1),0,1,1))</f>
        <v>77</v>
      </c>
      <c r="Z881" s="79"/>
    </row>
    <row r="882" spans="1:26" x14ac:dyDescent="0.25">
      <c r="A882" s="4">
        <v>881</v>
      </c>
      <c r="B882" s="5" t="s">
        <v>883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80</v>
      </c>
      <c r="N882" s="7">
        <v>0</v>
      </c>
      <c r="O882" s="7">
        <v>83</v>
      </c>
      <c r="P882" s="7">
        <v>80</v>
      </c>
      <c r="Q882" s="7">
        <v>77</v>
      </c>
      <c r="R882" s="8">
        <v>77</v>
      </c>
      <c r="S882" s="7">
        <v>80</v>
      </c>
      <c r="T882" s="7">
        <v>80</v>
      </c>
      <c r="U882" s="7">
        <v>0</v>
      </c>
      <c r="V882" s="7">
        <v>0</v>
      </c>
      <c r="X882">
        <f ca="1">IF(V882=0,0,OFFSET(CreditMetrics!$B$474,MATCH(RAND(),OFFSET(CreditMetrics!$C$474,1,MATCH(BDClientes!V882,CreditMetrics!$B$475:$B$491,0),COUNT(CreditMetrics!$B$475:$B$491),1),1),0,1,1))</f>
        <v>0</v>
      </c>
      <c r="Z882" s="79"/>
    </row>
    <row r="883" spans="1:26" x14ac:dyDescent="0.25">
      <c r="A883" s="4">
        <v>882</v>
      </c>
      <c r="B883" s="5" t="s">
        <v>884</v>
      </c>
      <c r="C883" s="7">
        <v>83</v>
      </c>
      <c r="D883" s="7">
        <v>83</v>
      </c>
      <c r="E883" s="7">
        <v>83</v>
      </c>
      <c r="F883" s="7">
        <v>83</v>
      </c>
      <c r="G883" s="7">
        <v>83</v>
      </c>
      <c r="H883" s="7">
        <v>85</v>
      </c>
      <c r="I883" s="7">
        <v>83</v>
      </c>
      <c r="J883" s="7">
        <v>83</v>
      </c>
      <c r="K883" s="7">
        <v>85</v>
      </c>
      <c r="L883" s="7">
        <v>85</v>
      </c>
      <c r="M883" s="7">
        <v>70</v>
      </c>
      <c r="N883" s="7">
        <v>75</v>
      </c>
      <c r="O883" s="7">
        <v>60</v>
      </c>
      <c r="P883" s="7">
        <v>22</v>
      </c>
      <c r="Q883" s="7">
        <v>22</v>
      </c>
      <c r="R883" s="8">
        <v>22</v>
      </c>
      <c r="S883" s="7">
        <v>22</v>
      </c>
      <c r="T883" s="7">
        <v>22</v>
      </c>
      <c r="U883" s="7">
        <v>22</v>
      </c>
      <c r="V883" s="7">
        <v>22</v>
      </c>
      <c r="W883" s="138">
        <v>7832391.9835743932</v>
      </c>
      <c r="X883">
        <f ca="1">IF(V883=0,0,OFFSET(CreditMetrics!$B$474,MATCH(RAND(),OFFSET(CreditMetrics!$C$474,1,MATCH(BDClientes!V883,CreditMetrics!$B$475:$B$491,0),COUNT(CreditMetrics!$B$475:$B$491),1),1),0,1,1))</f>
        <v>22</v>
      </c>
      <c r="Z883" s="79"/>
    </row>
    <row r="884" spans="1:26" x14ac:dyDescent="0.25">
      <c r="A884" s="4">
        <v>883</v>
      </c>
      <c r="B884" s="5" t="s">
        <v>885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77</v>
      </c>
      <c r="K884" s="7">
        <v>85</v>
      </c>
      <c r="L884" s="7">
        <v>83</v>
      </c>
      <c r="M884" s="7">
        <v>80</v>
      </c>
      <c r="N884" s="7">
        <v>83</v>
      </c>
      <c r="O884" s="7">
        <v>85</v>
      </c>
      <c r="P884" s="7">
        <v>83</v>
      </c>
      <c r="Q884" s="7">
        <v>85</v>
      </c>
      <c r="R884" s="8">
        <v>83</v>
      </c>
      <c r="S884" s="7">
        <v>83</v>
      </c>
      <c r="T884" s="7">
        <v>83</v>
      </c>
      <c r="U884" s="7">
        <v>83</v>
      </c>
      <c r="V884" s="7">
        <v>83</v>
      </c>
      <c r="W884" s="138">
        <v>177186.77966010291</v>
      </c>
      <c r="X884">
        <f ca="1">IF(V884=0,0,OFFSET(CreditMetrics!$B$474,MATCH(RAND(),OFFSET(CreditMetrics!$C$474,1,MATCH(BDClientes!V884,CreditMetrics!$B$475:$B$491,0),COUNT(CreditMetrics!$B$475:$B$491),1),1),0,1,1))</f>
        <v>75</v>
      </c>
      <c r="Z884" s="79"/>
    </row>
    <row r="885" spans="1:26" x14ac:dyDescent="0.25">
      <c r="A885" s="4">
        <v>884</v>
      </c>
      <c r="B885" s="5" t="s">
        <v>886</v>
      </c>
      <c r="C885" s="7">
        <v>87</v>
      </c>
      <c r="D885" s="7">
        <v>77</v>
      </c>
      <c r="E885" s="7">
        <v>80</v>
      </c>
      <c r="F885" s="7">
        <v>80</v>
      </c>
      <c r="G885" s="7">
        <v>77</v>
      </c>
      <c r="H885" s="7">
        <v>73</v>
      </c>
      <c r="I885" s="7">
        <v>73</v>
      </c>
      <c r="J885" s="7">
        <v>73</v>
      </c>
      <c r="K885" s="7">
        <v>73</v>
      </c>
      <c r="L885" s="7">
        <v>73</v>
      </c>
      <c r="M885" s="7">
        <v>73</v>
      </c>
      <c r="N885" s="7">
        <v>73</v>
      </c>
      <c r="O885" s="7">
        <v>75</v>
      </c>
      <c r="P885" s="7">
        <v>75</v>
      </c>
      <c r="Q885" s="7">
        <v>77</v>
      </c>
      <c r="R885" s="8">
        <v>77</v>
      </c>
      <c r="S885" s="7">
        <v>77</v>
      </c>
      <c r="T885" s="7">
        <v>75</v>
      </c>
      <c r="U885" s="7">
        <v>75</v>
      </c>
      <c r="V885" s="7">
        <v>75</v>
      </c>
      <c r="W885" s="138">
        <v>120421.74101358032</v>
      </c>
      <c r="X885">
        <f ca="1">IF(V885=0,0,OFFSET(CreditMetrics!$B$474,MATCH(RAND(),OFFSET(CreditMetrics!$C$474,1,MATCH(BDClientes!V885,CreditMetrics!$B$475:$B$491,0),COUNT(CreditMetrics!$B$475:$B$491),1),1),0,1,1))</f>
        <v>80</v>
      </c>
      <c r="Z885" s="79"/>
    </row>
    <row r="886" spans="1:26" x14ac:dyDescent="0.25">
      <c r="A886" s="4">
        <v>885</v>
      </c>
      <c r="B886" s="5" t="s">
        <v>887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85</v>
      </c>
      <c r="L886" s="7">
        <v>83</v>
      </c>
      <c r="M886" s="7">
        <v>83</v>
      </c>
      <c r="N886" s="7">
        <v>80</v>
      </c>
      <c r="O886" s="7">
        <v>83</v>
      </c>
      <c r="P886" s="7">
        <v>83</v>
      </c>
      <c r="Q886" s="7">
        <v>77</v>
      </c>
      <c r="R886" s="8">
        <v>77</v>
      </c>
      <c r="S886" s="7">
        <v>80</v>
      </c>
      <c r="T886" s="7">
        <v>77</v>
      </c>
      <c r="U886" s="7">
        <v>80</v>
      </c>
      <c r="V886" s="7">
        <v>80</v>
      </c>
      <c r="W886" s="138">
        <v>150103.30344570099</v>
      </c>
      <c r="X886">
        <f ca="1">IF(V886=0,0,OFFSET(CreditMetrics!$B$474,MATCH(RAND(),OFFSET(CreditMetrics!$C$474,1,MATCH(BDClientes!V886,CreditMetrics!$B$475:$B$491,0),COUNT(CreditMetrics!$B$475:$B$491),1),1),0,1,1))</f>
        <v>80</v>
      </c>
      <c r="Z886" s="79"/>
    </row>
    <row r="887" spans="1:26" x14ac:dyDescent="0.25">
      <c r="A887" s="4">
        <v>886</v>
      </c>
      <c r="B887" s="5" t="s">
        <v>888</v>
      </c>
      <c r="C887" s="7">
        <v>77</v>
      </c>
      <c r="D887" s="7">
        <v>77</v>
      </c>
      <c r="E887" s="7">
        <v>80</v>
      </c>
      <c r="F887" s="7">
        <v>80</v>
      </c>
      <c r="G887" s="7">
        <v>80</v>
      </c>
      <c r="H887" s="7">
        <v>83</v>
      </c>
      <c r="I887" s="7">
        <v>83</v>
      </c>
      <c r="J887" s="7">
        <v>83</v>
      </c>
      <c r="K887" s="7">
        <v>83</v>
      </c>
      <c r="L887" s="7">
        <v>83</v>
      </c>
      <c r="M887" s="7">
        <v>83</v>
      </c>
      <c r="N887" s="7">
        <v>85</v>
      </c>
      <c r="O887" s="7">
        <v>83</v>
      </c>
      <c r="P887" s="7">
        <v>85</v>
      </c>
      <c r="Q887" s="7">
        <v>83</v>
      </c>
      <c r="R887" s="8">
        <v>85</v>
      </c>
      <c r="S887" s="7">
        <v>85</v>
      </c>
      <c r="T887" s="7">
        <v>85</v>
      </c>
      <c r="U887" s="7">
        <v>83</v>
      </c>
      <c r="V887" s="7">
        <v>75</v>
      </c>
      <c r="W887" s="138">
        <v>2100731.8418637854</v>
      </c>
      <c r="X887">
        <f ca="1">IF(V887=0,0,OFFSET(CreditMetrics!$B$474,MATCH(RAND(),OFFSET(CreditMetrics!$C$474,1,MATCH(BDClientes!V887,CreditMetrics!$B$475:$B$491,0),COUNT(CreditMetrics!$B$475:$B$491),1),1),0,1,1))</f>
        <v>80</v>
      </c>
      <c r="Z887" s="79"/>
    </row>
    <row r="888" spans="1:26" x14ac:dyDescent="0.25">
      <c r="A888" s="4">
        <v>887</v>
      </c>
      <c r="B888" s="5" t="s">
        <v>889</v>
      </c>
      <c r="C888" s="7">
        <v>77</v>
      </c>
      <c r="D888" s="7">
        <v>80</v>
      </c>
      <c r="E888" s="7">
        <v>83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  <c r="R888" s="8">
        <v>0</v>
      </c>
      <c r="S888" s="7">
        <v>0</v>
      </c>
      <c r="T888" s="7">
        <v>0</v>
      </c>
      <c r="U888" s="7">
        <v>0</v>
      </c>
      <c r="V888" s="7">
        <v>0</v>
      </c>
      <c r="X888">
        <f ca="1">IF(V888=0,0,OFFSET(CreditMetrics!$B$474,MATCH(RAND(),OFFSET(CreditMetrics!$C$474,1,MATCH(BDClientes!V888,CreditMetrics!$B$475:$B$491,0),COUNT(CreditMetrics!$B$475:$B$491),1),1),0,1,1))</f>
        <v>0</v>
      </c>
      <c r="Z888" s="79"/>
    </row>
    <row r="889" spans="1:26" x14ac:dyDescent="0.25">
      <c r="A889" s="4">
        <v>888</v>
      </c>
      <c r="B889" s="5" t="s">
        <v>890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83</v>
      </c>
      <c r="K889" s="7">
        <v>80</v>
      </c>
      <c r="L889" s="7">
        <v>77</v>
      </c>
      <c r="M889" s="7">
        <v>83</v>
      </c>
      <c r="N889" s="7">
        <v>80</v>
      </c>
      <c r="O889" s="7">
        <v>80</v>
      </c>
      <c r="P889" s="7">
        <v>83</v>
      </c>
      <c r="Q889" s="7">
        <v>80</v>
      </c>
      <c r="R889" s="8">
        <v>83</v>
      </c>
      <c r="S889" s="7">
        <v>80</v>
      </c>
      <c r="T889" s="7">
        <v>77</v>
      </c>
      <c r="U889" s="7">
        <v>77</v>
      </c>
      <c r="V889" s="7">
        <v>83</v>
      </c>
      <c r="W889" s="138">
        <v>110909.08378264075</v>
      </c>
      <c r="X889">
        <f ca="1">IF(V889=0,0,OFFSET(CreditMetrics!$B$474,MATCH(RAND(),OFFSET(CreditMetrics!$C$474,1,MATCH(BDClientes!V889,CreditMetrics!$B$475:$B$491,0),COUNT(CreditMetrics!$B$475:$B$491),1),1),0,1,1))</f>
        <v>70</v>
      </c>
      <c r="Z889" s="79"/>
    </row>
    <row r="890" spans="1:26" x14ac:dyDescent="0.25">
      <c r="A890" s="4">
        <v>889</v>
      </c>
      <c r="B890" s="5" t="s">
        <v>891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77</v>
      </c>
      <c r="J890" s="7">
        <v>75</v>
      </c>
      <c r="K890" s="7">
        <v>75</v>
      </c>
      <c r="L890" s="7">
        <v>83</v>
      </c>
      <c r="M890" s="7">
        <v>83</v>
      </c>
      <c r="N890" s="7">
        <v>75</v>
      </c>
      <c r="O890" s="7">
        <v>77</v>
      </c>
      <c r="P890" s="7">
        <v>77</v>
      </c>
      <c r="Q890" s="7">
        <v>85</v>
      </c>
      <c r="R890" s="8">
        <v>87</v>
      </c>
      <c r="S890" s="7">
        <v>0</v>
      </c>
      <c r="T890" s="7">
        <v>0</v>
      </c>
      <c r="U890" s="7">
        <v>0</v>
      </c>
      <c r="V890" s="7">
        <v>0</v>
      </c>
      <c r="X890">
        <f ca="1">IF(V890=0,0,OFFSET(CreditMetrics!$B$474,MATCH(RAND(),OFFSET(CreditMetrics!$C$474,1,MATCH(BDClientes!V890,CreditMetrics!$B$475:$B$491,0),COUNT(CreditMetrics!$B$475:$B$491),1),1),0,1,1))</f>
        <v>0</v>
      </c>
      <c r="Z890" s="79"/>
    </row>
    <row r="891" spans="1:26" x14ac:dyDescent="0.25">
      <c r="A891" s="4">
        <v>890</v>
      </c>
      <c r="B891" s="5" t="s">
        <v>892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  <c r="R891" s="8">
        <v>0</v>
      </c>
      <c r="S891" s="7">
        <v>0</v>
      </c>
      <c r="T891" s="7">
        <v>0</v>
      </c>
      <c r="U891" s="7">
        <v>0</v>
      </c>
      <c r="V891" s="7">
        <v>0</v>
      </c>
      <c r="X891">
        <f ca="1">IF(V891=0,0,OFFSET(CreditMetrics!$B$474,MATCH(RAND(),OFFSET(CreditMetrics!$C$474,1,MATCH(BDClientes!V891,CreditMetrics!$B$475:$B$491,0),COUNT(CreditMetrics!$B$475:$B$491),1),1),0,1,1))</f>
        <v>0</v>
      </c>
      <c r="Z891" s="79"/>
    </row>
    <row r="892" spans="1:26" x14ac:dyDescent="0.25">
      <c r="A892" s="4">
        <v>891</v>
      </c>
      <c r="B892" s="5" t="s">
        <v>893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  <c r="R892" s="8">
        <v>0</v>
      </c>
      <c r="S892" s="7">
        <v>0</v>
      </c>
      <c r="T892" s="7">
        <v>0</v>
      </c>
      <c r="U892" s="7">
        <v>0</v>
      </c>
      <c r="V892" s="7">
        <v>0</v>
      </c>
      <c r="X892">
        <f ca="1">IF(V892=0,0,OFFSET(CreditMetrics!$B$474,MATCH(RAND(),OFFSET(CreditMetrics!$C$474,1,MATCH(BDClientes!V892,CreditMetrics!$B$475:$B$491,0),COUNT(CreditMetrics!$B$475:$B$491),1),1),0,1,1))</f>
        <v>0</v>
      </c>
      <c r="Z892" s="79"/>
    </row>
    <row r="893" spans="1:26" x14ac:dyDescent="0.25">
      <c r="A893" s="4">
        <v>892</v>
      </c>
      <c r="B893" s="5" t="s">
        <v>894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  <c r="R893" s="8">
        <v>0</v>
      </c>
      <c r="S893" s="7">
        <v>0</v>
      </c>
      <c r="T893" s="7">
        <v>0</v>
      </c>
      <c r="U893" s="7">
        <v>0</v>
      </c>
      <c r="V893" s="7">
        <v>0</v>
      </c>
      <c r="X893">
        <f ca="1">IF(V893=0,0,OFFSET(CreditMetrics!$B$474,MATCH(RAND(),OFFSET(CreditMetrics!$C$474,1,MATCH(BDClientes!V893,CreditMetrics!$B$475:$B$491,0),COUNT(CreditMetrics!$B$475:$B$491),1),1),0,1,1))</f>
        <v>0</v>
      </c>
      <c r="Z893" s="79"/>
    </row>
    <row r="894" spans="1:26" x14ac:dyDescent="0.25">
      <c r="A894" s="4">
        <v>893</v>
      </c>
      <c r="B894" s="5" t="s">
        <v>895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  <c r="R894" s="8">
        <v>0</v>
      </c>
      <c r="S894" s="7">
        <v>0</v>
      </c>
      <c r="T894" s="7">
        <v>0</v>
      </c>
      <c r="U894" s="7">
        <v>0</v>
      </c>
      <c r="V894" s="7">
        <v>0</v>
      </c>
      <c r="X894">
        <f ca="1">IF(V894=0,0,OFFSET(CreditMetrics!$B$474,MATCH(RAND(),OFFSET(CreditMetrics!$C$474,1,MATCH(BDClientes!V894,CreditMetrics!$B$475:$B$491,0),COUNT(CreditMetrics!$B$475:$B$491),1),1),0,1,1))</f>
        <v>0</v>
      </c>
      <c r="Z894" s="79"/>
    </row>
    <row r="895" spans="1:26" x14ac:dyDescent="0.25">
      <c r="A895" s="4">
        <v>894</v>
      </c>
      <c r="B895" s="5" t="s">
        <v>896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  <c r="R895" s="8">
        <v>0</v>
      </c>
      <c r="S895" s="7">
        <v>0</v>
      </c>
      <c r="T895" s="7">
        <v>0</v>
      </c>
      <c r="U895" s="7">
        <v>0</v>
      </c>
      <c r="V895" s="7">
        <v>0</v>
      </c>
      <c r="X895">
        <f ca="1">IF(V895=0,0,OFFSET(CreditMetrics!$B$474,MATCH(RAND(),OFFSET(CreditMetrics!$C$474,1,MATCH(BDClientes!V895,CreditMetrics!$B$475:$B$491,0),COUNT(CreditMetrics!$B$475:$B$491),1),1),0,1,1))</f>
        <v>0</v>
      </c>
      <c r="Z895" s="79"/>
    </row>
    <row r="896" spans="1:26" x14ac:dyDescent="0.25">
      <c r="A896" s="4">
        <v>895</v>
      </c>
      <c r="B896" s="5" t="s">
        <v>897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  <c r="R896" s="8">
        <v>0</v>
      </c>
      <c r="S896" s="7">
        <v>0</v>
      </c>
      <c r="T896" s="7">
        <v>0</v>
      </c>
      <c r="U896" s="7">
        <v>0</v>
      </c>
      <c r="V896" s="7">
        <v>0</v>
      </c>
      <c r="X896">
        <f ca="1">IF(V896=0,0,OFFSET(CreditMetrics!$B$474,MATCH(RAND(),OFFSET(CreditMetrics!$C$474,1,MATCH(BDClientes!V896,CreditMetrics!$B$475:$B$491,0),COUNT(CreditMetrics!$B$475:$B$491),1),1),0,1,1))</f>
        <v>0</v>
      </c>
      <c r="Z896" s="79"/>
    </row>
    <row r="897" spans="1:26" x14ac:dyDescent="0.25">
      <c r="A897" s="4">
        <v>896</v>
      </c>
      <c r="B897" s="5" t="s">
        <v>898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  <c r="R897" s="8">
        <v>0</v>
      </c>
      <c r="S897" s="7">
        <v>0</v>
      </c>
      <c r="T897" s="7">
        <v>0</v>
      </c>
      <c r="U897" s="7">
        <v>0</v>
      </c>
      <c r="V897" s="7">
        <v>0</v>
      </c>
      <c r="X897">
        <f ca="1">IF(V897=0,0,OFFSET(CreditMetrics!$B$474,MATCH(RAND(),OFFSET(CreditMetrics!$C$474,1,MATCH(BDClientes!V897,CreditMetrics!$B$475:$B$491,0),COUNT(CreditMetrics!$B$475:$B$491),1),1),0,1,1))</f>
        <v>0</v>
      </c>
      <c r="Z897" s="79"/>
    </row>
    <row r="898" spans="1:26" x14ac:dyDescent="0.25">
      <c r="A898" s="4">
        <v>897</v>
      </c>
      <c r="B898" s="5" t="s">
        <v>899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  <c r="R898" s="8">
        <v>0</v>
      </c>
      <c r="S898" s="7">
        <v>0</v>
      </c>
      <c r="T898" s="7">
        <v>0</v>
      </c>
      <c r="U898" s="7">
        <v>0</v>
      </c>
      <c r="V898" s="7">
        <v>0</v>
      </c>
      <c r="X898">
        <f ca="1">IF(V898=0,0,OFFSET(CreditMetrics!$B$474,MATCH(RAND(),OFFSET(CreditMetrics!$C$474,1,MATCH(BDClientes!V898,CreditMetrics!$B$475:$B$491,0),COUNT(CreditMetrics!$B$475:$B$491),1),1),0,1,1))</f>
        <v>0</v>
      </c>
      <c r="Z898" s="79"/>
    </row>
    <row r="899" spans="1:26" x14ac:dyDescent="0.25">
      <c r="A899" s="4">
        <v>898</v>
      </c>
      <c r="B899" s="5" t="s">
        <v>900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  <c r="R899" s="8">
        <v>0</v>
      </c>
      <c r="S899" s="7">
        <v>0</v>
      </c>
      <c r="T899" s="7">
        <v>0</v>
      </c>
      <c r="U899" s="7">
        <v>0</v>
      </c>
      <c r="V899" s="7">
        <v>0</v>
      </c>
      <c r="X899">
        <f ca="1">IF(V899=0,0,OFFSET(CreditMetrics!$B$474,MATCH(RAND(),OFFSET(CreditMetrics!$C$474,1,MATCH(BDClientes!V899,CreditMetrics!$B$475:$B$491,0),COUNT(CreditMetrics!$B$475:$B$491),1),1),0,1,1))</f>
        <v>0</v>
      </c>
      <c r="Z899" s="79"/>
    </row>
    <row r="900" spans="1:26" x14ac:dyDescent="0.25">
      <c r="A900" s="4">
        <v>899</v>
      </c>
      <c r="B900" s="5" t="s">
        <v>901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  <c r="R900" s="8">
        <v>0</v>
      </c>
      <c r="S900" s="7">
        <v>0</v>
      </c>
      <c r="T900" s="7">
        <v>0</v>
      </c>
      <c r="U900" s="7">
        <v>0</v>
      </c>
      <c r="V900" s="7">
        <v>0</v>
      </c>
      <c r="X900">
        <f ca="1">IF(V900=0,0,OFFSET(CreditMetrics!$B$474,MATCH(RAND(),OFFSET(CreditMetrics!$C$474,1,MATCH(BDClientes!V900,CreditMetrics!$B$475:$B$491,0),COUNT(CreditMetrics!$B$475:$B$491),1),1),0,1,1))</f>
        <v>0</v>
      </c>
      <c r="Z900" s="79"/>
    </row>
    <row r="901" spans="1:26" x14ac:dyDescent="0.25">
      <c r="A901" s="4">
        <v>900</v>
      </c>
      <c r="B901" s="5" t="s">
        <v>902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  <c r="R901" s="8">
        <v>0</v>
      </c>
      <c r="S901" s="7">
        <v>0</v>
      </c>
      <c r="T901" s="7">
        <v>0</v>
      </c>
      <c r="U901" s="7">
        <v>0</v>
      </c>
      <c r="V901" s="7">
        <v>0</v>
      </c>
      <c r="X901">
        <f ca="1">IF(V901=0,0,OFFSET(CreditMetrics!$B$474,MATCH(RAND(),OFFSET(CreditMetrics!$C$474,1,MATCH(BDClientes!V901,CreditMetrics!$B$475:$B$491,0),COUNT(CreditMetrics!$B$475:$B$491),1),1),0,1,1))</f>
        <v>0</v>
      </c>
      <c r="Z901" s="79"/>
    </row>
    <row r="902" spans="1:26" x14ac:dyDescent="0.25">
      <c r="A902" s="4">
        <v>901</v>
      </c>
      <c r="B902" s="5" t="s">
        <v>903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  <c r="R902" s="8">
        <v>0</v>
      </c>
      <c r="S902" s="7">
        <v>0</v>
      </c>
      <c r="T902" s="7">
        <v>0</v>
      </c>
      <c r="U902" s="7">
        <v>0</v>
      </c>
      <c r="V902" s="7">
        <v>0</v>
      </c>
      <c r="X902">
        <f ca="1">IF(V902=0,0,OFFSET(CreditMetrics!$B$474,MATCH(RAND(),OFFSET(CreditMetrics!$C$474,1,MATCH(BDClientes!V902,CreditMetrics!$B$475:$B$491,0),COUNT(CreditMetrics!$B$475:$B$491),1),1),0,1,1))</f>
        <v>0</v>
      </c>
      <c r="Z902" s="79"/>
    </row>
    <row r="903" spans="1:26" x14ac:dyDescent="0.25">
      <c r="A903" s="4">
        <v>902</v>
      </c>
      <c r="B903" s="5" t="s">
        <v>904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  <c r="R903" s="8">
        <v>0</v>
      </c>
      <c r="S903" s="7">
        <v>0</v>
      </c>
      <c r="T903" s="7">
        <v>0</v>
      </c>
      <c r="U903" s="7">
        <v>0</v>
      </c>
      <c r="V903" s="7">
        <v>0</v>
      </c>
      <c r="X903">
        <f ca="1">IF(V903=0,0,OFFSET(CreditMetrics!$B$474,MATCH(RAND(),OFFSET(CreditMetrics!$C$474,1,MATCH(BDClientes!V903,CreditMetrics!$B$475:$B$491,0),COUNT(CreditMetrics!$B$475:$B$491),1),1),0,1,1))</f>
        <v>0</v>
      </c>
      <c r="Z903" s="79"/>
    </row>
    <row r="904" spans="1:26" x14ac:dyDescent="0.25">
      <c r="A904" s="4">
        <v>903</v>
      </c>
      <c r="B904" s="5" t="s">
        <v>905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  <c r="R904" s="8">
        <v>0</v>
      </c>
      <c r="S904" s="7">
        <v>0</v>
      </c>
      <c r="T904" s="7">
        <v>0</v>
      </c>
      <c r="U904" s="7">
        <v>0</v>
      </c>
      <c r="V904" s="7">
        <v>0</v>
      </c>
      <c r="X904">
        <f ca="1">IF(V904=0,0,OFFSET(CreditMetrics!$B$474,MATCH(RAND(),OFFSET(CreditMetrics!$C$474,1,MATCH(BDClientes!V904,CreditMetrics!$B$475:$B$491,0),COUNT(CreditMetrics!$B$475:$B$491),1),1),0,1,1))</f>
        <v>0</v>
      </c>
      <c r="Z904" s="79"/>
    </row>
    <row r="905" spans="1:26" x14ac:dyDescent="0.25">
      <c r="A905" s="4">
        <v>904</v>
      </c>
      <c r="B905" s="5" t="s">
        <v>906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8">
        <v>0</v>
      </c>
      <c r="S905" s="7">
        <v>0</v>
      </c>
      <c r="T905" s="7">
        <v>0</v>
      </c>
      <c r="U905" s="7">
        <v>0</v>
      </c>
      <c r="V905" s="7">
        <v>0</v>
      </c>
      <c r="X905">
        <f ca="1">IF(V905=0,0,OFFSET(CreditMetrics!$B$474,MATCH(RAND(),OFFSET(CreditMetrics!$C$474,1,MATCH(BDClientes!V905,CreditMetrics!$B$475:$B$491,0),COUNT(CreditMetrics!$B$475:$B$491),1),1),0,1,1))</f>
        <v>0</v>
      </c>
      <c r="Z905" s="79"/>
    </row>
    <row r="906" spans="1:26" x14ac:dyDescent="0.25">
      <c r="A906" s="4">
        <v>905</v>
      </c>
      <c r="B906" s="5" t="s">
        <v>907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8">
        <v>0</v>
      </c>
      <c r="S906" s="7">
        <v>0</v>
      </c>
      <c r="T906" s="7">
        <v>0</v>
      </c>
      <c r="U906" s="7">
        <v>0</v>
      </c>
      <c r="V906" s="7">
        <v>0</v>
      </c>
      <c r="X906">
        <f ca="1">IF(V906=0,0,OFFSET(CreditMetrics!$B$474,MATCH(RAND(),OFFSET(CreditMetrics!$C$474,1,MATCH(BDClientes!V906,CreditMetrics!$B$475:$B$491,0),COUNT(CreditMetrics!$B$475:$B$491),1),1),0,1,1))</f>
        <v>0</v>
      </c>
      <c r="Z906" s="79"/>
    </row>
    <row r="907" spans="1:26" x14ac:dyDescent="0.25">
      <c r="A907" s="4">
        <v>906</v>
      </c>
      <c r="B907" s="5" t="s">
        <v>908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8">
        <v>0</v>
      </c>
      <c r="S907" s="7">
        <v>0</v>
      </c>
      <c r="T907" s="7">
        <v>0</v>
      </c>
      <c r="U907" s="7">
        <v>0</v>
      </c>
      <c r="V907" s="7">
        <v>0</v>
      </c>
      <c r="X907">
        <f ca="1">IF(V907=0,0,OFFSET(CreditMetrics!$B$474,MATCH(RAND(),OFFSET(CreditMetrics!$C$474,1,MATCH(BDClientes!V907,CreditMetrics!$B$475:$B$491,0),COUNT(CreditMetrics!$B$475:$B$491),1),1),0,1,1))</f>
        <v>0</v>
      </c>
      <c r="Z907" s="79"/>
    </row>
    <row r="908" spans="1:26" x14ac:dyDescent="0.25">
      <c r="A908" s="4">
        <v>907</v>
      </c>
      <c r="B908" s="5" t="s">
        <v>909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8">
        <v>0</v>
      </c>
      <c r="S908" s="7">
        <v>0</v>
      </c>
      <c r="T908" s="7">
        <v>0</v>
      </c>
      <c r="U908" s="7">
        <v>0</v>
      </c>
      <c r="V908" s="7">
        <v>0</v>
      </c>
      <c r="X908">
        <f ca="1">IF(V908=0,0,OFFSET(CreditMetrics!$B$474,MATCH(RAND(),OFFSET(CreditMetrics!$C$474,1,MATCH(BDClientes!V908,CreditMetrics!$B$475:$B$491,0),COUNT(CreditMetrics!$B$475:$B$491),1),1),0,1,1))</f>
        <v>0</v>
      </c>
      <c r="Z908" s="79"/>
    </row>
    <row r="909" spans="1:26" x14ac:dyDescent="0.25">
      <c r="A909" s="4">
        <v>908</v>
      </c>
      <c r="B909" s="5" t="s">
        <v>910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8">
        <v>0</v>
      </c>
      <c r="S909" s="7">
        <v>0</v>
      </c>
      <c r="T909" s="7">
        <v>0</v>
      </c>
      <c r="U909" s="7">
        <v>0</v>
      </c>
      <c r="V909" s="7">
        <v>0</v>
      </c>
      <c r="X909">
        <f ca="1">IF(V909=0,0,OFFSET(CreditMetrics!$B$474,MATCH(RAND(),OFFSET(CreditMetrics!$C$474,1,MATCH(BDClientes!V909,CreditMetrics!$B$475:$B$491,0),COUNT(CreditMetrics!$B$475:$B$491),1),1),0,1,1))</f>
        <v>0</v>
      </c>
      <c r="Z909" s="79"/>
    </row>
    <row r="910" spans="1:26" x14ac:dyDescent="0.25">
      <c r="A910" s="4">
        <v>909</v>
      </c>
      <c r="B910" s="5" t="s">
        <v>911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  <c r="R910" s="8">
        <v>0</v>
      </c>
      <c r="S910" s="7">
        <v>0</v>
      </c>
      <c r="T910" s="7">
        <v>0</v>
      </c>
      <c r="U910" s="7">
        <v>0</v>
      </c>
      <c r="V910" s="7">
        <v>0</v>
      </c>
      <c r="X910">
        <f ca="1">IF(V910=0,0,OFFSET(CreditMetrics!$B$474,MATCH(RAND(),OFFSET(CreditMetrics!$C$474,1,MATCH(BDClientes!V910,CreditMetrics!$B$475:$B$491,0),COUNT(CreditMetrics!$B$475:$B$491),1),1),0,1,1))</f>
        <v>0</v>
      </c>
      <c r="Z910" s="79"/>
    </row>
    <row r="911" spans="1:26" x14ac:dyDescent="0.25">
      <c r="A911" s="4">
        <v>910</v>
      </c>
      <c r="B911" s="5" t="s">
        <v>912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8">
        <v>0</v>
      </c>
      <c r="S911" s="7">
        <v>0</v>
      </c>
      <c r="T911" s="7">
        <v>0</v>
      </c>
      <c r="U911" s="7">
        <v>0</v>
      </c>
      <c r="V911" s="7">
        <v>0</v>
      </c>
      <c r="X911">
        <f ca="1">IF(V911=0,0,OFFSET(CreditMetrics!$B$474,MATCH(RAND(),OFFSET(CreditMetrics!$C$474,1,MATCH(BDClientes!V911,CreditMetrics!$B$475:$B$491,0),COUNT(CreditMetrics!$B$475:$B$491),1),1),0,1,1))</f>
        <v>0</v>
      </c>
      <c r="Z911" s="79"/>
    </row>
    <row r="912" spans="1:26" x14ac:dyDescent="0.25">
      <c r="A912" s="4">
        <v>911</v>
      </c>
      <c r="B912" s="5" t="s">
        <v>913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8">
        <v>0</v>
      </c>
      <c r="S912" s="7">
        <v>0</v>
      </c>
      <c r="T912" s="7">
        <v>0</v>
      </c>
      <c r="U912" s="7">
        <v>0</v>
      </c>
      <c r="V912" s="7">
        <v>0</v>
      </c>
      <c r="X912">
        <f ca="1">IF(V912=0,0,OFFSET(CreditMetrics!$B$474,MATCH(RAND(),OFFSET(CreditMetrics!$C$474,1,MATCH(BDClientes!V912,CreditMetrics!$B$475:$B$491,0),COUNT(CreditMetrics!$B$475:$B$491),1),1),0,1,1))</f>
        <v>0</v>
      </c>
      <c r="Z912" s="79"/>
    </row>
    <row r="913" spans="1:26" x14ac:dyDescent="0.25">
      <c r="A913" s="4">
        <v>912</v>
      </c>
      <c r="B913" s="5" t="s">
        <v>914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  <c r="R913" s="8">
        <v>0</v>
      </c>
      <c r="S913" s="7">
        <v>0</v>
      </c>
      <c r="T913" s="7">
        <v>0</v>
      </c>
      <c r="U913" s="7">
        <v>0</v>
      </c>
      <c r="V913" s="7">
        <v>0</v>
      </c>
      <c r="X913">
        <f ca="1">IF(V913=0,0,OFFSET(CreditMetrics!$B$474,MATCH(RAND(),OFFSET(CreditMetrics!$C$474,1,MATCH(BDClientes!V913,CreditMetrics!$B$475:$B$491,0),COUNT(CreditMetrics!$B$475:$B$491),1),1),0,1,1))</f>
        <v>0</v>
      </c>
      <c r="Z913" s="79"/>
    </row>
    <row r="914" spans="1:26" x14ac:dyDescent="0.25">
      <c r="A914" s="4">
        <v>913</v>
      </c>
      <c r="B914" s="5" t="s">
        <v>915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8">
        <v>0</v>
      </c>
      <c r="S914" s="7">
        <v>0</v>
      </c>
      <c r="T914" s="7">
        <v>0</v>
      </c>
      <c r="U914" s="7">
        <v>0</v>
      </c>
      <c r="V914" s="7">
        <v>0</v>
      </c>
      <c r="X914">
        <f ca="1">IF(V914=0,0,OFFSET(CreditMetrics!$B$474,MATCH(RAND(),OFFSET(CreditMetrics!$C$474,1,MATCH(BDClientes!V914,CreditMetrics!$B$475:$B$491,0),COUNT(CreditMetrics!$B$475:$B$491),1),1),0,1,1))</f>
        <v>0</v>
      </c>
      <c r="Z914" s="79"/>
    </row>
    <row r="915" spans="1:26" x14ac:dyDescent="0.25">
      <c r="A915" s="4">
        <v>914</v>
      </c>
      <c r="B915" s="5" t="s">
        <v>916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8">
        <v>0</v>
      </c>
      <c r="S915" s="7">
        <v>0</v>
      </c>
      <c r="T915" s="7">
        <v>0</v>
      </c>
      <c r="U915" s="7">
        <v>0</v>
      </c>
      <c r="V915" s="7">
        <v>0</v>
      </c>
      <c r="X915">
        <f ca="1">IF(V915=0,0,OFFSET(CreditMetrics!$B$474,MATCH(RAND(),OFFSET(CreditMetrics!$C$474,1,MATCH(BDClientes!V915,CreditMetrics!$B$475:$B$491,0),COUNT(CreditMetrics!$B$475:$B$491),1),1),0,1,1))</f>
        <v>0</v>
      </c>
      <c r="Z915" s="79"/>
    </row>
    <row r="916" spans="1:26" x14ac:dyDescent="0.25">
      <c r="A916" s="4">
        <v>915</v>
      </c>
      <c r="B916" s="5" t="s">
        <v>917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8">
        <v>0</v>
      </c>
      <c r="S916" s="7">
        <v>0</v>
      </c>
      <c r="T916" s="7">
        <v>0</v>
      </c>
      <c r="U916" s="7">
        <v>0</v>
      </c>
      <c r="V916" s="7">
        <v>0</v>
      </c>
      <c r="X916">
        <f ca="1">IF(V916=0,0,OFFSET(CreditMetrics!$B$474,MATCH(RAND(),OFFSET(CreditMetrics!$C$474,1,MATCH(BDClientes!V916,CreditMetrics!$B$475:$B$491,0),COUNT(CreditMetrics!$B$475:$B$491),1),1),0,1,1))</f>
        <v>0</v>
      </c>
      <c r="Z916" s="79"/>
    </row>
    <row r="917" spans="1:26" x14ac:dyDescent="0.25">
      <c r="A917" s="4">
        <v>916</v>
      </c>
      <c r="B917" s="5" t="s">
        <v>918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8">
        <v>0</v>
      </c>
      <c r="S917" s="7">
        <v>0</v>
      </c>
      <c r="T917" s="7">
        <v>0</v>
      </c>
      <c r="U917" s="7">
        <v>0</v>
      </c>
      <c r="V917" s="7">
        <v>0</v>
      </c>
      <c r="X917">
        <f ca="1">IF(V917=0,0,OFFSET(CreditMetrics!$B$474,MATCH(RAND(),OFFSET(CreditMetrics!$C$474,1,MATCH(BDClientes!V917,CreditMetrics!$B$475:$B$491,0),COUNT(CreditMetrics!$B$475:$B$491),1),1),0,1,1))</f>
        <v>0</v>
      </c>
      <c r="Z917" s="79"/>
    </row>
    <row r="918" spans="1:26" x14ac:dyDescent="0.25">
      <c r="A918" s="4">
        <v>917</v>
      </c>
      <c r="B918" s="5" t="s">
        <v>919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8">
        <v>0</v>
      </c>
      <c r="S918" s="7">
        <v>0</v>
      </c>
      <c r="T918" s="7">
        <v>0</v>
      </c>
      <c r="U918" s="7">
        <v>0</v>
      </c>
      <c r="V918" s="7">
        <v>0</v>
      </c>
      <c r="X918">
        <f ca="1">IF(V918=0,0,OFFSET(CreditMetrics!$B$474,MATCH(RAND(),OFFSET(CreditMetrics!$C$474,1,MATCH(BDClientes!V918,CreditMetrics!$B$475:$B$491,0),COUNT(CreditMetrics!$B$475:$B$491),1),1),0,1,1))</f>
        <v>0</v>
      </c>
      <c r="Z918" s="79"/>
    </row>
    <row r="919" spans="1:26" x14ac:dyDescent="0.25">
      <c r="A919" s="4">
        <v>918</v>
      </c>
      <c r="B919" s="5" t="s">
        <v>920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  <c r="R919" s="8">
        <v>0</v>
      </c>
      <c r="S919" s="7">
        <v>0</v>
      </c>
      <c r="T919" s="7">
        <v>0</v>
      </c>
      <c r="U919" s="7">
        <v>0</v>
      </c>
      <c r="V919" s="7">
        <v>0</v>
      </c>
      <c r="X919">
        <f ca="1">IF(V919=0,0,OFFSET(CreditMetrics!$B$474,MATCH(RAND(),OFFSET(CreditMetrics!$C$474,1,MATCH(BDClientes!V919,CreditMetrics!$B$475:$B$491,0),COUNT(CreditMetrics!$B$475:$B$491),1),1),0,1,1))</f>
        <v>0</v>
      </c>
      <c r="Z919" s="79"/>
    </row>
    <row r="920" spans="1:26" x14ac:dyDescent="0.25">
      <c r="A920" s="4">
        <v>919</v>
      </c>
      <c r="B920" s="5" t="s">
        <v>921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  <c r="R920" s="8">
        <v>0</v>
      </c>
      <c r="S920" s="7">
        <v>0</v>
      </c>
      <c r="T920" s="7">
        <v>0</v>
      </c>
      <c r="U920" s="7">
        <v>0</v>
      </c>
      <c r="V920" s="7">
        <v>0</v>
      </c>
      <c r="X920">
        <f ca="1">IF(V920=0,0,OFFSET(CreditMetrics!$B$474,MATCH(RAND(),OFFSET(CreditMetrics!$C$474,1,MATCH(BDClientes!V920,CreditMetrics!$B$475:$B$491,0),COUNT(CreditMetrics!$B$475:$B$491),1),1),0,1,1))</f>
        <v>0</v>
      </c>
      <c r="Z920" s="79"/>
    </row>
    <row r="921" spans="1:26" x14ac:dyDescent="0.25">
      <c r="A921" s="4">
        <v>920</v>
      </c>
      <c r="B921" s="5" t="s">
        <v>922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  <c r="R921" s="8">
        <v>0</v>
      </c>
      <c r="S921" s="7">
        <v>0</v>
      </c>
      <c r="T921" s="7">
        <v>0</v>
      </c>
      <c r="U921" s="7">
        <v>0</v>
      </c>
      <c r="V921" s="7">
        <v>0</v>
      </c>
      <c r="X921">
        <f ca="1">IF(V921=0,0,OFFSET(CreditMetrics!$B$474,MATCH(RAND(),OFFSET(CreditMetrics!$C$474,1,MATCH(BDClientes!V921,CreditMetrics!$B$475:$B$491,0),COUNT(CreditMetrics!$B$475:$B$491),1),1),0,1,1))</f>
        <v>0</v>
      </c>
      <c r="Z921" s="79"/>
    </row>
    <row r="922" spans="1:26" x14ac:dyDescent="0.25">
      <c r="A922" s="4">
        <v>921</v>
      </c>
      <c r="B922" s="5" t="s">
        <v>923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8">
        <v>0</v>
      </c>
      <c r="S922" s="7">
        <v>0</v>
      </c>
      <c r="T922" s="7">
        <v>0</v>
      </c>
      <c r="U922" s="7">
        <v>0</v>
      </c>
      <c r="V922" s="7">
        <v>0</v>
      </c>
      <c r="X922">
        <f ca="1">IF(V922=0,0,OFFSET(CreditMetrics!$B$474,MATCH(RAND(),OFFSET(CreditMetrics!$C$474,1,MATCH(BDClientes!V922,CreditMetrics!$B$475:$B$491,0),COUNT(CreditMetrics!$B$475:$B$491),1),1),0,1,1))</f>
        <v>0</v>
      </c>
      <c r="Z922" s="79"/>
    </row>
    <row r="923" spans="1:26" x14ac:dyDescent="0.25">
      <c r="A923" s="4">
        <v>922</v>
      </c>
      <c r="B923" s="5" t="s">
        <v>924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  <c r="R923" s="8">
        <v>0</v>
      </c>
      <c r="S923" s="7">
        <v>0</v>
      </c>
      <c r="T923" s="7">
        <v>0</v>
      </c>
      <c r="U923" s="7">
        <v>0</v>
      </c>
      <c r="V923" s="7">
        <v>0</v>
      </c>
      <c r="X923">
        <f ca="1">IF(V923=0,0,OFFSET(CreditMetrics!$B$474,MATCH(RAND(),OFFSET(CreditMetrics!$C$474,1,MATCH(BDClientes!V923,CreditMetrics!$B$475:$B$491,0),COUNT(CreditMetrics!$B$475:$B$491),1),1),0,1,1))</f>
        <v>0</v>
      </c>
      <c r="Z923" s="79"/>
    </row>
    <row r="924" spans="1:26" x14ac:dyDescent="0.25">
      <c r="A924" s="4">
        <v>923</v>
      </c>
      <c r="B924" s="5" t="s">
        <v>925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8">
        <v>0</v>
      </c>
      <c r="S924" s="7">
        <v>0</v>
      </c>
      <c r="T924" s="7">
        <v>0</v>
      </c>
      <c r="U924" s="7">
        <v>0</v>
      </c>
      <c r="V924" s="7">
        <v>0</v>
      </c>
      <c r="X924">
        <f ca="1">IF(V924=0,0,OFFSET(CreditMetrics!$B$474,MATCH(RAND(),OFFSET(CreditMetrics!$C$474,1,MATCH(BDClientes!V924,CreditMetrics!$B$475:$B$491,0),COUNT(CreditMetrics!$B$475:$B$491),1),1),0,1,1))</f>
        <v>0</v>
      </c>
      <c r="Z924" s="79"/>
    </row>
    <row r="925" spans="1:26" x14ac:dyDescent="0.25">
      <c r="A925" s="4">
        <v>924</v>
      </c>
      <c r="B925" s="5" t="s">
        <v>926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8">
        <v>0</v>
      </c>
      <c r="S925" s="7">
        <v>0</v>
      </c>
      <c r="T925" s="7">
        <v>0</v>
      </c>
      <c r="U925" s="7">
        <v>0</v>
      </c>
      <c r="V925" s="7">
        <v>0</v>
      </c>
      <c r="X925">
        <f ca="1">IF(V925=0,0,OFFSET(CreditMetrics!$B$474,MATCH(RAND(),OFFSET(CreditMetrics!$C$474,1,MATCH(BDClientes!V925,CreditMetrics!$B$475:$B$491,0),COUNT(CreditMetrics!$B$475:$B$491),1),1),0,1,1))</f>
        <v>0</v>
      </c>
      <c r="Z925" s="79"/>
    </row>
    <row r="926" spans="1:26" x14ac:dyDescent="0.25">
      <c r="A926" s="4">
        <v>925</v>
      </c>
      <c r="B926" s="5" t="s">
        <v>927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  <c r="R926" s="8">
        <v>0</v>
      </c>
      <c r="S926" s="7">
        <v>0</v>
      </c>
      <c r="T926" s="7">
        <v>0</v>
      </c>
      <c r="U926" s="7">
        <v>0</v>
      </c>
      <c r="V926" s="7">
        <v>0</v>
      </c>
      <c r="X926">
        <f ca="1">IF(V926=0,0,OFFSET(CreditMetrics!$B$474,MATCH(RAND(),OFFSET(CreditMetrics!$C$474,1,MATCH(BDClientes!V926,CreditMetrics!$B$475:$B$491,0),COUNT(CreditMetrics!$B$475:$B$491),1),1),0,1,1))</f>
        <v>0</v>
      </c>
      <c r="Z926" s="79"/>
    </row>
    <row r="927" spans="1:26" x14ac:dyDescent="0.25">
      <c r="A927" s="4">
        <v>926</v>
      </c>
      <c r="B927" s="5" t="s">
        <v>928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8">
        <v>0</v>
      </c>
      <c r="S927" s="7">
        <v>0</v>
      </c>
      <c r="T927" s="7">
        <v>0</v>
      </c>
      <c r="U927" s="7">
        <v>0</v>
      </c>
      <c r="V927" s="7">
        <v>0</v>
      </c>
      <c r="X927">
        <f ca="1">IF(V927=0,0,OFFSET(CreditMetrics!$B$474,MATCH(RAND(),OFFSET(CreditMetrics!$C$474,1,MATCH(BDClientes!V927,CreditMetrics!$B$475:$B$491,0),COUNT(CreditMetrics!$B$475:$B$491),1),1),0,1,1))</f>
        <v>0</v>
      </c>
      <c r="Z927" s="79"/>
    </row>
    <row r="928" spans="1:26" x14ac:dyDescent="0.25">
      <c r="A928" s="4">
        <v>927</v>
      </c>
      <c r="B928" s="5" t="s">
        <v>929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8">
        <v>0</v>
      </c>
      <c r="S928" s="7">
        <v>0</v>
      </c>
      <c r="T928" s="7">
        <v>0</v>
      </c>
      <c r="U928" s="7">
        <v>0</v>
      </c>
      <c r="V928" s="7">
        <v>0</v>
      </c>
      <c r="X928">
        <f ca="1">IF(V928=0,0,OFFSET(CreditMetrics!$B$474,MATCH(RAND(),OFFSET(CreditMetrics!$C$474,1,MATCH(BDClientes!V928,CreditMetrics!$B$475:$B$491,0),COUNT(CreditMetrics!$B$475:$B$491),1),1),0,1,1))</f>
        <v>0</v>
      </c>
      <c r="Z928" s="79"/>
    </row>
    <row r="929" spans="1:26" x14ac:dyDescent="0.25">
      <c r="A929" s="4">
        <v>928</v>
      </c>
      <c r="B929" s="5" t="s">
        <v>930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8">
        <v>0</v>
      </c>
      <c r="S929" s="7">
        <v>0</v>
      </c>
      <c r="T929" s="7">
        <v>0</v>
      </c>
      <c r="U929" s="7">
        <v>0</v>
      </c>
      <c r="V929" s="7">
        <v>0</v>
      </c>
      <c r="X929">
        <f ca="1">IF(V929=0,0,OFFSET(CreditMetrics!$B$474,MATCH(RAND(),OFFSET(CreditMetrics!$C$474,1,MATCH(BDClientes!V929,CreditMetrics!$B$475:$B$491,0),COUNT(CreditMetrics!$B$475:$B$491),1),1),0,1,1))</f>
        <v>0</v>
      </c>
      <c r="Z929" s="79"/>
    </row>
    <row r="930" spans="1:26" x14ac:dyDescent="0.25">
      <c r="A930" s="4">
        <v>929</v>
      </c>
      <c r="B930" s="5" t="s">
        <v>931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8">
        <v>0</v>
      </c>
      <c r="S930" s="7">
        <v>0</v>
      </c>
      <c r="T930" s="7">
        <v>0</v>
      </c>
      <c r="U930" s="7">
        <v>0</v>
      </c>
      <c r="V930" s="7">
        <v>0</v>
      </c>
      <c r="X930">
        <f ca="1">IF(V930=0,0,OFFSET(CreditMetrics!$B$474,MATCH(RAND(),OFFSET(CreditMetrics!$C$474,1,MATCH(BDClientes!V930,CreditMetrics!$B$475:$B$491,0),COUNT(CreditMetrics!$B$475:$B$491),1),1),0,1,1))</f>
        <v>0</v>
      </c>
      <c r="Z930" s="79"/>
    </row>
    <row r="931" spans="1:26" x14ac:dyDescent="0.25">
      <c r="A931" s="4">
        <v>930</v>
      </c>
      <c r="B931" s="5" t="s">
        <v>932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8">
        <v>0</v>
      </c>
      <c r="S931" s="7">
        <v>0</v>
      </c>
      <c r="T931" s="7">
        <v>0</v>
      </c>
      <c r="U931" s="7">
        <v>0</v>
      </c>
      <c r="V931" s="7">
        <v>0</v>
      </c>
      <c r="X931">
        <f ca="1">IF(V931=0,0,OFFSET(CreditMetrics!$B$474,MATCH(RAND(),OFFSET(CreditMetrics!$C$474,1,MATCH(BDClientes!V931,CreditMetrics!$B$475:$B$491,0),COUNT(CreditMetrics!$B$475:$B$491),1),1),0,1,1))</f>
        <v>0</v>
      </c>
      <c r="Z931" s="79"/>
    </row>
    <row r="932" spans="1:26" x14ac:dyDescent="0.25">
      <c r="A932" s="4">
        <v>931</v>
      </c>
      <c r="B932" s="5" t="s">
        <v>933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8">
        <v>0</v>
      </c>
      <c r="S932" s="7">
        <v>0</v>
      </c>
      <c r="T932" s="7">
        <v>0</v>
      </c>
      <c r="U932" s="7">
        <v>0</v>
      </c>
      <c r="V932" s="7">
        <v>0</v>
      </c>
      <c r="X932">
        <f ca="1">IF(V932=0,0,OFFSET(CreditMetrics!$B$474,MATCH(RAND(),OFFSET(CreditMetrics!$C$474,1,MATCH(BDClientes!V932,CreditMetrics!$B$475:$B$491,0),COUNT(CreditMetrics!$B$475:$B$491),1),1),0,1,1))</f>
        <v>0</v>
      </c>
      <c r="Z932" s="79"/>
    </row>
    <row r="933" spans="1:26" x14ac:dyDescent="0.25">
      <c r="A933" s="4">
        <v>932</v>
      </c>
      <c r="B933" s="5" t="s">
        <v>934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  <c r="R933" s="8">
        <v>0</v>
      </c>
      <c r="S933" s="7">
        <v>0</v>
      </c>
      <c r="T933" s="7">
        <v>0</v>
      </c>
      <c r="U933" s="7">
        <v>0</v>
      </c>
      <c r="V933" s="7">
        <v>0</v>
      </c>
      <c r="X933">
        <f ca="1">IF(V933=0,0,OFFSET(CreditMetrics!$B$474,MATCH(RAND(),OFFSET(CreditMetrics!$C$474,1,MATCH(BDClientes!V933,CreditMetrics!$B$475:$B$491,0),COUNT(CreditMetrics!$B$475:$B$491),1),1),0,1,1))</f>
        <v>0</v>
      </c>
      <c r="Z933" s="79"/>
    </row>
    <row r="934" spans="1:26" x14ac:dyDescent="0.25">
      <c r="A934" s="4">
        <v>933</v>
      </c>
      <c r="B934" s="5" t="s">
        <v>935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8">
        <v>0</v>
      </c>
      <c r="S934" s="7">
        <v>0</v>
      </c>
      <c r="T934" s="7">
        <v>0</v>
      </c>
      <c r="U934" s="7">
        <v>0</v>
      </c>
      <c r="V934" s="7">
        <v>0</v>
      </c>
      <c r="X934">
        <f ca="1">IF(V934=0,0,OFFSET(CreditMetrics!$B$474,MATCH(RAND(),OFFSET(CreditMetrics!$C$474,1,MATCH(BDClientes!V934,CreditMetrics!$B$475:$B$491,0),COUNT(CreditMetrics!$B$475:$B$491),1),1),0,1,1))</f>
        <v>0</v>
      </c>
      <c r="Z934" s="79"/>
    </row>
    <row r="935" spans="1:26" x14ac:dyDescent="0.25">
      <c r="A935" s="4">
        <v>934</v>
      </c>
      <c r="B935" s="5" t="s">
        <v>936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8">
        <v>0</v>
      </c>
      <c r="S935" s="7">
        <v>0</v>
      </c>
      <c r="T935" s="7">
        <v>0</v>
      </c>
      <c r="U935" s="7">
        <v>0</v>
      </c>
      <c r="V935" s="7">
        <v>0</v>
      </c>
      <c r="X935">
        <f ca="1">IF(V935=0,0,OFFSET(CreditMetrics!$B$474,MATCH(RAND(),OFFSET(CreditMetrics!$C$474,1,MATCH(BDClientes!V935,CreditMetrics!$B$475:$B$491,0),COUNT(CreditMetrics!$B$475:$B$491),1),1),0,1,1))</f>
        <v>0</v>
      </c>
      <c r="Z935" s="79"/>
    </row>
    <row r="936" spans="1:26" x14ac:dyDescent="0.25">
      <c r="A936" s="4">
        <v>935</v>
      </c>
      <c r="B936" s="5" t="s">
        <v>937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8">
        <v>0</v>
      </c>
      <c r="S936" s="7">
        <v>0</v>
      </c>
      <c r="T936" s="7">
        <v>0</v>
      </c>
      <c r="U936" s="7">
        <v>0</v>
      </c>
      <c r="V936" s="7">
        <v>0</v>
      </c>
      <c r="X936">
        <f ca="1">IF(V936=0,0,OFFSET(CreditMetrics!$B$474,MATCH(RAND(),OFFSET(CreditMetrics!$C$474,1,MATCH(BDClientes!V936,CreditMetrics!$B$475:$B$491,0),COUNT(CreditMetrics!$B$475:$B$491),1),1),0,1,1))</f>
        <v>0</v>
      </c>
      <c r="Z936" s="79"/>
    </row>
    <row r="937" spans="1:26" x14ac:dyDescent="0.25">
      <c r="A937" s="4">
        <v>936</v>
      </c>
      <c r="B937" s="5" t="s">
        <v>938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8">
        <v>0</v>
      </c>
      <c r="S937" s="7">
        <v>0</v>
      </c>
      <c r="T937" s="7">
        <v>0</v>
      </c>
      <c r="U937" s="7">
        <v>0</v>
      </c>
      <c r="V937" s="7">
        <v>0</v>
      </c>
      <c r="X937">
        <f ca="1">IF(V937=0,0,OFFSET(CreditMetrics!$B$474,MATCH(RAND(),OFFSET(CreditMetrics!$C$474,1,MATCH(BDClientes!V937,CreditMetrics!$B$475:$B$491,0),COUNT(CreditMetrics!$B$475:$B$491),1),1),0,1,1))</f>
        <v>0</v>
      </c>
      <c r="Z937" s="79"/>
    </row>
    <row r="938" spans="1:26" x14ac:dyDescent="0.25">
      <c r="A938" s="4">
        <v>937</v>
      </c>
      <c r="B938" s="5" t="s">
        <v>939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  <c r="R938" s="8">
        <v>0</v>
      </c>
      <c r="S938" s="7">
        <v>0</v>
      </c>
      <c r="T938" s="7">
        <v>0</v>
      </c>
      <c r="U938" s="7">
        <v>0</v>
      </c>
      <c r="V938" s="7">
        <v>0</v>
      </c>
      <c r="X938">
        <f ca="1">IF(V938=0,0,OFFSET(CreditMetrics!$B$474,MATCH(RAND(),OFFSET(CreditMetrics!$C$474,1,MATCH(BDClientes!V938,CreditMetrics!$B$475:$B$491,0),COUNT(CreditMetrics!$B$475:$B$491),1),1),0,1,1))</f>
        <v>0</v>
      </c>
      <c r="Z938" s="79"/>
    </row>
    <row r="939" spans="1:26" x14ac:dyDescent="0.25">
      <c r="A939" s="4">
        <v>938</v>
      </c>
      <c r="B939" s="5" t="s">
        <v>940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  <c r="R939" s="8">
        <v>0</v>
      </c>
      <c r="S939" s="7">
        <v>0</v>
      </c>
      <c r="T939" s="7">
        <v>0</v>
      </c>
      <c r="U939" s="7">
        <v>0</v>
      </c>
      <c r="V939" s="7">
        <v>0</v>
      </c>
      <c r="X939">
        <f ca="1">IF(V939=0,0,OFFSET(CreditMetrics!$B$474,MATCH(RAND(),OFFSET(CreditMetrics!$C$474,1,MATCH(BDClientes!V939,CreditMetrics!$B$475:$B$491,0),COUNT(CreditMetrics!$B$475:$B$491),1),1),0,1,1))</f>
        <v>0</v>
      </c>
      <c r="Z939" s="79"/>
    </row>
    <row r="940" spans="1:26" x14ac:dyDescent="0.25">
      <c r="A940" s="4">
        <v>939</v>
      </c>
      <c r="B940" s="5" t="s">
        <v>941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  <c r="R940" s="8">
        <v>0</v>
      </c>
      <c r="S940" s="7">
        <v>0</v>
      </c>
      <c r="T940" s="7">
        <v>0</v>
      </c>
      <c r="U940" s="7">
        <v>0</v>
      </c>
      <c r="V940" s="7">
        <v>0</v>
      </c>
      <c r="X940">
        <f ca="1">IF(V940=0,0,OFFSET(CreditMetrics!$B$474,MATCH(RAND(),OFFSET(CreditMetrics!$C$474,1,MATCH(BDClientes!V940,CreditMetrics!$B$475:$B$491,0),COUNT(CreditMetrics!$B$475:$B$491),1),1),0,1,1))</f>
        <v>0</v>
      </c>
      <c r="Z940" s="79"/>
    </row>
    <row r="941" spans="1:26" x14ac:dyDescent="0.25">
      <c r="A941" s="4">
        <v>940</v>
      </c>
      <c r="B941" s="5" t="s">
        <v>942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8">
        <v>0</v>
      </c>
      <c r="S941" s="7">
        <v>0</v>
      </c>
      <c r="T941" s="7">
        <v>0</v>
      </c>
      <c r="U941" s="7">
        <v>0</v>
      </c>
      <c r="V941" s="7">
        <v>0</v>
      </c>
      <c r="X941">
        <f ca="1">IF(V941=0,0,OFFSET(CreditMetrics!$B$474,MATCH(RAND(),OFFSET(CreditMetrics!$C$474,1,MATCH(BDClientes!V941,CreditMetrics!$B$475:$B$491,0),COUNT(CreditMetrics!$B$475:$B$491),1),1),0,1,1))</f>
        <v>0</v>
      </c>
      <c r="Z941" s="79"/>
    </row>
    <row r="942" spans="1:26" x14ac:dyDescent="0.25">
      <c r="A942" s="4">
        <v>941</v>
      </c>
      <c r="B942" s="5" t="s">
        <v>943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  <c r="R942" s="8">
        <v>0</v>
      </c>
      <c r="S942" s="7">
        <v>0</v>
      </c>
      <c r="T942" s="7">
        <v>0</v>
      </c>
      <c r="U942" s="7">
        <v>0</v>
      </c>
      <c r="V942" s="7">
        <v>0</v>
      </c>
      <c r="X942">
        <f ca="1">IF(V942=0,0,OFFSET(CreditMetrics!$B$474,MATCH(RAND(),OFFSET(CreditMetrics!$C$474,1,MATCH(BDClientes!V942,CreditMetrics!$B$475:$B$491,0),COUNT(CreditMetrics!$B$475:$B$491),1),1),0,1,1))</f>
        <v>0</v>
      </c>
      <c r="Z942" s="79"/>
    </row>
    <row r="943" spans="1:26" x14ac:dyDescent="0.25">
      <c r="A943" s="4">
        <v>942</v>
      </c>
      <c r="B943" s="5" t="s">
        <v>944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  <c r="R943" s="8">
        <v>0</v>
      </c>
      <c r="S943" s="7">
        <v>0</v>
      </c>
      <c r="T943" s="7">
        <v>0</v>
      </c>
      <c r="U943" s="7">
        <v>0</v>
      </c>
      <c r="V943" s="7">
        <v>0</v>
      </c>
      <c r="X943">
        <f ca="1">IF(V943=0,0,OFFSET(CreditMetrics!$B$474,MATCH(RAND(),OFFSET(CreditMetrics!$C$474,1,MATCH(BDClientes!V943,CreditMetrics!$B$475:$B$491,0),COUNT(CreditMetrics!$B$475:$B$491),1),1),0,1,1))</f>
        <v>0</v>
      </c>
      <c r="Z943" s="79"/>
    </row>
    <row r="944" spans="1:26" x14ac:dyDescent="0.25">
      <c r="A944" s="4">
        <v>943</v>
      </c>
      <c r="B944" s="5" t="s">
        <v>945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  <c r="R944" s="8">
        <v>0</v>
      </c>
      <c r="S944" s="7">
        <v>0</v>
      </c>
      <c r="T944" s="7">
        <v>0</v>
      </c>
      <c r="U944" s="7">
        <v>0</v>
      </c>
      <c r="V944" s="7">
        <v>0</v>
      </c>
      <c r="X944">
        <f ca="1">IF(V944=0,0,OFFSET(CreditMetrics!$B$474,MATCH(RAND(),OFFSET(CreditMetrics!$C$474,1,MATCH(BDClientes!V944,CreditMetrics!$B$475:$B$491,0),COUNT(CreditMetrics!$B$475:$B$491),1),1),0,1,1))</f>
        <v>0</v>
      </c>
      <c r="Z944" s="79"/>
    </row>
    <row r="945" spans="1:26" x14ac:dyDescent="0.25">
      <c r="A945" s="4">
        <v>944</v>
      </c>
      <c r="B945" s="5" t="s">
        <v>946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8">
        <v>0</v>
      </c>
      <c r="S945" s="7">
        <v>0</v>
      </c>
      <c r="T945" s="7">
        <v>0</v>
      </c>
      <c r="U945" s="7">
        <v>0</v>
      </c>
      <c r="V945" s="7">
        <v>0</v>
      </c>
      <c r="X945">
        <f ca="1">IF(V945=0,0,OFFSET(CreditMetrics!$B$474,MATCH(RAND(),OFFSET(CreditMetrics!$C$474,1,MATCH(BDClientes!V945,CreditMetrics!$B$475:$B$491,0),COUNT(CreditMetrics!$B$475:$B$491),1),1),0,1,1))</f>
        <v>0</v>
      </c>
      <c r="Z945" s="79"/>
    </row>
    <row r="946" spans="1:26" x14ac:dyDescent="0.25">
      <c r="A946" s="4">
        <v>945</v>
      </c>
      <c r="B946" s="5" t="s">
        <v>947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  <c r="R946" s="8">
        <v>0</v>
      </c>
      <c r="S946" s="7">
        <v>0</v>
      </c>
      <c r="T946" s="7">
        <v>0</v>
      </c>
      <c r="U946" s="7">
        <v>0</v>
      </c>
      <c r="V946" s="7">
        <v>0</v>
      </c>
      <c r="X946">
        <f ca="1">IF(V946=0,0,OFFSET(CreditMetrics!$B$474,MATCH(RAND(),OFFSET(CreditMetrics!$C$474,1,MATCH(BDClientes!V946,CreditMetrics!$B$475:$B$491,0),COUNT(CreditMetrics!$B$475:$B$491),1),1),0,1,1))</f>
        <v>0</v>
      </c>
      <c r="Z946" s="79"/>
    </row>
    <row r="947" spans="1:26" x14ac:dyDescent="0.25">
      <c r="A947" s="4">
        <v>946</v>
      </c>
      <c r="B947" s="5" t="s">
        <v>948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8">
        <v>0</v>
      </c>
      <c r="S947" s="7">
        <v>0</v>
      </c>
      <c r="T947" s="7">
        <v>0</v>
      </c>
      <c r="U947" s="7">
        <v>0</v>
      </c>
      <c r="V947" s="7">
        <v>0</v>
      </c>
      <c r="X947">
        <f ca="1">IF(V947=0,0,OFFSET(CreditMetrics!$B$474,MATCH(RAND(),OFFSET(CreditMetrics!$C$474,1,MATCH(BDClientes!V947,CreditMetrics!$B$475:$B$491,0),COUNT(CreditMetrics!$B$475:$B$491),1),1),0,1,1))</f>
        <v>0</v>
      </c>
      <c r="Z947" s="79"/>
    </row>
    <row r="948" spans="1:26" x14ac:dyDescent="0.25">
      <c r="A948" s="4">
        <v>947</v>
      </c>
      <c r="B948" s="5" t="s">
        <v>949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  <c r="R948" s="8">
        <v>0</v>
      </c>
      <c r="S948" s="7">
        <v>0</v>
      </c>
      <c r="T948" s="7">
        <v>0</v>
      </c>
      <c r="U948" s="7">
        <v>0</v>
      </c>
      <c r="V948" s="7">
        <v>0</v>
      </c>
      <c r="X948">
        <f ca="1">IF(V948=0,0,OFFSET(CreditMetrics!$B$474,MATCH(RAND(),OFFSET(CreditMetrics!$C$474,1,MATCH(BDClientes!V948,CreditMetrics!$B$475:$B$491,0),COUNT(CreditMetrics!$B$475:$B$491),1),1),0,1,1))</f>
        <v>0</v>
      </c>
      <c r="Z948" s="79"/>
    </row>
    <row r="949" spans="1:26" x14ac:dyDescent="0.25">
      <c r="A949" s="4">
        <v>948</v>
      </c>
      <c r="B949" s="5" t="s">
        <v>950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  <c r="R949" s="8">
        <v>0</v>
      </c>
      <c r="S949" s="7">
        <v>0</v>
      </c>
      <c r="T949" s="7">
        <v>0</v>
      </c>
      <c r="U949" s="7">
        <v>0</v>
      </c>
      <c r="V949" s="7">
        <v>0</v>
      </c>
      <c r="X949">
        <f ca="1">IF(V949=0,0,OFFSET(CreditMetrics!$B$474,MATCH(RAND(),OFFSET(CreditMetrics!$C$474,1,MATCH(BDClientes!V949,CreditMetrics!$B$475:$B$491,0),COUNT(CreditMetrics!$B$475:$B$491),1),1),0,1,1))</f>
        <v>0</v>
      </c>
      <c r="Z949" s="79"/>
    </row>
    <row r="950" spans="1:26" x14ac:dyDescent="0.25">
      <c r="A950" s="4">
        <v>949</v>
      </c>
      <c r="B950" s="5" t="s">
        <v>951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  <c r="R950" s="8">
        <v>0</v>
      </c>
      <c r="S950" s="7">
        <v>0</v>
      </c>
      <c r="T950" s="7">
        <v>0</v>
      </c>
      <c r="U950" s="7">
        <v>0</v>
      </c>
      <c r="V950" s="7">
        <v>0</v>
      </c>
      <c r="X950">
        <f ca="1">IF(V950=0,0,OFFSET(CreditMetrics!$B$474,MATCH(RAND(),OFFSET(CreditMetrics!$C$474,1,MATCH(BDClientes!V950,CreditMetrics!$B$475:$B$491,0),COUNT(CreditMetrics!$B$475:$B$491),1),1),0,1,1))</f>
        <v>0</v>
      </c>
      <c r="Z950" s="79"/>
    </row>
    <row r="951" spans="1:26" x14ac:dyDescent="0.25">
      <c r="A951" s="4">
        <v>950</v>
      </c>
      <c r="B951" s="5" t="s">
        <v>952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8">
        <v>0</v>
      </c>
      <c r="S951" s="7">
        <v>0</v>
      </c>
      <c r="T951" s="7">
        <v>0</v>
      </c>
      <c r="U951" s="7">
        <v>0</v>
      </c>
      <c r="V951" s="7">
        <v>0</v>
      </c>
      <c r="X951">
        <f ca="1">IF(V951=0,0,OFFSET(CreditMetrics!$B$474,MATCH(RAND(),OFFSET(CreditMetrics!$C$474,1,MATCH(BDClientes!V951,CreditMetrics!$B$475:$B$491,0),COUNT(CreditMetrics!$B$475:$B$491),1),1),0,1,1))</f>
        <v>0</v>
      </c>
      <c r="Z951" s="79"/>
    </row>
    <row r="952" spans="1:26" x14ac:dyDescent="0.25">
      <c r="A952" s="4">
        <v>951</v>
      </c>
      <c r="B952" s="5" t="s">
        <v>953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  <c r="R952" s="8">
        <v>0</v>
      </c>
      <c r="S952" s="7">
        <v>0</v>
      </c>
      <c r="T952" s="7">
        <v>0</v>
      </c>
      <c r="U952" s="7">
        <v>0</v>
      </c>
      <c r="V952" s="7">
        <v>0</v>
      </c>
      <c r="X952">
        <f ca="1">IF(V952=0,0,OFFSET(CreditMetrics!$B$474,MATCH(RAND(),OFFSET(CreditMetrics!$C$474,1,MATCH(BDClientes!V952,CreditMetrics!$B$475:$B$491,0),COUNT(CreditMetrics!$B$475:$B$491),1),1),0,1,1))</f>
        <v>0</v>
      </c>
      <c r="Z952" s="79"/>
    </row>
    <row r="953" spans="1:26" x14ac:dyDescent="0.25">
      <c r="A953" s="4">
        <v>952</v>
      </c>
      <c r="B953" s="5" t="s">
        <v>954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8">
        <v>0</v>
      </c>
      <c r="S953" s="7">
        <v>0</v>
      </c>
      <c r="T953" s="7">
        <v>0</v>
      </c>
      <c r="U953" s="7">
        <v>0</v>
      </c>
      <c r="V953" s="7">
        <v>0</v>
      </c>
      <c r="X953">
        <f ca="1">IF(V953=0,0,OFFSET(CreditMetrics!$B$474,MATCH(RAND(),OFFSET(CreditMetrics!$C$474,1,MATCH(BDClientes!V953,CreditMetrics!$B$475:$B$491,0),COUNT(CreditMetrics!$B$475:$B$491),1),1),0,1,1))</f>
        <v>0</v>
      </c>
      <c r="Z953" s="79"/>
    </row>
    <row r="954" spans="1:26" x14ac:dyDescent="0.25">
      <c r="A954" s="4">
        <v>953</v>
      </c>
      <c r="B954" s="5" t="s">
        <v>955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  <c r="R954" s="8">
        <v>0</v>
      </c>
      <c r="S954" s="7">
        <v>0</v>
      </c>
      <c r="T954" s="7">
        <v>0</v>
      </c>
      <c r="U954" s="7">
        <v>0</v>
      </c>
      <c r="V954" s="7">
        <v>0</v>
      </c>
      <c r="X954">
        <f ca="1">IF(V954=0,0,OFFSET(CreditMetrics!$B$474,MATCH(RAND(),OFFSET(CreditMetrics!$C$474,1,MATCH(BDClientes!V954,CreditMetrics!$B$475:$B$491,0),COUNT(CreditMetrics!$B$475:$B$491),1),1),0,1,1))</f>
        <v>0</v>
      </c>
      <c r="Z954" s="79"/>
    </row>
    <row r="955" spans="1:26" x14ac:dyDescent="0.25">
      <c r="A955" s="4">
        <v>954</v>
      </c>
      <c r="B955" s="5" t="s">
        <v>956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8">
        <v>0</v>
      </c>
      <c r="S955" s="7">
        <v>0</v>
      </c>
      <c r="T955" s="7">
        <v>0</v>
      </c>
      <c r="U955" s="7">
        <v>0</v>
      </c>
      <c r="V955" s="7">
        <v>0</v>
      </c>
      <c r="X955">
        <f ca="1">IF(V955=0,0,OFFSET(CreditMetrics!$B$474,MATCH(RAND(),OFFSET(CreditMetrics!$C$474,1,MATCH(BDClientes!V955,CreditMetrics!$B$475:$B$491,0),COUNT(CreditMetrics!$B$475:$B$491),1),1),0,1,1))</f>
        <v>0</v>
      </c>
      <c r="Z955" s="79"/>
    </row>
    <row r="956" spans="1:26" x14ac:dyDescent="0.25">
      <c r="A956" s="4">
        <v>955</v>
      </c>
      <c r="B956" s="5" t="s">
        <v>957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  <c r="R956" s="8">
        <v>0</v>
      </c>
      <c r="S956" s="7">
        <v>0</v>
      </c>
      <c r="T956" s="7">
        <v>0</v>
      </c>
      <c r="U956" s="7">
        <v>0</v>
      </c>
      <c r="V956" s="7">
        <v>0</v>
      </c>
      <c r="X956">
        <f ca="1">IF(V956=0,0,OFFSET(CreditMetrics!$B$474,MATCH(RAND(),OFFSET(CreditMetrics!$C$474,1,MATCH(BDClientes!V956,CreditMetrics!$B$475:$B$491,0),COUNT(CreditMetrics!$B$475:$B$491),1),1),0,1,1))</f>
        <v>0</v>
      </c>
      <c r="Z956" s="79"/>
    </row>
    <row r="957" spans="1:26" x14ac:dyDescent="0.25">
      <c r="A957" s="4">
        <v>956</v>
      </c>
      <c r="B957" s="5" t="s">
        <v>958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8">
        <v>0</v>
      </c>
      <c r="S957" s="7">
        <v>0</v>
      </c>
      <c r="T957" s="7">
        <v>0</v>
      </c>
      <c r="U957" s="7">
        <v>0</v>
      </c>
      <c r="V957" s="7">
        <v>0</v>
      </c>
      <c r="X957">
        <f ca="1">IF(V957=0,0,OFFSET(CreditMetrics!$B$474,MATCH(RAND(),OFFSET(CreditMetrics!$C$474,1,MATCH(BDClientes!V957,CreditMetrics!$B$475:$B$491,0),COUNT(CreditMetrics!$B$475:$B$491),1),1),0,1,1))</f>
        <v>0</v>
      </c>
      <c r="Z957" s="79"/>
    </row>
    <row r="958" spans="1:26" x14ac:dyDescent="0.25">
      <c r="A958" s="4">
        <v>957</v>
      </c>
      <c r="B958" s="5" t="s">
        <v>959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8">
        <v>0</v>
      </c>
      <c r="S958" s="7">
        <v>0</v>
      </c>
      <c r="T958" s="7">
        <v>0</v>
      </c>
      <c r="U958" s="7">
        <v>0</v>
      </c>
      <c r="V958" s="7">
        <v>0</v>
      </c>
      <c r="X958">
        <f ca="1">IF(V958=0,0,OFFSET(CreditMetrics!$B$474,MATCH(RAND(),OFFSET(CreditMetrics!$C$474,1,MATCH(BDClientes!V958,CreditMetrics!$B$475:$B$491,0),COUNT(CreditMetrics!$B$475:$B$491),1),1),0,1,1))</f>
        <v>0</v>
      </c>
      <c r="Z958" s="79"/>
    </row>
    <row r="959" spans="1:26" x14ac:dyDescent="0.25">
      <c r="A959" s="4">
        <v>958</v>
      </c>
      <c r="B959" s="5" t="s">
        <v>960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8">
        <v>0</v>
      </c>
      <c r="S959" s="7">
        <v>0</v>
      </c>
      <c r="T959" s="7">
        <v>0</v>
      </c>
      <c r="U959" s="7">
        <v>0</v>
      </c>
      <c r="V959" s="7">
        <v>0</v>
      </c>
      <c r="X959">
        <f ca="1">IF(V959=0,0,OFFSET(CreditMetrics!$B$474,MATCH(RAND(),OFFSET(CreditMetrics!$C$474,1,MATCH(BDClientes!V959,CreditMetrics!$B$475:$B$491,0),COUNT(CreditMetrics!$B$475:$B$491),1),1),0,1,1))</f>
        <v>0</v>
      </c>
      <c r="Z959" s="79"/>
    </row>
    <row r="960" spans="1:26" x14ac:dyDescent="0.25">
      <c r="A960" s="4">
        <v>959</v>
      </c>
      <c r="B960" s="5" t="s">
        <v>961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8">
        <v>0</v>
      </c>
      <c r="S960" s="7">
        <v>0</v>
      </c>
      <c r="T960" s="7">
        <v>0</v>
      </c>
      <c r="U960" s="7">
        <v>0</v>
      </c>
      <c r="V960" s="7">
        <v>0</v>
      </c>
      <c r="X960">
        <f ca="1">IF(V960=0,0,OFFSET(CreditMetrics!$B$474,MATCH(RAND(),OFFSET(CreditMetrics!$C$474,1,MATCH(BDClientes!V960,CreditMetrics!$B$475:$B$491,0),COUNT(CreditMetrics!$B$475:$B$491),1),1),0,1,1))</f>
        <v>0</v>
      </c>
      <c r="Z960" s="79"/>
    </row>
    <row r="961" spans="1:26" x14ac:dyDescent="0.25">
      <c r="A961" s="4">
        <v>960</v>
      </c>
      <c r="B961" s="5" t="s">
        <v>962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8">
        <v>0</v>
      </c>
      <c r="S961" s="7">
        <v>0</v>
      </c>
      <c r="T961" s="7">
        <v>0</v>
      </c>
      <c r="U961" s="7">
        <v>0</v>
      </c>
      <c r="V961" s="7">
        <v>0</v>
      </c>
      <c r="X961">
        <f ca="1">IF(V961=0,0,OFFSET(CreditMetrics!$B$474,MATCH(RAND(),OFFSET(CreditMetrics!$C$474,1,MATCH(BDClientes!V961,CreditMetrics!$B$475:$B$491,0),COUNT(CreditMetrics!$B$475:$B$491),1),1),0,1,1))</f>
        <v>0</v>
      </c>
      <c r="Z961" s="79"/>
    </row>
    <row r="962" spans="1:26" x14ac:dyDescent="0.25">
      <c r="A962" s="4">
        <v>961</v>
      </c>
      <c r="B962" s="5" t="s">
        <v>963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8">
        <v>0</v>
      </c>
      <c r="S962" s="7">
        <v>0</v>
      </c>
      <c r="T962" s="7">
        <v>0</v>
      </c>
      <c r="U962" s="7">
        <v>0</v>
      </c>
      <c r="V962" s="7">
        <v>0</v>
      </c>
      <c r="X962">
        <f ca="1">IF(V962=0,0,OFFSET(CreditMetrics!$B$474,MATCH(RAND(),OFFSET(CreditMetrics!$C$474,1,MATCH(BDClientes!V962,CreditMetrics!$B$475:$B$491,0),COUNT(CreditMetrics!$B$475:$B$491),1),1),0,1,1))</f>
        <v>0</v>
      </c>
      <c r="Z962" s="79"/>
    </row>
    <row r="963" spans="1:26" x14ac:dyDescent="0.25">
      <c r="A963" s="4">
        <v>962</v>
      </c>
      <c r="B963" s="5" t="s">
        <v>964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8">
        <v>0</v>
      </c>
      <c r="S963" s="7">
        <v>0</v>
      </c>
      <c r="T963" s="7">
        <v>0</v>
      </c>
      <c r="U963" s="7">
        <v>0</v>
      </c>
      <c r="V963" s="7">
        <v>0</v>
      </c>
      <c r="X963">
        <f ca="1">IF(V963=0,0,OFFSET(CreditMetrics!$B$474,MATCH(RAND(),OFFSET(CreditMetrics!$C$474,1,MATCH(BDClientes!V963,CreditMetrics!$B$475:$B$491,0),COUNT(CreditMetrics!$B$475:$B$491),1),1),0,1,1))</f>
        <v>0</v>
      </c>
      <c r="Z963" s="79"/>
    </row>
    <row r="964" spans="1:26" x14ac:dyDescent="0.25">
      <c r="A964" s="4">
        <v>963</v>
      </c>
      <c r="B964" s="5" t="s">
        <v>965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  <c r="R964" s="8">
        <v>0</v>
      </c>
      <c r="S964" s="7">
        <v>0</v>
      </c>
      <c r="T964" s="7">
        <v>0</v>
      </c>
      <c r="U964" s="7">
        <v>0</v>
      </c>
      <c r="V964" s="7">
        <v>0</v>
      </c>
      <c r="X964">
        <f ca="1">IF(V964=0,0,OFFSET(CreditMetrics!$B$474,MATCH(RAND(),OFFSET(CreditMetrics!$C$474,1,MATCH(BDClientes!V964,CreditMetrics!$B$475:$B$491,0),COUNT(CreditMetrics!$B$475:$B$491),1),1),0,1,1))</f>
        <v>0</v>
      </c>
      <c r="Z964" s="79"/>
    </row>
    <row r="965" spans="1:26" x14ac:dyDescent="0.25">
      <c r="A965" s="4">
        <v>964</v>
      </c>
      <c r="B965" s="5" t="s">
        <v>966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8">
        <v>0</v>
      </c>
      <c r="S965" s="7">
        <v>0</v>
      </c>
      <c r="T965" s="7">
        <v>0</v>
      </c>
      <c r="U965" s="7">
        <v>0</v>
      </c>
      <c r="V965" s="7">
        <v>0</v>
      </c>
      <c r="X965">
        <f ca="1">IF(V965=0,0,OFFSET(CreditMetrics!$B$474,MATCH(RAND(),OFFSET(CreditMetrics!$C$474,1,MATCH(BDClientes!V965,CreditMetrics!$B$475:$B$491,0),COUNT(CreditMetrics!$B$475:$B$491),1),1),0,1,1))</f>
        <v>0</v>
      </c>
      <c r="Z965" s="79"/>
    </row>
    <row r="966" spans="1:26" x14ac:dyDescent="0.25">
      <c r="A966" s="4">
        <v>965</v>
      </c>
      <c r="B966" s="5" t="s">
        <v>967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8">
        <v>0</v>
      </c>
      <c r="S966" s="7">
        <v>0</v>
      </c>
      <c r="T966" s="7">
        <v>0</v>
      </c>
      <c r="U966" s="7">
        <v>0</v>
      </c>
      <c r="V966" s="7">
        <v>0</v>
      </c>
      <c r="X966">
        <f ca="1">IF(V966=0,0,OFFSET(CreditMetrics!$B$474,MATCH(RAND(),OFFSET(CreditMetrics!$C$474,1,MATCH(BDClientes!V966,CreditMetrics!$B$475:$B$491,0),COUNT(CreditMetrics!$B$475:$B$491),1),1),0,1,1))</f>
        <v>0</v>
      </c>
      <c r="Z966" s="79"/>
    </row>
    <row r="967" spans="1:26" x14ac:dyDescent="0.25">
      <c r="A967" s="4">
        <v>966</v>
      </c>
      <c r="B967" s="5" t="s">
        <v>968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8">
        <v>0</v>
      </c>
      <c r="S967" s="7">
        <v>0</v>
      </c>
      <c r="T967" s="7">
        <v>0</v>
      </c>
      <c r="U967" s="7">
        <v>0</v>
      </c>
      <c r="V967" s="7">
        <v>0</v>
      </c>
      <c r="X967">
        <f ca="1">IF(V967=0,0,OFFSET(CreditMetrics!$B$474,MATCH(RAND(),OFFSET(CreditMetrics!$C$474,1,MATCH(BDClientes!V967,CreditMetrics!$B$475:$B$491,0),COUNT(CreditMetrics!$B$475:$B$491),1),1),0,1,1))</f>
        <v>0</v>
      </c>
      <c r="Z967" s="79"/>
    </row>
    <row r="968" spans="1:26" x14ac:dyDescent="0.25">
      <c r="A968" s="4">
        <v>967</v>
      </c>
      <c r="B968" s="5" t="s">
        <v>969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  <c r="R968" s="8">
        <v>0</v>
      </c>
      <c r="S968" s="7">
        <v>0</v>
      </c>
      <c r="T968" s="7">
        <v>0</v>
      </c>
      <c r="U968" s="7">
        <v>0</v>
      </c>
      <c r="V968" s="7">
        <v>0</v>
      </c>
      <c r="X968">
        <f ca="1">IF(V968=0,0,OFFSET(CreditMetrics!$B$474,MATCH(RAND(),OFFSET(CreditMetrics!$C$474,1,MATCH(BDClientes!V968,CreditMetrics!$B$475:$B$491,0),COUNT(CreditMetrics!$B$475:$B$491),1),1),0,1,1))</f>
        <v>0</v>
      </c>
      <c r="Z968" s="79"/>
    </row>
    <row r="969" spans="1:26" x14ac:dyDescent="0.25">
      <c r="A969" s="4">
        <v>968</v>
      </c>
      <c r="B969" s="5" t="s">
        <v>970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8">
        <v>0</v>
      </c>
      <c r="S969" s="7">
        <v>0</v>
      </c>
      <c r="T969" s="7">
        <v>0</v>
      </c>
      <c r="U969" s="7">
        <v>0</v>
      </c>
      <c r="V969" s="7">
        <v>0</v>
      </c>
      <c r="X969">
        <f ca="1">IF(V969=0,0,OFFSET(CreditMetrics!$B$474,MATCH(RAND(),OFFSET(CreditMetrics!$C$474,1,MATCH(BDClientes!V969,CreditMetrics!$B$475:$B$491,0),COUNT(CreditMetrics!$B$475:$B$491),1),1),0,1,1))</f>
        <v>0</v>
      </c>
      <c r="Z969" s="79"/>
    </row>
    <row r="970" spans="1:26" x14ac:dyDescent="0.25">
      <c r="A970" s="4">
        <v>969</v>
      </c>
      <c r="B970" s="5" t="s">
        <v>971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8">
        <v>0</v>
      </c>
      <c r="S970" s="7">
        <v>0</v>
      </c>
      <c r="T970" s="7">
        <v>0</v>
      </c>
      <c r="U970" s="7">
        <v>0</v>
      </c>
      <c r="V970" s="7">
        <v>0</v>
      </c>
      <c r="X970">
        <f ca="1">IF(V970=0,0,OFFSET(CreditMetrics!$B$474,MATCH(RAND(),OFFSET(CreditMetrics!$C$474,1,MATCH(BDClientes!V970,CreditMetrics!$B$475:$B$491,0),COUNT(CreditMetrics!$B$475:$B$491),1),1),0,1,1))</f>
        <v>0</v>
      </c>
      <c r="Z970" s="79"/>
    </row>
    <row r="971" spans="1:26" x14ac:dyDescent="0.25">
      <c r="A971" s="4">
        <v>970</v>
      </c>
      <c r="B971" s="5" t="s">
        <v>972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8">
        <v>0</v>
      </c>
      <c r="S971" s="7">
        <v>0</v>
      </c>
      <c r="T971" s="7">
        <v>0</v>
      </c>
      <c r="U971" s="7">
        <v>0</v>
      </c>
      <c r="V971" s="7">
        <v>0</v>
      </c>
      <c r="X971">
        <f ca="1">IF(V971=0,0,OFFSET(CreditMetrics!$B$474,MATCH(RAND(),OFFSET(CreditMetrics!$C$474,1,MATCH(BDClientes!V971,CreditMetrics!$B$475:$B$491,0),COUNT(CreditMetrics!$B$475:$B$491),1),1),0,1,1))</f>
        <v>0</v>
      </c>
      <c r="Z971" s="79"/>
    </row>
    <row r="972" spans="1:26" x14ac:dyDescent="0.25">
      <c r="A972" s="4">
        <v>971</v>
      </c>
      <c r="B972" s="5" t="s">
        <v>973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  <c r="R972" s="8">
        <v>0</v>
      </c>
      <c r="S972" s="7">
        <v>0</v>
      </c>
      <c r="T972" s="7">
        <v>0</v>
      </c>
      <c r="U972" s="7">
        <v>0</v>
      </c>
      <c r="V972" s="7">
        <v>0</v>
      </c>
      <c r="X972">
        <f ca="1">IF(V972=0,0,OFFSET(CreditMetrics!$B$474,MATCH(RAND(),OFFSET(CreditMetrics!$C$474,1,MATCH(BDClientes!V972,CreditMetrics!$B$475:$B$491,0),COUNT(CreditMetrics!$B$475:$B$491),1),1),0,1,1))</f>
        <v>0</v>
      </c>
      <c r="Z972" s="79"/>
    </row>
    <row r="973" spans="1:26" x14ac:dyDescent="0.25">
      <c r="A973" s="4">
        <v>972</v>
      </c>
      <c r="B973" s="5" t="s">
        <v>974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  <c r="R973" s="8">
        <v>0</v>
      </c>
      <c r="S973" s="7">
        <v>0</v>
      </c>
      <c r="T973" s="7">
        <v>0</v>
      </c>
      <c r="U973" s="7">
        <v>0</v>
      </c>
      <c r="V973" s="7">
        <v>0</v>
      </c>
      <c r="X973">
        <f ca="1">IF(V973=0,0,OFFSET(CreditMetrics!$B$474,MATCH(RAND(),OFFSET(CreditMetrics!$C$474,1,MATCH(BDClientes!V973,CreditMetrics!$B$475:$B$491,0),COUNT(CreditMetrics!$B$475:$B$491),1),1),0,1,1))</f>
        <v>0</v>
      </c>
      <c r="Z973" s="79"/>
    </row>
    <row r="974" spans="1:26" x14ac:dyDescent="0.25">
      <c r="A974" s="4">
        <v>973</v>
      </c>
      <c r="B974" s="5" t="s">
        <v>975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  <c r="R974" s="8">
        <v>0</v>
      </c>
      <c r="S974" s="7">
        <v>0</v>
      </c>
      <c r="T974" s="7">
        <v>0</v>
      </c>
      <c r="U974" s="7">
        <v>0</v>
      </c>
      <c r="V974" s="7">
        <v>0</v>
      </c>
      <c r="X974">
        <f ca="1">IF(V974=0,0,OFFSET(CreditMetrics!$B$474,MATCH(RAND(),OFFSET(CreditMetrics!$C$474,1,MATCH(BDClientes!V974,CreditMetrics!$B$475:$B$491,0),COUNT(CreditMetrics!$B$475:$B$491),1),1),0,1,1))</f>
        <v>0</v>
      </c>
      <c r="Z974" s="79"/>
    </row>
    <row r="975" spans="1:26" x14ac:dyDescent="0.25">
      <c r="A975" s="4">
        <v>974</v>
      </c>
      <c r="B975" s="5" t="s">
        <v>976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  <c r="R975" s="8">
        <v>0</v>
      </c>
      <c r="S975" s="7">
        <v>0</v>
      </c>
      <c r="T975" s="7">
        <v>0</v>
      </c>
      <c r="U975" s="7">
        <v>0</v>
      </c>
      <c r="V975" s="7">
        <v>0</v>
      </c>
      <c r="X975">
        <f ca="1">IF(V975=0,0,OFFSET(CreditMetrics!$B$474,MATCH(RAND(),OFFSET(CreditMetrics!$C$474,1,MATCH(BDClientes!V975,CreditMetrics!$B$475:$B$491,0),COUNT(CreditMetrics!$B$475:$B$491),1),1),0,1,1))</f>
        <v>0</v>
      </c>
      <c r="Z975" s="79"/>
    </row>
    <row r="976" spans="1:26" x14ac:dyDescent="0.25">
      <c r="A976" s="4">
        <v>975</v>
      </c>
      <c r="B976" s="5" t="s">
        <v>977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  <c r="R976" s="8">
        <v>0</v>
      </c>
      <c r="S976" s="7">
        <v>0</v>
      </c>
      <c r="T976" s="7">
        <v>0</v>
      </c>
      <c r="U976" s="7">
        <v>0</v>
      </c>
      <c r="V976" s="7">
        <v>0</v>
      </c>
      <c r="X976">
        <f ca="1">IF(V976=0,0,OFFSET(CreditMetrics!$B$474,MATCH(RAND(),OFFSET(CreditMetrics!$C$474,1,MATCH(BDClientes!V976,CreditMetrics!$B$475:$B$491,0),COUNT(CreditMetrics!$B$475:$B$491),1),1),0,1,1))</f>
        <v>0</v>
      </c>
      <c r="Z976" s="79"/>
    </row>
    <row r="977" spans="1:26" x14ac:dyDescent="0.25">
      <c r="A977" s="4">
        <v>976</v>
      </c>
      <c r="B977" s="5" t="s">
        <v>978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  <c r="R977" s="8">
        <v>0</v>
      </c>
      <c r="S977" s="7">
        <v>0</v>
      </c>
      <c r="T977" s="7">
        <v>0</v>
      </c>
      <c r="U977" s="7">
        <v>0</v>
      </c>
      <c r="V977" s="7">
        <v>0</v>
      </c>
      <c r="X977">
        <f ca="1">IF(V977=0,0,OFFSET(CreditMetrics!$B$474,MATCH(RAND(),OFFSET(CreditMetrics!$C$474,1,MATCH(BDClientes!V977,CreditMetrics!$B$475:$B$491,0),COUNT(CreditMetrics!$B$475:$B$491),1),1),0,1,1))</f>
        <v>0</v>
      </c>
      <c r="Z977" s="79"/>
    </row>
    <row r="978" spans="1:26" x14ac:dyDescent="0.25">
      <c r="A978" s="4">
        <v>977</v>
      </c>
      <c r="B978" s="5" t="s">
        <v>979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  <c r="R978" s="8">
        <v>0</v>
      </c>
      <c r="S978" s="7">
        <v>0</v>
      </c>
      <c r="T978" s="7">
        <v>0</v>
      </c>
      <c r="U978" s="7">
        <v>0</v>
      </c>
      <c r="V978" s="7">
        <v>0</v>
      </c>
      <c r="X978">
        <f ca="1">IF(V978=0,0,OFFSET(CreditMetrics!$B$474,MATCH(RAND(),OFFSET(CreditMetrics!$C$474,1,MATCH(BDClientes!V978,CreditMetrics!$B$475:$B$491,0),COUNT(CreditMetrics!$B$475:$B$491),1),1),0,1,1))</f>
        <v>0</v>
      </c>
      <c r="Z978" s="79"/>
    </row>
    <row r="979" spans="1:26" x14ac:dyDescent="0.25">
      <c r="A979" s="4">
        <v>978</v>
      </c>
      <c r="B979" s="5" t="s">
        <v>980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  <c r="R979" s="8">
        <v>0</v>
      </c>
      <c r="S979" s="7">
        <v>0</v>
      </c>
      <c r="T979" s="7">
        <v>0</v>
      </c>
      <c r="U979" s="7">
        <v>0</v>
      </c>
      <c r="V979" s="7">
        <v>0</v>
      </c>
      <c r="X979">
        <f ca="1">IF(V979=0,0,OFFSET(CreditMetrics!$B$474,MATCH(RAND(),OFFSET(CreditMetrics!$C$474,1,MATCH(BDClientes!V979,CreditMetrics!$B$475:$B$491,0),COUNT(CreditMetrics!$B$475:$B$491),1),1),0,1,1))</f>
        <v>0</v>
      </c>
      <c r="Z979" s="79"/>
    </row>
    <row r="980" spans="1:26" x14ac:dyDescent="0.25">
      <c r="A980" s="4">
        <v>979</v>
      </c>
      <c r="B980" s="5" t="s">
        <v>981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  <c r="R980" s="8">
        <v>0</v>
      </c>
      <c r="S980" s="7">
        <v>0</v>
      </c>
      <c r="T980" s="7">
        <v>0</v>
      </c>
      <c r="U980" s="7">
        <v>0</v>
      </c>
      <c r="V980" s="7">
        <v>0</v>
      </c>
      <c r="X980">
        <f ca="1">IF(V980=0,0,OFFSET(CreditMetrics!$B$474,MATCH(RAND(),OFFSET(CreditMetrics!$C$474,1,MATCH(BDClientes!V980,CreditMetrics!$B$475:$B$491,0),COUNT(CreditMetrics!$B$475:$B$491),1),1),0,1,1))</f>
        <v>0</v>
      </c>
      <c r="Z980" s="79"/>
    </row>
    <row r="981" spans="1:26" x14ac:dyDescent="0.25">
      <c r="A981" s="4">
        <v>980</v>
      </c>
      <c r="B981" s="5" t="s">
        <v>982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  <c r="R981" s="8">
        <v>0</v>
      </c>
      <c r="S981" s="7">
        <v>0</v>
      </c>
      <c r="T981" s="7">
        <v>0</v>
      </c>
      <c r="U981" s="7">
        <v>0</v>
      </c>
      <c r="V981" s="7">
        <v>0</v>
      </c>
      <c r="X981">
        <f ca="1">IF(V981=0,0,OFFSET(CreditMetrics!$B$474,MATCH(RAND(),OFFSET(CreditMetrics!$C$474,1,MATCH(BDClientes!V981,CreditMetrics!$B$475:$B$491,0),COUNT(CreditMetrics!$B$475:$B$491),1),1),0,1,1))</f>
        <v>0</v>
      </c>
      <c r="Z981" s="79"/>
    </row>
    <row r="982" spans="1:26" x14ac:dyDescent="0.25">
      <c r="A982" s="4">
        <v>981</v>
      </c>
      <c r="B982" s="5" t="s">
        <v>983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  <c r="R982" s="8">
        <v>0</v>
      </c>
      <c r="S982" s="7">
        <v>0</v>
      </c>
      <c r="T982" s="7">
        <v>0</v>
      </c>
      <c r="U982" s="7">
        <v>0</v>
      </c>
      <c r="V982" s="7">
        <v>0</v>
      </c>
      <c r="X982">
        <f ca="1">IF(V982=0,0,OFFSET(CreditMetrics!$B$474,MATCH(RAND(),OFFSET(CreditMetrics!$C$474,1,MATCH(BDClientes!V982,CreditMetrics!$B$475:$B$491,0),COUNT(CreditMetrics!$B$475:$B$491),1),1),0,1,1))</f>
        <v>0</v>
      </c>
      <c r="Z982" s="79"/>
    </row>
    <row r="983" spans="1:26" x14ac:dyDescent="0.25">
      <c r="A983" s="4">
        <v>982</v>
      </c>
      <c r="B983" s="5" t="s">
        <v>984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8">
        <v>0</v>
      </c>
      <c r="S983" s="7">
        <v>0</v>
      </c>
      <c r="T983" s="7">
        <v>0</v>
      </c>
      <c r="U983" s="7">
        <v>0</v>
      </c>
      <c r="V983" s="7">
        <v>0</v>
      </c>
      <c r="X983">
        <f ca="1">IF(V983=0,0,OFFSET(CreditMetrics!$B$474,MATCH(RAND(),OFFSET(CreditMetrics!$C$474,1,MATCH(BDClientes!V983,CreditMetrics!$B$475:$B$491,0),COUNT(CreditMetrics!$B$475:$B$491),1),1),0,1,1))</f>
        <v>0</v>
      </c>
      <c r="Z983" s="79"/>
    </row>
    <row r="984" spans="1:26" x14ac:dyDescent="0.25">
      <c r="A984" s="4">
        <v>983</v>
      </c>
      <c r="B984" s="5" t="s">
        <v>985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 s="7">
        <v>0</v>
      </c>
      <c r="U984" s="7">
        <v>0</v>
      </c>
      <c r="V984" s="8">
        <v>0</v>
      </c>
      <c r="X984">
        <f ca="1">IF(V984=0,0,OFFSET(CreditMetrics!$B$474,MATCH(RAND(),OFFSET(CreditMetrics!$C$474,1,MATCH(BDClientes!V984,CreditMetrics!$B$475:$B$491,0),COUNT(CreditMetrics!$B$475:$B$491),1),1),0,1,1))</f>
        <v>0</v>
      </c>
      <c r="Z984" s="79"/>
    </row>
    <row r="985" spans="1:26" x14ac:dyDescent="0.25">
      <c r="A985" s="4">
        <v>984</v>
      </c>
      <c r="B985" s="5" t="s">
        <v>986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  <c r="R985" s="7">
        <v>0</v>
      </c>
      <c r="S985" s="7">
        <v>0</v>
      </c>
      <c r="T985" s="7">
        <v>0</v>
      </c>
      <c r="U985" s="7">
        <v>0</v>
      </c>
      <c r="V985" s="8">
        <v>0</v>
      </c>
      <c r="X985">
        <f ca="1">IF(V985=0,0,OFFSET(CreditMetrics!$B$474,MATCH(RAND(),OFFSET(CreditMetrics!$C$474,1,MATCH(BDClientes!V985,CreditMetrics!$B$475:$B$491,0),COUNT(CreditMetrics!$B$475:$B$491),1),1),0,1,1))</f>
        <v>0</v>
      </c>
      <c r="Z985" s="79"/>
    </row>
    <row r="986" spans="1:26" x14ac:dyDescent="0.25">
      <c r="A986" s="4">
        <v>985</v>
      </c>
      <c r="B986" s="5" t="s">
        <v>987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  <c r="R986" s="7">
        <v>0</v>
      </c>
      <c r="S986" s="7">
        <v>0</v>
      </c>
      <c r="T986" s="7">
        <v>0</v>
      </c>
      <c r="U986" s="7">
        <v>0</v>
      </c>
      <c r="V986" s="8">
        <v>0</v>
      </c>
      <c r="X986">
        <f ca="1">IF(V986=0,0,OFFSET(CreditMetrics!$B$474,MATCH(RAND(),OFFSET(CreditMetrics!$C$474,1,MATCH(BDClientes!V986,CreditMetrics!$B$475:$B$491,0),COUNT(CreditMetrics!$B$475:$B$491),1),1),0,1,1))</f>
        <v>0</v>
      </c>
      <c r="Z986" s="79"/>
    </row>
    <row r="987" spans="1:26" x14ac:dyDescent="0.25">
      <c r="A987" s="4">
        <v>986</v>
      </c>
      <c r="B987" s="5" t="s">
        <v>988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  <c r="R987" s="7">
        <v>0</v>
      </c>
      <c r="S987" s="7">
        <v>0</v>
      </c>
      <c r="T987" s="7">
        <v>0</v>
      </c>
      <c r="U987" s="7">
        <v>0</v>
      </c>
      <c r="V987" s="8">
        <v>0</v>
      </c>
      <c r="X987">
        <f ca="1">IF(V987=0,0,OFFSET(CreditMetrics!$B$474,MATCH(RAND(),OFFSET(CreditMetrics!$C$474,1,MATCH(BDClientes!V987,CreditMetrics!$B$475:$B$491,0),COUNT(CreditMetrics!$B$475:$B$491),1),1),0,1,1))</f>
        <v>0</v>
      </c>
      <c r="Z987" s="79"/>
    </row>
    <row r="988" spans="1:26" x14ac:dyDescent="0.25">
      <c r="A988" s="4">
        <v>987</v>
      </c>
      <c r="B988" s="5" t="s">
        <v>989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0</v>
      </c>
      <c r="S988" s="7">
        <v>0</v>
      </c>
      <c r="T988" s="7">
        <v>0</v>
      </c>
      <c r="U988" s="7">
        <v>0</v>
      </c>
      <c r="V988" s="8">
        <v>0</v>
      </c>
      <c r="X988">
        <f ca="1">IF(V988=0,0,OFFSET(CreditMetrics!$B$474,MATCH(RAND(),OFFSET(CreditMetrics!$C$474,1,MATCH(BDClientes!V988,CreditMetrics!$B$475:$B$491,0),COUNT(CreditMetrics!$B$475:$B$491),1),1),0,1,1))</f>
        <v>0</v>
      </c>
      <c r="Z988" s="79"/>
    </row>
    <row r="989" spans="1:26" x14ac:dyDescent="0.25">
      <c r="A989" s="4">
        <v>988</v>
      </c>
      <c r="B989" s="5" t="s">
        <v>990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 s="7">
        <v>0</v>
      </c>
      <c r="U989" s="7">
        <v>0</v>
      </c>
      <c r="V989" s="8">
        <v>0</v>
      </c>
      <c r="X989">
        <f ca="1">IF(V989=0,0,OFFSET(CreditMetrics!$B$474,MATCH(RAND(),OFFSET(CreditMetrics!$C$474,1,MATCH(BDClientes!V989,CreditMetrics!$B$475:$B$491,0),COUNT(CreditMetrics!$B$475:$B$491),1),1),0,1,1))</f>
        <v>0</v>
      </c>
      <c r="Z989" s="79"/>
    </row>
    <row r="990" spans="1:26" x14ac:dyDescent="0.25">
      <c r="A990" s="4">
        <v>989</v>
      </c>
      <c r="B990" s="5" t="s">
        <v>991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 s="7">
        <v>0</v>
      </c>
      <c r="U990" s="7">
        <v>0</v>
      </c>
      <c r="V990" s="8">
        <v>0</v>
      </c>
      <c r="X990">
        <f ca="1">IF(V990=0,0,OFFSET(CreditMetrics!$B$474,MATCH(RAND(),OFFSET(CreditMetrics!$C$474,1,MATCH(BDClientes!V990,CreditMetrics!$B$475:$B$491,0),COUNT(CreditMetrics!$B$475:$B$491),1),1),0,1,1))</f>
        <v>0</v>
      </c>
      <c r="Z990" s="79"/>
    </row>
    <row r="991" spans="1:26" x14ac:dyDescent="0.25">
      <c r="A991" s="4">
        <v>990</v>
      </c>
      <c r="B991" s="5" t="s">
        <v>992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0</v>
      </c>
      <c r="S991" s="7">
        <v>0</v>
      </c>
      <c r="T991" s="7">
        <v>0</v>
      </c>
      <c r="U991" s="7">
        <v>0</v>
      </c>
      <c r="V991" s="8">
        <v>0</v>
      </c>
      <c r="X991">
        <f ca="1">IF(V991=0,0,OFFSET(CreditMetrics!$B$474,MATCH(RAND(),OFFSET(CreditMetrics!$C$474,1,MATCH(BDClientes!V991,CreditMetrics!$B$475:$B$491,0),COUNT(CreditMetrics!$B$475:$B$491),1),1),0,1,1))</f>
        <v>0</v>
      </c>
      <c r="Z991" s="79"/>
    </row>
    <row r="992" spans="1:26" x14ac:dyDescent="0.25">
      <c r="A992" s="4">
        <v>991</v>
      </c>
      <c r="B992" s="5" t="s">
        <v>993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  <c r="R992" s="7">
        <v>0</v>
      </c>
      <c r="S992" s="7">
        <v>0</v>
      </c>
      <c r="T992" s="7">
        <v>0</v>
      </c>
      <c r="U992" s="7">
        <v>0</v>
      </c>
      <c r="V992" s="8">
        <v>0</v>
      </c>
      <c r="X992">
        <f ca="1">IF(V992=0,0,OFFSET(CreditMetrics!$B$474,MATCH(RAND(),OFFSET(CreditMetrics!$C$474,1,MATCH(BDClientes!V992,CreditMetrics!$B$475:$B$491,0),COUNT(CreditMetrics!$B$475:$B$491),1),1),0,1,1))</f>
        <v>0</v>
      </c>
      <c r="Z992" s="79"/>
    </row>
    <row r="993" spans="1:26" x14ac:dyDescent="0.25">
      <c r="A993" s="4">
        <v>992</v>
      </c>
      <c r="B993" s="5" t="s">
        <v>994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 s="7">
        <v>0</v>
      </c>
      <c r="U993" s="7">
        <v>0</v>
      </c>
      <c r="V993" s="8">
        <v>0</v>
      </c>
      <c r="X993">
        <f ca="1">IF(V993=0,0,OFFSET(CreditMetrics!$B$474,MATCH(RAND(),OFFSET(CreditMetrics!$C$474,1,MATCH(BDClientes!V993,CreditMetrics!$B$475:$B$491,0),COUNT(CreditMetrics!$B$475:$B$491),1),1),0,1,1))</f>
        <v>0</v>
      </c>
      <c r="Z993" s="79"/>
    </row>
    <row r="994" spans="1:26" x14ac:dyDescent="0.25">
      <c r="A994" s="4">
        <v>993</v>
      </c>
      <c r="B994" s="5" t="s">
        <v>995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  <c r="R994" s="7">
        <v>0</v>
      </c>
      <c r="S994" s="7">
        <v>0</v>
      </c>
      <c r="T994" s="7">
        <v>0</v>
      </c>
      <c r="U994" s="7">
        <v>0</v>
      </c>
      <c r="V994" s="7">
        <v>0</v>
      </c>
      <c r="X994">
        <f ca="1">IF(V994=0,0,OFFSET(CreditMetrics!$B$474,MATCH(RAND(),OFFSET(CreditMetrics!$C$474,1,MATCH(BDClientes!V994,CreditMetrics!$B$475:$B$491,0),COUNT(CreditMetrics!$B$475:$B$491),1),1),0,1,1))</f>
        <v>0</v>
      </c>
      <c r="Z994" s="79"/>
    </row>
    <row r="995" spans="1:26" x14ac:dyDescent="0.25">
      <c r="A995" s="4">
        <v>994</v>
      </c>
      <c r="B995" s="5" t="s">
        <v>996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 s="7">
        <v>0</v>
      </c>
      <c r="U995" s="7">
        <v>0</v>
      </c>
      <c r="V995" s="7">
        <v>0</v>
      </c>
      <c r="X995">
        <f ca="1">IF(V995=0,0,OFFSET(CreditMetrics!$B$474,MATCH(RAND(),OFFSET(CreditMetrics!$C$474,1,MATCH(BDClientes!V995,CreditMetrics!$B$475:$B$491,0),COUNT(CreditMetrics!$B$475:$B$491),1),1),0,1,1))</f>
        <v>0</v>
      </c>
      <c r="Z995" s="79"/>
    </row>
    <row r="996" spans="1:26" x14ac:dyDescent="0.25">
      <c r="A996" s="4">
        <v>995</v>
      </c>
      <c r="B996" s="5" t="s">
        <v>997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X996">
        <f ca="1">IF(V996=0,0,OFFSET(CreditMetrics!$B$474,MATCH(RAND(),OFFSET(CreditMetrics!$C$474,1,MATCH(BDClientes!V996,CreditMetrics!$B$475:$B$491,0),COUNT(CreditMetrics!$B$475:$B$491),1),1),0,1,1))</f>
        <v>0</v>
      </c>
      <c r="Z996" s="79"/>
    </row>
    <row r="997" spans="1:26" x14ac:dyDescent="0.25">
      <c r="A997" s="4">
        <v>996</v>
      </c>
      <c r="B997" s="5" t="s">
        <v>998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 s="7">
        <v>0</v>
      </c>
      <c r="U997" s="7">
        <v>0</v>
      </c>
      <c r="V997" s="7">
        <v>0</v>
      </c>
      <c r="X997">
        <f ca="1">IF(V997=0,0,OFFSET(CreditMetrics!$B$474,MATCH(RAND(),OFFSET(CreditMetrics!$C$474,1,MATCH(BDClientes!V997,CreditMetrics!$B$475:$B$491,0),COUNT(CreditMetrics!$B$475:$B$491),1),1),0,1,1))</f>
        <v>0</v>
      </c>
      <c r="Z997" s="79"/>
    </row>
    <row r="998" spans="1:26" x14ac:dyDescent="0.25">
      <c r="A998" s="4">
        <v>997</v>
      </c>
      <c r="B998" s="5" t="s">
        <v>999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0</v>
      </c>
      <c r="X998">
        <f ca="1">IF(V998=0,0,OFFSET(CreditMetrics!$B$474,MATCH(RAND(),OFFSET(CreditMetrics!$C$474,1,MATCH(BDClientes!V998,CreditMetrics!$B$475:$B$491,0),COUNT(CreditMetrics!$B$475:$B$491),1),1),0,1,1))</f>
        <v>0</v>
      </c>
      <c r="Z998" s="79"/>
    </row>
    <row r="999" spans="1:26" x14ac:dyDescent="0.25">
      <c r="A999" s="4">
        <v>998</v>
      </c>
      <c r="B999" s="5" t="s">
        <v>1000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X999">
        <f ca="1">IF(V999=0,0,OFFSET(CreditMetrics!$B$474,MATCH(RAND(),OFFSET(CreditMetrics!$C$474,1,MATCH(BDClientes!V999,CreditMetrics!$B$475:$B$491,0),COUNT(CreditMetrics!$B$475:$B$491),1),1),0,1,1))</f>
        <v>0</v>
      </c>
      <c r="Z999" s="79"/>
    </row>
    <row r="1000" spans="1:26" x14ac:dyDescent="0.25">
      <c r="A1000" s="4">
        <v>999</v>
      </c>
      <c r="B1000" s="5" t="s">
        <v>1001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  <c r="R1000" s="7">
        <v>0</v>
      </c>
      <c r="S1000" s="7">
        <v>0</v>
      </c>
      <c r="T1000" s="7">
        <v>0</v>
      </c>
      <c r="U1000" s="7">
        <v>0</v>
      </c>
      <c r="V1000" s="7">
        <v>0</v>
      </c>
      <c r="X1000">
        <f ca="1">IF(V1000=0,0,OFFSET(CreditMetrics!$B$474,MATCH(RAND(),OFFSET(CreditMetrics!$C$474,1,MATCH(BDClientes!V1000,CreditMetrics!$B$475:$B$491,0),COUNT(CreditMetrics!$B$475:$B$491),1),1),0,1,1))</f>
        <v>0</v>
      </c>
      <c r="Z1000" s="79"/>
    </row>
    <row r="1001" spans="1:26" x14ac:dyDescent="0.25">
      <c r="A1001" s="4">
        <v>1000</v>
      </c>
      <c r="B1001" s="5" t="s">
        <v>1002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0</v>
      </c>
      <c r="X1001">
        <f ca="1">IF(V1001=0,0,OFFSET(CreditMetrics!$B$474,MATCH(RAND(),OFFSET(CreditMetrics!$C$474,1,MATCH(BDClientes!V1001,CreditMetrics!$B$475:$B$491,0),COUNT(CreditMetrics!$B$475:$B$491),1),1),0,1,1))</f>
        <v>0</v>
      </c>
      <c r="Z1001" s="79"/>
    </row>
    <row r="1002" spans="1:26" x14ac:dyDescent="0.25">
      <c r="A1002" s="4">
        <v>1001</v>
      </c>
      <c r="B1002" s="5" t="s">
        <v>1003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X1002">
        <f ca="1">IF(V1002=0,0,OFFSET(CreditMetrics!$B$474,MATCH(RAND(),OFFSET(CreditMetrics!$C$474,1,MATCH(BDClientes!V1002,CreditMetrics!$B$475:$B$491,0),COUNT(CreditMetrics!$B$475:$B$491),1),1),0,1,1))</f>
        <v>0</v>
      </c>
      <c r="Z1002" s="79"/>
    </row>
    <row r="1003" spans="1:26" x14ac:dyDescent="0.25">
      <c r="A1003" s="4">
        <v>1002</v>
      </c>
      <c r="B1003" s="5" t="s">
        <v>1004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X1003">
        <f ca="1">IF(V1003=0,0,OFFSET(CreditMetrics!$B$474,MATCH(RAND(),OFFSET(CreditMetrics!$C$474,1,MATCH(BDClientes!V1003,CreditMetrics!$B$475:$B$491,0),COUNT(CreditMetrics!$B$475:$B$491),1),1),0,1,1))</f>
        <v>0</v>
      </c>
      <c r="Z1003" s="79"/>
    </row>
    <row r="1004" spans="1:26" x14ac:dyDescent="0.25">
      <c r="A1004" s="4">
        <v>1003</v>
      </c>
      <c r="B1004" s="5" t="s">
        <v>1005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X1004">
        <f ca="1">IF(V1004=0,0,OFFSET(CreditMetrics!$B$474,MATCH(RAND(),OFFSET(CreditMetrics!$C$474,1,MATCH(BDClientes!V1004,CreditMetrics!$B$475:$B$491,0),COUNT(CreditMetrics!$B$475:$B$491),1),1),0,1,1))</f>
        <v>0</v>
      </c>
      <c r="Z1004" s="79"/>
    </row>
    <row r="1005" spans="1:26" x14ac:dyDescent="0.25">
      <c r="A1005" s="4">
        <v>1004</v>
      </c>
      <c r="B1005" s="5" t="s">
        <v>1006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 s="7">
        <v>0</v>
      </c>
      <c r="U1005" s="7">
        <v>0</v>
      </c>
      <c r="V1005" s="7">
        <v>0</v>
      </c>
      <c r="X1005">
        <f ca="1">IF(V1005=0,0,OFFSET(CreditMetrics!$B$474,MATCH(RAND(),OFFSET(CreditMetrics!$C$474,1,MATCH(BDClientes!V1005,CreditMetrics!$B$475:$B$491,0),COUNT(CreditMetrics!$B$475:$B$491),1),1),0,1,1))</f>
        <v>0</v>
      </c>
      <c r="Z1005" s="79"/>
    </row>
    <row r="1006" spans="1:26" x14ac:dyDescent="0.25">
      <c r="A1006" s="4">
        <v>1005</v>
      </c>
      <c r="B1006" s="5" t="s">
        <v>1007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0</v>
      </c>
      <c r="X1006">
        <f ca="1">IF(V1006=0,0,OFFSET(CreditMetrics!$B$474,MATCH(RAND(),OFFSET(CreditMetrics!$C$474,1,MATCH(BDClientes!V1006,CreditMetrics!$B$475:$B$491,0),COUNT(CreditMetrics!$B$475:$B$491),1),1),0,1,1))</f>
        <v>0</v>
      </c>
      <c r="Z1006" s="79"/>
    </row>
    <row r="1007" spans="1:26" x14ac:dyDescent="0.25">
      <c r="A1007" s="4">
        <v>1006</v>
      </c>
      <c r="B1007" s="5" t="s">
        <v>1008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  <c r="R1007" s="7">
        <v>0</v>
      </c>
      <c r="S1007" s="7">
        <v>0</v>
      </c>
      <c r="T1007" s="7">
        <v>0</v>
      </c>
      <c r="U1007" s="7">
        <v>0</v>
      </c>
      <c r="V1007" s="7">
        <v>0</v>
      </c>
      <c r="X1007">
        <f ca="1">IF(V1007=0,0,OFFSET(CreditMetrics!$B$474,MATCH(RAND(),OFFSET(CreditMetrics!$C$474,1,MATCH(BDClientes!V1007,CreditMetrics!$B$475:$B$491,0),COUNT(CreditMetrics!$B$475:$B$491),1),1),0,1,1))</f>
        <v>0</v>
      </c>
      <c r="Z1007" s="79"/>
    </row>
    <row r="1008" spans="1:26" x14ac:dyDescent="0.25">
      <c r="A1008" s="4">
        <v>1007</v>
      </c>
      <c r="B1008" s="5" t="s">
        <v>1009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 s="7">
        <v>0</v>
      </c>
      <c r="U1008" s="7">
        <v>0</v>
      </c>
      <c r="V1008" s="7">
        <v>0</v>
      </c>
      <c r="X1008">
        <f ca="1">IF(V1008=0,0,OFFSET(CreditMetrics!$B$474,MATCH(RAND(),OFFSET(CreditMetrics!$C$474,1,MATCH(BDClientes!V1008,CreditMetrics!$B$475:$B$491,0),COUNT(CreditMetrics!$B$475:$B$491),1),1),0,1,1))</f>
        <v>0</v>
      </c>
      <c r="Z1008" s="79"/>
    </row>
    <row r="1009" spans="1:26" x14ac:dyDescent="0.25">
      <c r="A1009" s="4">
        <v>1008</v>
      </c>
      <c r="B1009" s="5" t="s">
        <v>1010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 s="7">
        <v>0</v>
      </c>
      <c r="U1009" s="7">
        <v>0</v>
      </c>
      <c r="V1009" s="7">
        <v>0</v>
      </c>
      <c r="X1009">
        <f ca="1">IF(V1009=0,0,OFFSET(CreditMetrics!$B$474,MATCH(RAND(),OFFSET(CreditMetrics!$C$474,1,MATCH(BDClientes!V1009,CreditMetrics!$B$475:$B$491,0),COUNT(CreditMetrics!$B$475:$B$491),1),1),0,1,1))</f>
        <v>0</v>
      </c>
      <c r="Z1009" s="79"/>
    </row>
    <row r="1010" spans="1:26" x14ac:dyDescent="0.25">
      <c r="A1010" s="4">
        <v>1009</v>
      </c>
      <c r="B1010" s="5" t="s">
        <v>1011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X1010">
        <f ca="1">IF(V1010=0,0,OFFSET(CreditMetrics!$B$474,MATCH(RAND(),OFFSET(CreditMetrics!$C$474,1,MATCH(BDClientes!V1010,CreditMetrics!$B$475:$B$491,0),COUNT(CreditMetrics!$B$475:$B$491),1),1),0,1,1))</f>
        <v>0</v>
      </c>
      <c r="Z1010" s="79"/>
    </row>
    <row r="1011" spans="1:26" x14ac:dyDescent="0.25">
      <c r="A1011" s="4">
        <v>1010</v>
      </c>
      <c r="B1011" s="5" t="s">
        <v>1012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X1011">
        <f ca="1">IF(V1011=0,0,OFFSET(CreditMetrics!$B$474,MATCH(RAND(),OFFSET(CreditMetrics!$C$474,1,MATCH(BDClientes!V1011,CreditMetrics!$B$475:$B$491,0),COUNT(CreditMetrics!$B$475:$B$491),1),1),0,1,1))</f>
        <v>0</v>
      </c>
      <c r="Z1011" s="79"/>
    </row>
    <row r="1012" spans="1:26" x14ac:dyDescent="0.25">
      <c r="A1012" s="4">
        <v>1011</v>
      </c>
      <c r="B1012" s="5" t="s">
        <v>1013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0</v>
      </c>
      <c r="X1012">
        <f ca="1">IF(V1012=0,0,OFFSET(CreditMetrics!$B$474,MATCH(RAND(),OFFSET(CreditMetrics!$C$474,1,MATCH(BDClientes!V1012,CreditMetrics!$B$475:$B$491,0),COUNT(CreditMetrics!$B$475:$B$491),1),1),0,1,1))</f>
        <v>0</v>
      </c>
      <c r="Z1012" s="79"/>
    </row>
    <row r="1013" spans="1:26" x14ac:dyDescent="0.25">
      <c r="A1013" s="4">
        <v>1012</v>
      </c>
      <c r="B1013" s="5" t="s">
        <v>1014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  <c r="R1013" s="7">
        <v>0</v>
      </c>
      <c r="S1013" s="7">
        <v>0</v>
      </c>
      <c r="T1013" s="7">
        <v>0</v>
      </c>
      <c r="U1013" s="7">
        <v>0</v>
      </c>
      <c r="V1013" s="7">
        <v>0</v>
      </c>
      <c r="X1013">
        <f ca="1">IF(V1013=0,0,OFFSET(CreditMetrics!$B$474,MATCH(RAND(),OFFSET(CreditMetrics!$C$474,1,MATCH(BDClientes!V1013,CreditMetrics!$B$475:$B$491,0),COUNT(CreditMetrics!$B$475:$B$491),1),1),0,1,1))</f>
        <v>0</v>
      </c>
      <c r="Z1013" s="79"/>
    </row>
    <row r="1014" spans="1:26" x14ac:dyDescent="0.25">
      <c r="A1014" s="4">
        <v>1013</v>
      </c>
      <c r="B1014" s="5" t="s">
        <v>1015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X1014">
        <f ca="1">IF(V1014=0,0,OFFSET(CreditMetrics!$B$474,MATCH(RAND(),OFFSET(CreditMetrics!$C$474,1,MATCH(BDClientes!V1014,CreditMetrics!$B$475:$B$491,0),COUNT(CreditMetrics!$B$475:$B$491),1),1),0,1,1))</f>
        <v>0</v>
      </c>
      <c r="Z1014" s="79"/>
    </row>
    <row r="1015" spans="1:26" x14ac:dyDescent="0.25">
      <c r="A1015" s="4">
        <v>1014</v>
      </c>
      <c r="B1015" s="5" t="s">
        <v>1016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 s="7">
        <v>0</v>
      </c>
      <c r="U1015" s="7">
        <v>0</v>
      </c>
      <c r="V1015" s="7">
        <v>0</v>
      </c>
      <c r="X1015">
        <f ca="1">IF(V1015=0,0,OFFSET(CreditMetrics!$B$474,MATCH(RAND(),OFFSET(CreditMetrics!$C$474,1,MATCH(BDClientes!V1015,CreditMetrics!$B$475:$B$491,0),COUNT(CreditMetrics!$B$475:$B$491),1),1),0,1,1))</f>
        <v>0</v>
      </c>
      <c r="Z1015" s="79"/>
    </row>
    <row r="1016" spans="1:26" x14ac:dyDescent="0.25">
      <c r="A1016" s="4">
        <v>1015</v>
      </c>
      <c r="B1016" s="5" t="s">
        <v>1017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  <c r="R1016" s="7">
        <v>0</v>
      </c>
      <c r="S1016" s="7">
        <v>0</v>
      </c>
      <c r="T1016" s="7">
        <v>0</v>
      </c>
      <c r="U1016" s="7">
        <v>0</v>
      </c>
      <c r="V1016" s="7">
        <v>0</v>
      </c>
      <c r="X1016">
        <f ca="1">IF(V1016=0,0,OFFSET(CreditMetrics!$B$474,MATCH(RAND(),OFFSET(CreditMetrics!$C$474,1,MATCH(BDClientes!V1016,CreditMetrics!$B$475:$B$491,0),COUNT(CreditMetrics!$B$475:$B$491),1),1),0,1,1))</f>
        <v>0</v>
      </c>
      <c r="Z1016" s="79"/>
    </row>
    <row r="1017" spans="1:26" x14ac:dyDescent="0.25">
      <c r="A1017" s="4">
        <v>1016</v>
      </c>
      <c r="B1017" s="5" t="s">
        <v>1018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0</v>
      </c>
      <c r="X1017">
        <f ca="1">IF(V1017=0,0,OFFSET(CreditMetrics!$B$474,MATCH(RAND(),OFFSET(CreditMetrics!$C$474,1,MATCH(BDClientes!V1017,CreditMetrics!$B$475:$B$491,0),COUNT(CreditMetrics!$B$475:$B$491),1),1),0,1,1))</f>
        <v>0</v>
      </c>
      <c r="Z1017" s="79"/>
    </row>
    <row r="1018" spans="1:26" x14ac:dyDescent="0.25">
      <c r="A1018" s="4">
        <v>1017</v>
      </c>
      <c r="B1018" s="5" t="s">
        <v>1019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85</v>
      </c>
      <c r="K1018" s="7">
        <v>85</v>
      </c>
      <c r="L1018" s="7">
        <v>87</v>
      </c>
      <c r="M1018" s="7">
        <v>85</v>
      </c>
      <c r="N1018" s="7">
        <v>85</v>
      </c>
      <c r="O1018" s="7">
        <v>85</v>
      </c>
      <c r="P1018" s="7">
        <v>85</v>
      </c>
      <c r="Q1018" s="7">
        <v>85</v>
      </c>
      <c r="R1018" s="7">
        <v>85</v>
      </c>
      <c r="S1018" s="7">
        <v>85</v>
      </c>
      <c r="T1018" s="7">
        <v>85</v>
      </c>
      <c r="U1018" s="7">
        <v>85</v>
      </c>
      <c r="V1018" s="7">
        <v>85</v>
      </c>
      <c r="W1018" s="138">
        <v>119450.82890315991</v>
      </c>
      <c r="X1018">
        <f ca="1">IF(V1018=0,0,OFFSET(CreditMetrics!$B$474,MATCH(RAND(),OFFSET(CreditMetrics!$C$474,1,MATCH(BDClientes!V1018,CreditMetrics!$B$475:$B$491,0),COUNT(CreditMetrics!$B$475:$B$491),1),1),0,1,1))</f>
        <v>87</v>
      </c>
      <c r="Z1018" s="79"/>
    </row>
    <row r="1019" spans="1:26" x14ac:dyDescent="0.25">
      <c r="A1019" s="4">
        <v>1018</v>
      </c>
      <c r="B1019" s="5" t="s">
        <v>1020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83</v>
      </c>
      <c r="M1019" s="7">
        <v>85</v>
      </c>
      <c r="N1019" s="7">
        <v>83</v>
      </c>
      <c r="O1019" s="7">
        <v>83</v>
      </c>
      <c r="P1019" s="7">
        <v>80</v>
      </c>
      <c r="Q1019" s="7">
        <v>83</v>
      </c>
      <c r="R1019" s="7">
        <v>83</v>
      </c>
      <c r="S1019" s="7">
        <v>83</v>
      </c>
      <c r="T1019" s="7">
        <v>83</v>
      </c>
      <c r="U1019" s="7">
        <v>85</v>
      </c>
      <c r="V1019" s="7">
        <v>85</v>
      </c>
      <c r="W1019" s="138">
        <v>321949.43454865244</v>
      </c>
      <c r="X1019">
        <f ca="1">IF(V1019=0,0,OFFSET(CreditMetrics!$B$474,MATCH(RAND(),OFFSET(CreditMetrics!$C$474,1,MATCH(BDClientes!V1019,CreditMetrics!$B$475:$B$491,0),COUNT(CreditMetrics!$B$475:$B$491),1),1),0,1,1))</f>
        <v>83</v>
      </c>
      <c r="Z1019" s="79"/>
    </row>
    <row r="1020" spans="1:26" x14ac:dyDescent="0.25">
      <c r="A1020" s="4">
        <v>1019</v>
      </c>
      <c r="B1020" s="5" t="s">
        <v>1021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80</v>
      </c>
      <c r="O1020" s="7">
        <v>83</v>
      </c>
      <c r="P1020" s="7">
        <v>83</v>
      </c>
      <c r="Q1020" s="7">
        <v>0</v>
      </c>
      <c r="R1020" s="7">
        <v>85</v>
      </c>
      <c r="S1020" s="7">
        <v>85</v>
      </c>
      <c r="T1020" s="7">
        <v>85</v>
      </c>
      <c r="U1020" s="7">
        <v>85</v>
      </c>
      <c r="V1020" s="7">
        <v>83</v>
      </c>
      <c r="W1020" s="138">
        <v>107894.70320317696</v>
      </c>
      <c r="X1020">
        <f ca="1">IF(V1020=0,0,OFFSET(CreditMetrics!$B$474,MATCH(RAND(),OFFSET(CreditMetrics!$C$474,1,MATCH(BDClientes!V1020,CreditMetrics!$B$475:$B$491,0),COUNT(CreditMetrics!$B$475:$B$491),1),1),0,1,1))</f>
        <v>85</v>
      </c>
      <c r="Z1020" s="79"/>
    </row>
    <row r="1021" spans="1:26" x14ac:dyDescent="0.25">
      <c r="A1021" s="4">
        <v>1020</v>
      </c>
      <c r="B1021" s="5" t="s">
        <v>1022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83</v>
      </c>
      <c r="J1021" s="7">
        <v>80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85</v>
      </c>
      <c r="R1021" s="7">
        <v>83</v>
      </c>
      <c r="S1021" s="7">
        <v>85</v>
      </c>
      <c r="T1021" s="7">
        <v>85</v>
      </c>
      <c r="U1021" s="7">
        <v>80</v>
      </c>
      <c r="V1021" s="7">
        <v>80</v>
      </c>
      <c r="W1021" s="138">
        <v>463291.90209294826</v>
      </c>
      <c r="X1021">
        <f ca="1">IF(V1021=0,0,OFFSET(CreditMetrics!$B$474,MATCH(RAND(),OFFSET(CreditMetrics!$C$474,1,MATCH(BDClientes!V1021,CreditMetrics!$B$475:$B$491,0),COUNT(CreditMetrics!$B$475:$B$491),1),1),0,1,1))</f>
        <v>80</v>
      </c>
      <c r="Z1021" s="79"/>
    </row>
    <row r="1022" spans="1:26" x14ac:dyDescent="0.25">
      <c r="A1022" s="4">
        <v>1021</v>
      </c>
      <c r="B1022" s="5" t="s">
        <v>1023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87</v>
      </c>
      <c r="N1022" s="7">
        <v>87</v>
      </c>
      <c r="O1022" s="7">
        <v>90</v>
      </c>
      <c r="P1022" s="7">
        <v>85</v>
      </c>
      <c r="Q1022" s="7">
        <v>87</v>
      </c>
      <c r="R1022" s="7">
        <v>87</v>
      </c>
      <c r="S1022" s="7">
        <v>87</v>
      </c>
      <c r="T1022" s="7">
        <v>85</v>
      </c>
      <c r="U1022" s="7">
        <v>87</v>
      </c>
      <c r="V1022" s="7">
        <v>87</v>
      </c>
      <c r="W1022" s="138">
        <v>143788.61639860622</v>
      </c>
      <c r="X1022">
        <f ca="1">IF(V1022=0,0,OFFSET(CreditMetrics!$B$474,MATCH(RAND(),OFFSET(CreditMetrics!$C$474,1,MATCH(BDClientes!V1022,CreditMetrics!$B$475:$B$491,0),COUNT(CreditMetrics!$B$475:$B$491),1),1),0,1,1))</f>
        <v>87</v>
      </c>
      <c r="Z1022" s="79"/>
    </row>
    <row r="1023" spans="1:26" x14ac:dyDescent="0.25">
      <c r="A1023" s="4">
        <v>1022</v>
      </c>
      <c r="B1023" s="5" t="s">
        <v>1024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  <c r="R1023" s="7">
        <v>0</v>
      </c>
      <c r="S1023" s="7">
        <v>0</v>
      </c>
      <c r="T1023" s="7">
        <v>0</v>
      </c>
      <c r="U1023" s="7">
        <v>0</v>
      </c>
      <c r="V1023" s="7">
        <v>0</v>
      </c>
      <c r="X1023">
        <f ca="1">IF(V1023=0,0,OFFSET(CreditMetrics!$B$474,MATCH(RAND(),OFFSET(CreditMetrics!$C$474,1,MATCH(BDClientes!V1023,CreditMetrics!$B$475:$B$491,0),COUNT(CreditMetrics!$B$475:$B$491),1),1),0,1,1))</f>
        <v>0</v>
      </c>
      <c r="Z1023" s="79"/>
    </row>
    <row r="1024" spans="1:26" x14ac:dyDescent="0.25">
      <c r="A1024" s="4">
        <v>1023</v>
      </c>
      <c r="B1024" s="5" t="s">
        <v>1025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83</v>
      </c>
      <c r="I1024" s="7">
        <v>83</v>
      </c>
      <c r="J1024" s="7">
        <v>83</v>
      </c>
      <c r="K1024" s="7">
        <v>83</v>
      </c>
      <c r="L1024" s="7">
        <v>80</v>
      </c>
      <c r="M1024" s="7">
        <v>80</v>
      </c>
      <c r="N1024" s="7">
        <v>83</v>
      </c>
      <c r="O1024" s="7">
        <v>0</v>
      </c>
      <c r="P1024" s="7">
        <v>0</v>
      </c>
      <c r="Q1024" s="7">
        <v>0</v>
      </c>
      <c r="R1024" s="7">
        <v>83</v>
      </c>
      <c r="S1024" s="7">
        <v>83</v>
      </c>
      <c r="T1024" s="7">
        <v>83</v>
      </c>
      <c r="U1024" s="7">
        <v>83</v>
      </c>
      <c r="V1024" s="7">
        <v>83</v>
      </c>
      <c r="W1024" s="138">
        <v>112034.50966118748</v>
      </c>
      <c r="X1024">
        <f ca="1">IF(V1024=0,0,OFFSET(CreditMetrics!$B$474,MATCH(RAND(),OFFSET(CreditMetrics!$C$474,1,MATCH(BDClientes!V1024,CreditMetrics!$B$475:$B$491,0),COUNT(CreditMetrics!$B$475:$B$491),1),1),0,1,1))</f>
        <v>75</v>
      </c>
      <c r="Z1024" s="79"/>
    </row>
    <row r="1025" spans="1:26" x14ac:dyDescent="0.25">
      <c r="A1025" s="4">
        <v>1024</v>
      </c>
      <c r="B1025" s="5" t="s">
        <v>1026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  <c r="R1025" s="7">
        <v>83</v>
      </c>
      <c r="S1025" s="7">
        <v>83</v>
      </c>
      <c r="T1025" s="7">
        <v>85</v>
      </c>
      <c r="U1025" s="7">
        <v>83</v>
      </c>
      <c r="V1025" s="7">
        <v>85</v>
      </c>
      <c r="W1025" s="138">
        <v>119428.71080020462</v>
      </c>
      <c r="X1025">
        <f ca="1">IF(V1025=0,0,OFFSET(CreditMetrics!$B$474,MATCH(RAND(),OFFSET(CreditMetrics!$C$474,1,MATCH(BDClientes!V1025,CreditMetrics!$B$475:$B$491,0),COUNT(CreditMetrics!$B$475:$B$491),1),1),0,1,1))</f>
        <v>85</v>
      </c>
      <c r="Z1025" s="79"/>
    </row>
    <row r="1026" spans="1:26" x14ac:dyDescent="0.25">
      <c r="A1026" s="4">
        <v>1025</v>
      </c>
      <c r="B1026" s="5" t="s">
        <v>1027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>
        <v>0</v>
      </c>
      <c r="U1026" s="7">
        <v>0</v>
      </c>
      <c r="V1026" s="7">
        <v>0</v>
      </c>
      <c r="X1026">
        <f ca="1">IF(V1026=0,0,OFFSET(CreditMetrics!$B$474,MATCH(RAND(),OFFSET(CreditMetrics!$C$474,1,MATCH(BDClientes!V1026,CreditMetrics!$B$475:$B$491,0),COUNT(CreditMetrics!$B$475:$B$491),1),1),0,1,1))</f>
        <v>0</v>
      </c>
      <c r="Z1026" s="79"/>
    </row>
    <row r="1027" spans="1:26" x14ac:dyDescent="0.25">
      <c r="A1027" s="4">
        <v>1026</v>
      </c>
      <c r="B1027" s="5" t="s">
        <v>1028</v>
      </c>
      <c r="C1027" s="7">
        <v>83</v>
      </c>
      <c r="D1027" s="7">
        <v>85</v>
      </c>
      <c r="E1027" s="7">
        <v>85</v>
      </c>
      <c r="F1027" s="7">
        <v>85</v>
      </c>
      <c r="G1027" s="7">
        <v>87</v>
      </c>
      <c r="H1027" s="7">
        <v>87</v>
      </c>
      <c r="I1027" s="7">
        <v>80</v>
      </c>
      <c r="J1027" s="7">
        <v>87</v>
      </c>
      <c r="K1027" s="7">
        <v>85</v>
      </c>
      <c r="L1027" s="7">
        <v>80</v>
      </c>
      <c r="M1027" s="7">
        <v>85</v>
      </c>
      <c r="N1027" s="7">
        <v>83</v>
      </c>
      <c r="O1027" s="7">
        <v>83</v>
      </c>
      <c r="P1027" s="7">
        <v>80</v>
      </c>
      <c r="Q1027" s="7">
        <v>77</v>
      </c>
      <c r="R1027" s="7">
        <v>83</v>
      </c>
      <c r="S1027" s="7">
        <v>85</v>
      </c>
      <c r="T1027" s="7">
        <v>85</v>
      </c>
      <c r="U1027" s="7">
        <v>85</v>
      </c>
      <c r="V1027" s="7">
        <v>85</v>
      </c>
      <c r="W1027" s="138">
        <v>119945.43493030228</v>
      </c>
      <c r="X1027">
        <f ca="1">IF(V1027=0,0,OFFSET(CreditMetrics!$B$474,MATCH(RAND(),OFFSET(CreditMetrics!$C$474,1,MATCH(BDClientes!V1027,CreditMetrics!$B$475:$B$491,0),COUNT(CreditMetrics!$B$475:$B$491),1),1),0,1,1))</f>
        <v>85</v>
      </c>
      <c r="Z1027" s="79"/>
    </row>
    <row r="1028" spans="1:26" x14ac:dyDescent="0.25">
      <c r="A1028" s="4">
        <v>1027</v>
      </c>
      <c r="B1028" s="5" t="s">
        <v>1029</v>
      </c>
      <c r="C1028" s="7">
        <v>83</v>
      </c>
      <c r="D1028" s="7">
        <v>80</v>
      </c>
      <c r="E1028" s="7">
        <v>80</v>
      </c>
      <c r="F1028" s="7">
        <v>80</v>
      </c>
      <c r="G1028" s="7">
        <v>77</v>
      </c>
      <c r="H1028" s="7">
        <v>85</v>
      </c>
      <c r="I1028" s="7">
        <v>83</v>
      </c>
      <c r="J1028" s="7">
        <v>75</v>
      </c>
      <c r="K1028" s="7">
        <v>75</v>
      </c>
      <c r="L1028" s="7">
        <v>70</v>
      </c>
      <c r="M1028" s="7">
        <v>70</v>
      </c>
      <c r="N1028" s="7">
        <v>60</v>
      </c>
      <c r="O1028" s="7">
        <v>70</v>
      </c>
      <c r="P1028" s="7">
        <v>73</v>
      </c>
      <c r="Q1028" s="7">
        <v>70</v>
      </c>
      <c r="R1028" s="7">
        <v>80</v>
      </c>
      <c r="S1028" s="7">
        <v>77</v>
      </c>
      <c r="T1028" s="7">
        <v>77</v>
      </c>
      <c r="U1028" s="7">
        <v>75</v>
      </c>
      <c r="V1028" s="7">
        <v>77</v>
      </c>
      <c r="W1028" s="138">
        <v>197398.48153162136</v>
      </c>
      <c r="X1028">
        <f ca="1">IF(V1028=0,0,OFFSET(CreditMetrics!$B$474,MATCH(RAND(),OFFSET(CreditMetrics!$C$474,1,MATCH(BDClientes!V1028,CreditMetrics!$B$475:$B$491,0),COUNT(CreditMetrics!$B$475:$B$491),1),1),0,1,1))</f>
        <v>75</v>
      </c>
      <c r="Z1028" s="79"/>
    </row>
    <row r="1029" spans="1:26" x14ac:dyDescent="0.25">
      <c r="A1029" s="4">
        <v>1028</v>
      </c>
      <c r="B1029" s="5" t="s">
        <v>1030</v>
      </c>
      <c r="C1029" s="7">
        <v>85</v>
      </c>
      <c r="D1029" s="7">
        <v>0</v>
      </c>
      <c r="E1029" s="7">
        <v>85</v>
      </c>
      <c r="F1029" s="7">
        <v>85</v>
      </c>
      <c r="G1029" s="7">
        <v>85</v>
      </c>
      <c r="H1029" s="7">
        <v>85</v>
      </c>
      <c r="I1029" s="7">
        <v>83</v>
      </c>
      <c r="J1029" s="7">
        <v>85</v>
      </c>
      <c r="K1029" s="7">
        <v>87</v>
      </c>
      <c r="L1029" s="7">
        <v>85</v>
      </c>
      <c r="M1029" s="7">
        <v>83</v>
      </c>
      <c r="N1029" s="7">
        <v>83</v>
      </c>
      <c r="O1029" s="7">
        <v>83</v>
      </c>
      <c r="P1029" s="7">
        <v>80</v>
      </c>
      <c r="Q1029" s="7">
        <v>80</v>
      </c>
      <c r="R1029" s="7">
        <v>85</v>
      </c>
      <c r="S1029" s="7">
        <v>85</v>
      </c>
      <c r="T1029" s="7">
        <v>85</v>
      </c>
      <c r="U1029" s="7">
        <v>85</v>
      </c>
      <c r="V1029" s="7">
        <v>85</v>
      </c>
      <c r="W1029" s="138">
        <v>135728.36877802198</v>
      </c>
      <c r="X1029">
        <f ca="1">IF(V1029=0,0,OFFSET(CreditMetrics!$B$474,MATCH(RAND(),OFFSET(CreditMetrics!$C$474,1,MATCH(BDClientes!V1029,CreditMetrics!$B$475:$B$491,0),COUNT(CreditMetrics!$B$475:$B$491),1),1),0,1,1))</f>
        <v>85</v>
      </c>
      <c r="Z1029" s="79"/>
    </row>
    <row r="1030" spans="1:26" x14ac:dyDescent="0.25">
      <c r="A1030" s="4">
        <v>1029</v>
      </c>
      <c r="B1030" s="5" t="s">
        <v>1031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85</v>
      </c>
      <c r="O1030" s="7">
        <v>85</v>
      </c>
      <c r="P1030" s="7">
        <v>85</v>
      </c>
      <c r="Q1030" s="7">
        <v>85</v>
      </c>
      <c r="R1030" s="7">
        <v>85</v>
      </c>
      <c r="S1030" s="7">
        <v>85</v>
      </c>
      <c r="T1030" s="7">
        <v>85</v>
      </c>
      <c r="U1030" s="7">
        <v>85</v>
      </c>
      <c r="V1030" s="7">
        <v>85</v>
      </c>
      <c r="W1030" s="138">
        <v>253435.45418125263</v>
      </c>
      <c r="X1030">
        <f ca="1">IF(V1030=0,0,OFFSET(CreditMetrics!$B$474,MATCH(RAND(),OFFSET(CreditMetrics!$C$474,1,MATCH(BDClientes!V1030,CreditMetrics!$B$475:$B$491,0),COUNT(CreditMetrics!$B$475:$B$491),1),1),0,1,1))</f>
        <v>87</v>
      </c>
      <c r="Z1030" s="79"/>
    </row>
    <row r="1031" spans="1:26" x14ac:dyDescent="0.25">
      <c r="A1031" s="4">
        <v>1030</v>
      </c>
      <c r="B1031" s="5" t="s">
        <v>1032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85</v>
      </c>
      <c r="O1031" s="7">
        <v>85</v>
      </c>
      <c r="P1031" s="7">
        <v>85</v>
      </c>
      <c r="Q1031" s="7">
        <v>85</v>
      </c>
      <c r="R1031" s="7">
        <v>85</v>
      </c>
      <c r="S1031" s="7">
        <v>85</v>
      </c>
      <c r="T1031" s="7">
        <v>85</v>
      </c>
      <c r="U1031" s="7">
        <v>83</v>
      </c>
      <c r="V1031" s="7">
        <v>83</v>
      </c>
      <c r="W1031" s="138">
        <v>126809.8423074067</v>
      </c>
      <c r="X1031">
        <f ca="1">IF(V1031=0,0,OFFSET(CreditMetrics!$B$474,MATCH(RAND(),OFFSET(CreditMetrics!$C$474,1,MATCH(BDClientes!V1031,CreditMetrics!$B$475:$B$491,0),COUNT(CreditMetrics!$B$475:$B$491),1),1),0,1,1))</f>
        <v>80</v>
      </c>
      <c r="Z1031" s="79"/>
    </row>
    <row r="1032" spans="1:26" x14ac:dyDescent="0.25">
      <c r="A1032" s="4">
        <v>1031</v>
      </c>
      <c r="B1032" s="5" t="s">
        <v>1033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  <c r="R1032" s="7">
        <v>85</v>
      </c>
      <c r="S1032" s="7">
        <v>85</v>
      </c>
      <c r="T1032" s="7">
        <v>85</v>
      </c>
      <c r="U1032" s="7">
        <v>85</v>
      </c>
      <c r="V1032" s="7">
        <v>85</v>
      </c>
      <c r="W1032" s="138">
        <v>794298.9144430497</v>
      </c>
      <c r="X1032">
        <f ca="1">IF(V1032=0,0,OFFSET(CreditMetrics!$B$474,MATCH(RAND(),OFFSET(CreditMetrics!$C$474,1,MATCH(BDClientes!V1032,CreditMetrics!$B$475:$B$491,0),COUNT(CreditMetrics!$B$475:$B$491),1),1),0,1,1))</f>
        <v>87</v>
      </c>
      <c r="Z1032" s="79"/>
    </row>
    <row r="1033" spans="1:26" x14ac:dyDescent="0.25">
      <c r="A1033" s="4">
        <v>1032</v>
      </c>
      <c r="B1033" s="5" t="s">
        <v>1034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  <c r="R1033" s="7">
        <v>85</v>
      </c>
      <c r="S1033" s="7">
        <v>85</v>
      </c>
      <c r="T1033" s="7">
        <v>85</v>
      </c>
      <c r="U1033" s="7">
        <v>85</v>
      </c>
      <c r="V1033" s="7">
        <v>85</v>
      </c>
      <c r="W1033" s="138">
        <v>142094.99303467761</v>
      </c>
      <c r="X1033">
        <f ca="1">IF(V1033=0,0,OFFSET(CreditMetrics!$B$474,MATCH(RAND(),OFFSET(CreditMetrics!$C$474,1,MATCH(BDClientes!V1033,CreditMetrics!$B$475:$B$491,0),COUNT(CreditMetrics!$B$475:$B$491),1),1),0,1,1))</f>
        <v>85</v>
      </c>
      <c r="Z1033" s="79"/>
    </row>
    <row r="1034" spans="1:26" x14ac:dyDescent="0.25">
      <c r="A1034" s="4">
        <v>1033</v>
      </c>
      <c r="B1034" s="5" t="s">
        <v>1035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85</v>
      </c>
      <c r="S1034" s="7">
        <v>85</v>
      </c>
      <c r="T1034" s="7">
        <v>85</v>
      </c>
      <c r="U1034" s="7">
        <v>85</v>
      </c>
      <c r="V1034" s="7">
        <v>85</v>
      </c>
      <c r="W1034" s="138">
        <v>313419.48045382841</v>
      </c>
      <c r="X1034">
        <f ca="1">IF(V1034=0,0,OFFSET(CreditMetrics!$B$474,MATCH(RAND(),OFFSET(CreditMetrics!$C$474,1,MATCH(BDClientes!V1034,CreditMetrics!$B$475:$B$491,0),COUNT(CreditMetrics!$B$475:$B$491),1),1),0,1,1))</f>
        <v>90</v>
      </c>
      <c r="Z1034" s="79"/>
    </row>
    <row r="1035" spans="1:26" x14ac:dyDescent="0.25">
      <c r="A1035" s="4">
        <v>1034</v>
      </c>
      <c r="B1035" s="5" t="s">
        <v>1036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  <c r="R1035" s="7">
        <v>85</v>
      </c>
      <c r="S1035" s="7">
        <v>85</v>
      </c>
      <c r="T1035" s="7">
        <v>85</v>
      </c>
      <c r="U1035" s="7">
        <v>85</v>
      </c>
      <c r="V1035" s="7">
        <v>85</v>
      </c>
      <c r="W1035" s="138">
        <v>293378.88540198328</v>
      </c>
      <c r="X1035">
        <f ca="1">IF(V1035=0,0,OFFSET(CreditMetrics!$B$474,MATCH(RAND(),OFFSET(CreditMetrics!$C$474,1,MATCH(BDClientes!V1035,CreditMetrics!$B$475:$B$491,0),COUNT(CreditMetrics!$B$475:$B$491),1),1),0,1,1))</f>
        <v>85</v>
      </c>
      <c r="Z1035" s="79"/>
    </row>
    <row r="1036" spans="1:26" x14ac:dyDescent="0.25">
      <c r="A1036" s="4">
        <v>1035</v>
      </c>
      <c r="B1036" s="5" t="s">
        <v>1037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85</v>
      </c>
      <c r="S1036" s="7">
        <v>85</v>
      </c>
      <c r="T1036" s="7">
        <v>85</v>
      </c>
      <c r="U1036" s="7">
        <v>85</v>
      </c>
      <c r="V1036" s="7">
        <v>85</v>
      </c>
      <c r="W1036" s="138">
        <v>156985.17654444376</v>
      </c>
      <c r="X1036">
        <f ca="1">IF(V1036=0,0,OFFSET(CreditMetrics!$B$474,MATCH(RAND(),OFFSET(CreditMetrics!$C$474,1,MATCH(BDClientes!V1036,CreditMetrics!$B$475:$B$491,0),COUNT(CreditMetrics!$B$475:$B$491),1),1),0,1,1))</f>
        <v>77</v>
      </c>
      <c r="Z1036" s="79"/>
    </row>
    <row r="1037" spans="1:26" x14ac:dyDescent="0.25">
      <c r="A1037" s="4">
        <v>1036</v>
      </c>
      <c r="B1037" s="5" t="s">
        <v>1038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85</v>
      </c>
      <c r="S1037" s="7">
        <v>85</v>
      </c>
      <c r="T1037" s="7">
        <v>85</v>
      </c>
      <c r="U1037" s="7">
        <v>85</v>
      </c>
      <c r="V1037" s="7">
        <v>85</v>
      </c>
      <c r="W1037" s="138">
        <v>2100116.493970979</v>
      </c>
      <c r="X1037">
        <f ca="1">IF(V1037=0,0,OFFSET(CreditMetrics!$B$474,MATCH(RAND(),OFFSET(CreditMetrics!$C$474,1,MATCH(BDClientes!V1037,CreditMetrics!$B$475:$B$491,0),COUNT(CreditMetrics!$B$475:$B$491),1),1),0,1,1))</f>
        <v>80</v>
      </c>
      <c r="Z1037" s="79"/>
    </row>
    <row r="1038" spans="1:26" x14ac:dyDescent="0.25">
      <c r="A1038" s="4">
        <v>1037</v>
      </c>
      <c r="B1038" s="5" t="s">
        <v>1039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85</v>
      </c>
      <c r="S1038" s="7">
        <v>85</v>
      </c>
      <c r="T1038" s="7">
        <v>85</v>
      </c>
      <c r="U1038" s="7">
        <v>85</v>
      </c>
      <c r="V1038" s="7">
        <v>85</v>
      </c>
      <c r="W1038" s="138">
        <v>691245.59528985131</v>
      </c>
      <c r="X1038">
        <f ca="1">IF(V1038=0,0,OFFSET(CreditMetrics!$B$474,MATCH(RAND(),OFFSET(CreditMetrics!$C$474,1,MATCH(BDClientes!V1038,CreditMetrics!$B$475:$B$491,0),COUNT(CreditMetrics!$B$475:$B$491),1),1),0,1,1))</f>
        <v>85</v>
      </c>
      <c r="Z1038" s="79"/>
    </row>
    <row r="1039" spans="1:26" x14ac:dyDescent="0.25">
      <c r="A1039" s="4">
        <v>1038</v>
      </c>
      <c r="B1039" s="5" t="s">
        <v>1040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85</v>
      </c>
      <c r="S1039" s="7">
        <v>85</v>
      </c>
      <c r="T1039" s="7">
        <v>85</v>
      </c>
      <c r="U1039" s="7">
        <v>85</v>
      </c>
      <c r="V1039" s="7">
        <v>85</v>
      </c>
      <c r="W1039" s="138">
        <v>200543.04564966654</v>
      </c>
      <c r="X1039">
        <f ca="1">IF(V1039=0,0,OFFSET(CreditMetrics!$B$474,MATCH(RAND(),OFFSET(CreditMetrics!$C$474,1,MATCH(BDClientes!V1039,CreditMetrics!$B$475:$B$491,0),COUNT(CreditMetrics!$B$475:$B$491),1),1),0,1,1))</f>
        <v>80</v>
      </c>
      <c r="Z1039" s="79"/>
    </row>
    <row r="1040" spans="1:26" x14ac:dyDescent="0.25">
      <c r="A1040" s="4">
        <v>1039</v>
      </c>
      <c r="B1040" s="5" t="s">
        <v>1041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 s="7">
        <v>85</v>
      </c>
      <c r="U1040" s="7">
        <v>85</v>
      </c>
      <c r="V1040" s="7">
        <v>83</v>
      </c>
      <c r="W1040" s="138">
        <v>120599.6944582407</v>
      </c>
      <c r="X1040">
        <f ca="1">IF(V1040=0,0,OFFSET(CreditMetrics!$B$474,MATCH(RAND(),OFFSET(CreditMetrics!$C$474,1,MATCH(BDClientes!V1040,CreditMetrics!$B$475:$B$491,0),COUNT(CreditMetrics!$B$475:$B$491),1),1),0,1,1))</f>
        <v>83</v>
      </c>
      <c r="Z1040" s="79"/>
    </row>
    <row r="1041" spans="1:26" x14ac:dyDescent="0.25">
      <c r="A1041" s="4">
        <v>1040</v>
      </c>
      <c r="B1041" s="5" t="s">
        <v>1042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 s="7">
        <v>0</v>
      </c>
      <c r="U1041" s="7">
        <v>0</v>
      </c>
      <c r="V1041" s="7">
        <v>85</v>
      </c>
      <c r="W1041" s="138">
        <v>166755.80695639396</v>
      </c>
      <c r="X1041">
        <f ca="1">IF(V1041=0,0,OFFSET(CreditMetrics!$B$474,MATCH(RAND(),OFFSET(CreditMetrics!$C$474,1,MATCH(BDClientes!V1041,CreditMetrics!$B$475:$B$491,0),COUNT(CreditMetrics!$B$475:$B$491),1),1),0,1,1))</f>
        <v>85</v>
      </c>
      <c r="Z1041" s="79"/>
    </row>
    <row r="1042" spans="1:26" x14ac:dyDescent="0.25">
      <c r="A1042" s="4">
        <v>1041</v>
      </c>
      <c r="B1042" s="5" t="s">
        <v>1043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0</v>
      </c>
      <c r="X1042">
        <f ca="1">IF(V1042=0,0,OFFSET(CreditMetrics!$B$474,MATCH(RAND(),OFFSET(CreditMetrics!$C$474,1,MATCH(BDClientes!V1042,CreditMetrics!$B$475:$B$491,0),COUNT(CreditMetrics!$B$475:$B$491),1),1),0,1,1))</f>
        <v>0</v>
      </c>
      <c r="Z1042" s="79"/>
    </row>
    <row r="1043" spans="1:26" x14ac:dyDescent="0.25">
      <c r="A1043" s="4">
        <v>1042</v>
      </c>
      <c r="B1043" s="5" t="s">
        <v>1044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  <c r="R1043" s="7">
        <v>85</v>
      </c>
      <c r="S1043" s="7">
        <v>85</v>
      </c>
      <c r="T1043" s="7">
        <v>85</v>
      </c>
      <c r="U1043" s="7">
        <v>85</v>
      </c>
      <c r="V1043" s="7">
        <v>85</v>
      </c>
      <c r="W1043" s="138">
        <v>870862.35014208418</v>
      </c>
      <c r="X1043">
        <f ca="1">IF(V1043=0,0,OFFSET(CreditMetrics!$B$474,MATCH(RAND(),OFFSET(CreditMetrics!$C$474,1,MATCH(BDClientes!V1043,CreditMetrics!$B$475:$B$491,0),COUNT(CreditMetrics!$B$475:$B$491),1),1),0,1,1))</f>
        <v>77</v>
      </c>
      <c r="Z1043" s="79"/>
    </row>
    <row r="1044" spans="1:26" x14ac:dyDescent="0.25">
      <c r="A1044" s="4">
        <v>1043</v>
      </c>
      <c r="B1044" s="5" t="s">
        <v>1045</v>
      </c>
      <c r="C1044" s="7">
        <v>83</v>
      </c>
      <c r="D1044" s="7">
        <v>83</v>
      </c>
      <c r="E1044" s="7">
        <v>80</v>
      </c>
      <c r="F1044" s="7">
        <v>80</v>
      </c>
      <c r="G1044" s="7">
        <v>83</v>
      </c>
      <c r="H1044" s="7">
        <v>83</v>
      </c>
      <c r="I1044" s="7">
        <v>85</v>
      </c>
      <c r="J1044" s="7">
        <v>85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X1044">
        <f ca="1">IF(V1044=0,0,OFFSET(CreditMetrics!$B$474,MATCH(RAND(),OFFSET(CreditMetrics!$C$474,1,MATCH(BDClientes!V1044,CreditMetrics!$B$475:$B$491,0),COUNT(CreditMetrics!$B$475:$B$491),1),1),0,1,1))</f>
        <v>0</v>
      </c>
      <c r="Z1044" s="79"/>
    </row>
    <row r="1045" spans="1:26" x14ac:dyDescent="0.25">
      <c r="A1045" s="4">
        <v>1044</v>
      </c>
      <c r="B1045" s="5" t="s">
        <v>1046</v>
      </c>
      <c r="C1045" s="7">
        <v>87</v>
      </c>
      <c r="D1045" s="7">
        <v>85</v>
      </c>
      <c r="E1045" s="7">
        <v>0</v>
      </c>
      <c r="F1045" s="7">
        <v>85</v>
      </c>
      <c r="G1045" s="7">
        <v>85</v>
      </c>
      <c r="H1045" s="7">
        <v>85</v>
      </c>
      <c r="I1045" s="7">
        <v>85</v>
      </c>
      <c r="J1045" s="7">
        <v>87</v>
      </c>
      <c r="K1045" s="7">
        <v>87</v>
      </c>
      <c r="L1045" s="7">
        <v>85</v>
      </c>
      <c r="M1045" s="7">
        <v>87</v>
      </c>
      <c r="N1045" s="7">
        <v>85</v>
      </c>
      <c r="O1045" s="7">
        <v>87</v>
      </c>
      <c r="P1045" s="7">
        <v>87</v>
      </c>
      <c r="Q1045" s="7">
        <v>87</v>
      </c>
      <c r="R1045" s="7">
        <v>85</v>
      </c>
      <c r="S1045" s="7">
        <v>87</v>
      </c>
      <c r="T1045" s="7">
        <v>90</v>
      </c>
      <c r="U1045" s="7">
        <v>87</v>
      </c>
      <c r="V1045" s="7">
        <v>87</v>
      </c>
      <c r="W1045" s="138">
        <v>114098.66456342922</v>
      </c>
      <c r="X1045">
        <f ca="1">IF(V1045=0,0,OFFSET(CreditMetrics!$B$474,MATCH(RAND(),OFFSET(CreditMetrics!$C$474,1,MATCH(BDClientes!V1045,CreditMetrics!$B$475:$B$491,0),COUNT(CreditMetrics!$B$475:$B$491),1),1),0,1,1))</f>
        <v>85</v>
      </c>
      <c r="Z1045" s="79"/>
    </row>
    <row r="1046" spans="1:26" x14ac:dyDescent="0.25">
      <c r="A1046" s="4">
        <v>1045</v>
      </c>
      <c r="B1046" s="5" t="s">
        <v>1047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80</v>
      </c>
      <c r="K1046" s="7">
        <v>85</v>
      </c>
      <c r="L1046" s="7">
        <v>83</v>
      </c>
      <c r="M1046" s="7">
        <v>83</v>
      </c>
      <c r="N1046" s="7">
        <v>83</v>
      </c>
      <c r="O1046" s="7">
        <v>83</v>
      </c>
      <c r="P1046" s="7">
        <v>83</v>
      </c>
      <c r="Q1046" s="7">
        <v>83</v>
      </c>
      <c r="R1046" s="7">
        <v>80</v>
      </c>
      <c r="S1046" s="7">
        <v>80</v>
      </c>
      <c r="T1046" s="7">
        <v>80</v>
      </c>
      <c r="U1046" s="7">
        <v>80</v>
      </c>
      <c r="V1046" s="7">
        <v>80</v>
      </c>
      <c r="W1046" s="138">
        <v>133062.51784996068</v>
      </c>
      <c r="X1046">
        <f ca="1">IF(V1046=0,0,OFFSET(CreditMetrics!$B$474,MATCH(RAND(),OFFSET(CreditMetrics!$C$474,1,MATCH(BDClientes!V1046,CreditMetrics!$B$475:$B$491,0),COUNT(CreditMetrics!$B$475:$B$491),1),1),0,1,1))</f>
        <v>80</v>
      </c>
      <c r="Z1046" s="79"/>
    </row>
    <row r="1047" spans="1:26" x14ac:dyDescent="0.25">
      <c r="A1047" s="4">
        <v>1046</v>
      </c>
      <c r="B1047" s="5" t="s">
        <v>1048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85</v>
      </c>
      <c r="J1047" s="7">
        <v>83</v>
      </c>
      <c r="K1047" s="7">
        <v>73</v>
      </c>
      <c r="L1047" s="7">
        <v>75</v>
      </c>
      <c r="M1047" s="7">
        <v>75</v>
      </c>
      <c r="N1047" s="7">
        <v>80</v>
      </c>
      <c r="O1047" s="7">
        <v>77</v>
      </c>
      <c r="P1047" s="7">
        <v>83</v>
      </c>
      <c r="Q1047" s="7">
        <v>80</v>
      </c>
      <c r="R1047" s="7">
        <v>80</v>
      </c>
      <c r="S1047" s="7">
        <v>77</v>
      </c>
      <c r="T1047" s="7">
        <v>75</v>
      </c>
      <c r="U1047" s="7">
        <v>73</v>
      </c>
      <c r="V1047" s="7">
        <v>73</v>
      </c>
      <c r="W1047" s="138">
        <v>490461.16726755002</v>
      </c>
      <c r="X1047">
        <f ca="1">IF(V1047=0,0,OFFSET(CreditMetrics!$B$474,MATCH(RAND(),OFFSET(CreditMetrics!$C$474,1,MATCH(BDClientes!V1047,CreditMetrics!$B$475:$B$491,0),COUNT(CreditMetrics!$B$475:$B$491),1),1),0,1,1))</f>
        <v>77</v>
      </c>
      <c r="Z1047" s="79"/>
    </row>
    <row r="1048" spans="1:26" x14ac:dyDescent="0.25">
      <c r="A1048" s="4">
        <v>1047</v>
      </c>
      <c r="B1048" s="5" t="s">
        <v>1049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83</v>
      </c>
      <c r="J1048" s="7">
        <v>83</v>
      </c>
      <c r="K1048" s="7">
        <v>73</v>
      </c>
      <c r="L1048" s="7">
        <v>75</v>
      </c>
      <c r="M1048" s="7">
        <v>75</v>
      </c>
      <c r="N1048" s="7">
        <v>77</v>
      </c>
      <c r="O1048" s="7">
        <v>77</v>
      </c>
      <c r="P1048" s="7">
        <v>80</v>
      </c>
      <c r="Q1048" s="7">
        <v>80</v>
      </c>
      <c r="R1048" s="7">
        <v>80</v>
      </c>
      <c r="S1048" s="7">
        <v>77</v>
      </c>
      <c r="T1048" s="7">
        <v>75</v>
      </c>
      <c r="U1048" s="7">
        <v>73</v>
      </c>
      <c r="V1048" s="7">
        <v>73</v>
      </c>
      <c r="W1048" s="138">
        <v>205305.75638887906</v>
      </c>
      <c r="X1048">
        <f ca="1">IF(V1048=0,0,OFFSET(CreditMetrics!$B$474,MATCH(RAND(),OFFSET(CreditMetrics!$C$474,1,MATCH(BDClientes!V1048,CreditMetrics!$B$475:$B$491,0),COUNT(CreditMetrics!$B$475:$B$491),1),1),0,1,1))</f>
        <v>73</v>
      </c>
      <c r="Z1048" s="79"/>
    </row>
    <row r="1049" spans="1:26" x14ac:dyDescent="0.25">
      <c r="A1049" s="4">
        <v>1048</v>
      </c>
      <c r="B1049" s="5" t="s">
        <v>1050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  <c r="R1049" s="7">
        <v>0</v>
      </c>
      <c r="S1049" s="7">
        <v>0</v>
      </c>
      <c r="T1049" s="7">
        <v>83</v>
      </c>
      <c r="U1049" s="7">
        <v>80</v>
      </c>
      <c r="V1049" s="7">
        <v>73</v>
      </c>
      <c r="W1049" s="138">
        <v>123540.49568125373</v>
      </c>
      <c r="X1049">
        <f ca="1">IF(V1049=0,0,OFFSET(CreditMetrics!$B$474,MATCH(RAND(),OFFSET(CreditMetrics!$C$474,1,MATCH(BDClientes!V1049,CreditMetrics!$B$475:$B$491,0),COUNT(CreditMetrics!$B$475:$B$491),1),1),0,1,1))</f>
        <v>73</v>
      </c>
      <c r="Z1049" s="79"/>
    </row>
    <row r="1050" spans="1:26" x14ac:dyDescent="0.25">
      <c r="A1050" s="4">
        <v>1049</v>
      </c>
      <c r="B1050" s="5" t="s">
        <v>1051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83</v>
      </c>
      <c r="I1050" s="7">
        <v>85</v>
      </c>
      <c r="J1050" s="7">
        <v>83</v>
      </c>
      <c r="K1050" s="7">
        <v>80</v>
      </c>
      <c r="L1050" s="7">
        <v>83</v>
      </c>
      <c r="M1050" s="7">
        <v>80</v>
      </c>
      <c r="N1050" s="7">
        <v>77</v>
      </c>
      <c r="O1050" s="7">
        <v>80</v>
      </c>
      <c r="P1050" s="7">
        <v>80</v>
      </c>
      <c r="Q1050" s="7">
        <v>80</v>
      </c>
      <c r="R1050" s="7">
        <v>83</v>
      </c>
      <c r="S1050" s="7">
        <v>83</v>
      </c>
      <c r="T1050" s="7">
        <v>80</v>
      </c>
      <c r="U1050" s="7">
        <v>80</v>
      </c>
      <c r="V1050" s="7">
        <v>80</v>
      </c>
      <c r="W1050" s="138">
        <v>200363.75021732657</v>
      </c>
      <c r="X1050">
        <f ca="1">IF(V1050=0,0,OFFSET(CreditMetrics!$B$474,MATCH(RAND(),OFFSET(CreditMetrics!$C$474,1,MATCH(BDClientes!V1050,CreditMetrics!$B$475:$B$491,0),COUNT(CreditMetrics!$B$475:$B$491),1),1),0,1,1))</f>
        <v>85</v>
      </c>
      <c r="Z1050" s="79"/>
    </row>
    <row r="1051" spans="1:26" x14ac:dyDescent="0.25">
      <c r="A1051" s="4">
        <v>1050</v>
      </c>
      <c r="B1051" s="5" t="s">
        <v>1052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0</v>
      </c>
      <c r="S1051" s="7">
        <v>0</v>
      </c>
      <c r="T1051" s="7">
        <v>87</v>
      </c>
      <c r="U1051" s="7">
        <v>87</v>
      </c>
      <c r="V1051" s="7">
        <v>87</v>
      </c>
      <c r="W1051" s="138">
        <v>2043830.1550712578</v>
      </c>
      <c r="X1051">
        <f ca="1">IF(V1051=0,0,OFFSET(CreditMetrics!$B$474,MATCH(RAND(),OFFSET(CreditMetrics!$C$474,1,MATCH(BDClientes!V1051,CreditMetrics!$B$475:$B$491,0),COUNT(CreditMetrics!$B$475:$B$491),1),1),0,1,1))</f>
        <v>87</v>
      </c>
      <c r="Z1051" s="79"/>
    </row>
    <row r="1052" spans="1:26" x14ac:dyDescent="0.25">
      <c r="A1052" s="4">
        <v>1051</v>
      </c>
      <c r="B1052" s="5" t="s">
        <v>1053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90</v>
      </c>
      <c r="T1052" s="7">
        <v>90</v>
      </c>
      <c r="U1052" s="7">
        <v>90</v>
      </c>
      <c r="V1052" s="7">
        <v>90</v>
      </c>
      <c r="W1052" s="138">
        <v>435568.74059459468</v>
      </c>
      <c r="X1052">
        <f ca="1">IF(V1052=0,0,OFFSET(CreditMetrics!$B$474,MATCH(RAND(),OFFSET(CreditMetrics!$C$474,1,MATCH(BDClientes!V1052,CreditMetrics!$B$475:$B$491,0),COUNT(CreditMetrics!$B$475:$B$491),1),1),0,1,1))</f>
        <v>65</v>
      </c>
      <c r="Z1052" s="79"/>
    </row>
    <row r="1053" spans="1:26" x14ac:dyDescent="0.25">
      <c r="A1053" s="4">
        <v>1052</v>
      </c>
      <c r="B1053" s="5" t="s">
        <v>1054</v>
      </c>
      <c r="C1053" s="7">
        <v>0</v>
      </c>
      <c r="D1053" s="7">
        <v>0</v>
      </c>
      <c r="E1053" s="7">
        <v>0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 s="7">
        <v>0</v>
      </c>
      <c r="U1053" s="7">
        <v>0</v>
      </c>
      <c r="V1053" s="7">
        <v>0</v>
      </c>
      <c r="X1053">
        <f ca="1">IF(V1053=0,0,OFFSET(CreditMetrics!$B$474,MATCH(RAND(),OFFSET(CreditMetrics!$C$474,1,MATCH(BDClientes!V1053,CreditMetrics!$B$475:$B$491,0),COUNT(CreditMetrics!$B$475:$B$491),1),1),0,1,1))</f>
        <v>0</v>
      </c>
      <c r="Z1053" s="79"/>
    </row>
    <row r="1054" spans="1:26" x14ac:dyDescent="0.25">
      <c r="A1054" s="4">
        <v>1053</v>
      </c>
      <c r="B1054" s="5" t="s">
        <v>1055</v>
      </c>
      <c r="C1054" s="7">
        <v>0</v>
      </c>
      <c r="D1054" s="7">
        <v>0</v>
      </c>
      <c r="E1054" s="7">
        <v>0</v>
      </c>
      <c r="F1054" s="7">
        <v>0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7">
        <v>0</v>
      </c>
      <c r="M1054" s="7">
        <v>0</v>
      </c>
      <c r="N1054" s="7">
        <v>0</v>
      </c>
      <c r="O1054" s="7">
        <v>0</v>
      </c>
      <c r="P1054" s="7">
        <v>0</v>
      </c>
      <c r="Q1054" s="7">
        <v>0</v>
      </c>
      <c r="R1054" s="7">
        <v>83</v>
      </c>
      <c r="S1054" s="7">
        <v>83</v>
      </c>
      <c r="T1054" s="7">
        <v>83</v>
      </c>
      <c r="U1054" s="7">
        <v>80</v>
      </c>
      <c r="V1054" s="7">
        <v>77</v>
      </c>
      <c r="W1054" s="138">
        <v>260653.02566221671</v>
      </c>
      <c r="X1054">
        <f ca="1">IF(V1054=0,0,OFFSET(CreditMetrics!$B$474,MATCH(RAND(),OFFSET(CreditMetrics!$C$474,1,MATCH(BDClientes!V1054,CreditMetrics!$B$475:$B$491,0),COUNT(CreditMetrics!$B$475:$B$491),1),1),0,1,1))</f>
        <v>77</v>
      </c>
      <c r="Z1054" s="79"/>
    </row>
    <row r="1055" spans="1:26" x14ac:dyDescent="0.25">
      <c r="A1055" s="4">
        <v>1054</v>
      </c>
      <c r="B1055" s="5" t="s">
        <v>1056</v>
      </c>
      <c r="C1055" s="7">
        <v>0</v>
      </c>
      <c r="D1055" s="7">
        <v>0</v>
      </c>
      <c r="E1055" s="7">
        <v>0</v>
      </c>
      <c r="F1055" s="7">
        <v>0</v>
      </c>
      <c r="G1055" s="7">
        <v>0</v>
      </c>
      <c r="H1055" s="7">
        <v>0</v>
      </c>
      <c r="I1055" s="7">
        <v>0</v>
      </c>
      <c r="J1055" s="7">
        <v>0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0</v>
      </c>
      <c r="Q1055" s="7">
        <v>0</v>
      </c>
      <c r="R1055" s="7">
        <v>0</v>
      </c>
      <c r="S1055" s="7">
        <v>0</v>
      </c>
      <c r="T1055" s="7">
        <v>0</v>
      </c>
      <c r="U1055" s="7">
        <v>0</v>
      </c>
      <c r="V1055" s="7">
        <v>0</v>
      </c>
      <c r="X1055">
        <f ca="1">IF(V1055=0,0,OFFSET(CreditMetrics!$B$474,MATCH(RAND(),OFFSET(CreditMetrics!$C$474,1,MATCH(BDClientes!V1055,CreditMetrics!$B$475:$B$491,0),COUNT(CreditMetrics!$B$475:$B$491),1),1),0,1,1))</f>
        <v>0</v>
      </c>
      <c r="Z1055" s="79"/>
    </row>
    <row r="1056" spans="1:26" x14ac:dyDescent="0.25">
      <c r="A1056" s="4">
        <v>1055</v>
      </c>
      <c r="B1056" s="5" t="s">
        <v>1057</v>
      </c>
      <c r="C1056" s="7">
        <v>0</v>
      </c>
      <c r="D1056" s="7">
        <v>0</v>
      </c>
      <c r="E1056" s="7">
        <v>0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>
        <v>0</v>
      </c>
      <c r="U1056" s="7">
        <v>0</v>
      </c>
      <c r="V1056" s="7">
        <v>0</v>
      </c>
      <c r="X1056">
        <f ca="1">IF(V1056=0,0,OFFSET(CreditMetrics!$B$474,MATCH(RAND(),OFFSET(CreditMetrics!$C$474,1,MATCH(BDClientes!V1056,CreditMetrics!$B$475:$B$491,0),COUNT(CreditMetrics!$B$475:$B$491),1),1),0,1,1))</f>
        <v>0</v>
      </c>
      <c r="Z1056" s="79"/>
    </row>
    <row r="1057" spans="1:26" x14ac:dyDescent="0.25">
      <c r="A1057" s="4">
        <v>1056</v>
      </c>
      <c r="B1057" s="5" t="s">
        <v>1058</v>
      </c>
      <c r="C1057" s="7">
        <v>0</v>
      </c>
      <c r="D1057" s="7">
        <v>0</v>
      </c>
      <c r="E1057" s="7">
        <v>77</v>
      </c>
      <c r="F1057" s="7">
        <v>77</v>
      </c>
      <c r="G1057" s="7">
        <v>77</v>
      </c>
      <c r="H1057" s="7">
        <v>73</v>
      </c>
      <c r="I1057" s="7">
        <v>80</v>
      </c>
      <c r="J1057" s="7">
        <v>77</v>
      </c>
      <c r="K1057" s="7">
        <v>80</v>
      </c>
      <c r="L1057" s="7">
        <v>80</v>
      </c>
      <c r="M1057" s="7">
        <v>77</v>
      </c>
      <c r="N1057" s="7">
        <v>77</v>
      </c>
      <c r="O1057" s="7">
        <v>0</v>
      </c>
      <c r="P1057" s="7">
        <v>0</v>
      </c>
      <c r="Q1057" s="7">
        <v>77</v>
      </c>
      <c r="R1057" s="7">
        <v>80</v>
      </c>
      <c r="S1057" s="7">
        <v>83</v>
      </c>
      <c r="T1057" s="7">
        <v>0</v>
      </c>
      <c r="U1057" s="7">
        <v>0</v>
      </c>
      <c r="V1057" s="7">
        <v>87</v>
      </c>
      <c r="W1057" s="138">
        <v>185222.14844826132</v>
      </c>
      <c r="X1057">
        <f ca="1">IF(V1057=0,0,OFFSET(CreditMetrics!$B$474,MATCH(RAND(),OFFSET(CreditMetrics!$C$474,1,MATCH(BDClientes!V1057,CreditMetrics!$B$475:$B$491,0),COUNT(CreditMetrics!$B$475:$B$491),1),1),0,1,1))</f>
        <v>87</v>
      </c>
      <c r="Z1057" s="79"/>
    </row>
    <row r="1058" spans="1:26" x14ac:dyDescent="0.25">
      <c r="A1058" s="4">
        <v>1057</v>
      </c>
      <c r="B1058" s="5" t="s">
        <v>1059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 s="7">
        <v>0</v>
      </c>
      <c r="I1058" s="7">
        <v>0</v>
      </c>
      <c r="J1058" s="7">
        <v>85</v>
      </c>
      <c r="K1058" s="7">
        <v>85</v>
      </c>
      <c r="L1058" s="7">
        <v>87</v>
      </c>
      <c r="M1058" s="7">
        <v>85</v>
      </c>
      <c r="N1058" s="7">
        <v>85</v>
      </c>
      <c r="O1058" s="7">
        <v>85</v>
      </c>
      <c r="P1058" s="7">
        <v>87</v>
      </c>
      <c r="Q1058" s="7">
        <v>87</v>
      </c>
      <c r="R1058" s="7">
        <v>87</v>
      </c>
      <c r="S1058" s="7">
        <v>87</v>
      </c>
      <c r="T1058" s="7">
        <v>87</v>
      </c>
      <c r="U1058" s="7">
        <v>87</v>
      </c>
      <c r="V1058" s="7">
        <v>87</v>
      </c>
      <c r="W1058" s="138">
        <v>176872.16389045285</v>
      </c>
      <c r="X1058">
        <f ca="1">IF(V1058=0,0,OFFSET(CreditMetrics!$B$474,MATCH(RAND(),OFFSET(CreditMetrics!$C$474,1,MATCH(BDClientes!V1058,CreditMetrics!$B$475:$B$491,0),COUNT(CreditMetrics!$B$475:$B$491),1),1),0,1,1))</f>
        <v>87</v>
      </c>
      <c r="Z1058" s="79"/>
    </row>
    <row r="1059" spans="1:26" x14ac:dyDescent="0.25">
      <c r="A1059" s="4">
        <v>1058</v>
      </c>
      <c r="B1059" s="5" t="s">
        <v>1060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 s="7">
        <v>0</v>
      </c>
      <c r="I1059" s="7">
        <v>0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 s="7">
        <v>0</v>
      </c>
      <c r="U1059" s="7">
        <v>87</v>
      </c>
      <c r="V1059" s="7">
        <v>87</v>
      </c>
      <c r="W1059" s="138">
        <v>227590.71841668003</v>
      </c>
      <c r="X1059">
        <f ca="1">IF(V1059=0,0,OFFSET(CreditMetrics!$B$474,MATCH(RAND(),OFFSET(CreditMetrics!$C$474,1,MATCH(BDClientes!V1059,CreditMetrics!$B$475:$B$491,0),COUNT(CreditMetrics!$B$475:$B$491),1),1),0,1,1))</f>
        <v>85</v>
      </c>
      <c r="Z1059" s="79"/>
    </row>
    <row r="1060" spans="1:26" x14ac:dyDescent="0.25">
      <c r="A1060" s="4">
        <v>1059</v>
      </c>
      <c r="B1060" s="5" t="s">
        <v>1061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0</v>
      </c>
      <c r="R1060" s="7">
        <v>77</v>
      </c>
      <c r="S1060" s="7">
        <v>0</v>
      </c>
      <c r="T1060" s="7">
        <v>0</v>
      </c>
      <c r="U1060" s="7">
        <v>0</v>
      </c>
      <c r="V1060" s="7">
        <v>85</v>
      </c>
      <c r="W1060" s="138">
        <v>153938.8376285751</v>
      </c>
      <c r="X1060">
        <f ca="1">IF(V1060=0,0,OFFSET(CreditMetrics!$B$474,MATCH(RAND(),OFFSET(CreditMetrics!$C$474,1,MATCH(BDClientes!V1060,CreditMetrics!$B$475:$B$491,0),COUNT(CreditMetrics!$B$475:$B$491),1),1),0,1,1))</f>
        <v>80</v>
      </c>
      <c r="Z1060" s="79"/>
    </row>
    <row r="1061" spans="1:26" x14ac:dyDescent="0.25">
      <c r="A1061" s="4">
        <v>1060</v>
      </c>
      <c r="B1061" s="5" t="s">
        <v>1062</v>
      </c>
      <c r="C1061" s="7">
        <v>0</v>
      </c>
      <c r="D1061" s="7">
        <v>0</v>
      </c>
      <c r="E1061" s="7">
        <v>0</v>
      </c>
      <c r="F1061" s="7">
        <v>0</v>
      </c>
      <c r="G1061" s="7">
        <v>0</v>
      </c>
      <c r="H1061" s="7">
        <v>73</v>
      </c>
      <c r="I1061" s="7">
        <v>22</v>
      </c>
      <c r="J1061" s="7">
        <v>22</v>
      </c>
      <c r="K1061" s="7">
        <v>22</v>
      </c>
      <c r="L1061" s="7">
        <v>22</v>
      </c>
      <c r="M1061" s="7">
        <v>22</v>
      </c>
      <c r="N1061" s="7">
        <v>22</v>
      </c>
      <c r="O1061" s="7">
        <v>22</v>
      </c>
      <c r="P1061" s="7">
        <v>22</v>
      </c>
      <c r="Q1061" s="7">
        <v>22</v>
      </c>
      <c r="R1061" s="7">
        <v>22</v>
      </c>
      <c r="S1061" s="7">
        <v>22</v>
      </c>
      <c r="T1061" s="7">
        <v>22</v>
      </c>
      <c r="U1061" s="7">
        <v>22</v>
      </c>
      <c r="V1061" s="7">
        <v>22</v>
      </c>
      <c r="W1061" s="138">
        <v>1009542.3290224387</v>
      </c>
      <c r="X1061">
        <f ca="1">IF(V1061=0,0,OFFSET(CreditMetrics!$B$474,MATCH(RAND(),OFFSET(CreditMetrics!$C$474,1,MATCH(BDClientes!V1061,CreditMetrics!$B$475:$B$491,0),COUNT(CreditMetrics!$B$475:$B$491),1),1),0,1,1))</f>
        <v>22</v>
      </c>
      <c r="Z1061" s="79"/>
    </row>
    <row r="1062" spans="1:26" x14ac:dyDescent="0.25">
      <c r="A1062" s="4">
        <v>1061</v>
      </c>
      <c r="B1062" s="5" t="s">
        <v>1063</v>
      </c>
      <c r="C1062" s="7">
        <v>0</v>
      </c>
      <c r="D1062" s="7">
        <v>0</v>
      </c>
      <c r="E1062" s="7">
        <v>0</v>
      </c>
      <c r="F1062" s="7">
        <v>0</v>
      </c>
      <c r="G1062" s="7">
        <v>0</v>
      </c>
      <c r="H1062" s="7">
        <v>0</v>
      </c>
      <c r="I1062" s="7">
        <v>0</v>
      </c>
      <c r="J1062" s="7">
        <v>65</v>
      </c>
      <c r="K1062" s="7">
        <v>65</v>
      </c>
      <c r="L1062" s="7">
        <v>22</v>
      </c>
      <c r="M1062" s="7">
        <v>22</v>
      </c>
      <c r="N1062" s="7">
        <v>22</v>
      </c>
      <c r="O1062" s="7">
        <v>22</v>
      </c>
      <c r="P1062" s="7">
        <v>22</v>
      </c>
      <c r="Q1062" s="7">
        <v>22</v>
      </c>
      <c r="R1062" s="7">
        <v>22</v>
      </c>
      <c r="S1062" s="7">
        <v>22</v>
      </c>
      <c r="T1062" s="7">
        <v>22</v>
      </c>
      <c r="U1062" s="7">
        <v>22</v>
      </c>
      <c r="V1062" s="7">
        <v>22</v>
      </c>
      <c r="W1062" s="138">
        <v>121268.29016147782</v>
      </c>
      <c r="X1062">
        <f ca="1">IF(V1062=0,0,OFFSET(CreditMetrics!$B$474,MATCH(RAND(),OFFSET(CreditMetrics!$C$474,1,MATCH(BDClientes!V1062,CreditMetrics!$B$475:$B$491,0),COUNT(CreditMetrics!$B$475:$B$491),1),1),0,1,1))</f>
        <v>22</v>
      </c>
      <c r="Z1062" s="79"/>
    </row>
    <row r="1063" spans="1:26" x14ac:dyDescent="0.25">
      <c r="A1063" s="4">
        <v>1062</v>
      </c>
      <c r="B1063" s="5" t="s">
        <v>1064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 s="7">
        <v>0</v>
      </c>
      <c r="I1063" s="7">
        <v>0</v>
      </c>
      <c r="J1063" s="7">
        <v>0</v>
      </c>
      <c r="K1063" s="7">
        <v>0</v>
      </c>
      <c r="L1063" s="7">
        <v>0</v>
      </c>
      <c r="M1063" s="7">
        <v>0</v>
      </c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 s="7">
        <v>0</v>
      </c>
      <c r="U1063" s="7">
        <v>0</v>
      </c>
      <c r="V1063" s="7">
        <v>0</v>
      </c>
      <c r="X1063">
        <f ca="1">IF(V1063=0,0,OFFSET(CreditMetrics!$B$474,MATCH(RAND(),OFFSET(CreditMetrics!$C$474,1,MATCH(BDClientes!V1063,CreditMetrics!$B$475:$B$491,0),COUNT(CreditMetrics!$B$475:$B$491),1),1),0,1,1))</f>
        <v>0</v>
      </c>
      <c r="Z1063" s="79"/>
    </row>
    <row r="1064" spans="1:26" x14ac:dyDescent="0.25">
      <c r="A1064" s="4">
        <v>1063</v>
      </c>
      <c r="B1064" s="5" t="s">
        <v>1065</v>
      </c>
      <c r="C1064" s="7">
        <v>0</v>
      </c>
      <c r="D1064" s="7">
        <v>0</v>
      </c>
      <c r="E1064" s="7">
        <v>0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 s="7">
        <v>0</v>
      </c>
      <c r="M1064" s="7">
        <v>0</v>
      </c>
      <c r="N1064" s="7">
        <v>0</v>
      </c>
      <c r="O1064" s="7">
        <v>0</v>
      </c>
      <c r="P1064" s="7">
        <v>40</v>
      </c>
      <c r="Q1064" s="7">
        <v>22</v>
      </c>
      <c r="R1064" s="7">
        <v>22</v>
      </c>
      <c r="S1064" s="7">
        <v>22</v>
      </c>
      <c r="T1064" s="7">
        <v>22</v>
      </c>
      <c r="U1064" s="7">
        <v>22</v>
      </c>
      <c r="V1064" s="7">
        <v>22</v>
      </c>
      <c r="W1064" s="138">
        <v>254862.2612248917</v>
      </c>
      <c r="X1064">
        <f ca="1">IF(V1064=0,0,OFFSET(CreditMetrics!$B$474,MATCH(RAND(),OFFSET(CreditMetrics!$C$474,1,MATCH(BDClientes!V1064,CreditMetrics!$B$475:$B$491,0),COUNT(CreditMetrics!$B$475:$B$491),1),1),0,1,1))</f>
        <v>22</v>
      </c>
      <c r="Z1064" s="79"/>
    </row>
    <row r="1065" spans="1:26" x14ac:dyDescent="0.25">
      <c r="A1065" s="4">
        <v>1064</v>
      </c>
      <c r="B1065" s="5" t="s">
        <v>1066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0</v>
      </c>
      <c r="P1065" s="7">
        <v>0</v>
      </c>
      <c r="Q1065" s="7">
        <v>0</v>
      </c>
      <c r="R1065" s="7">
        <v>0</v>
      </c>
      <c r="S1065" s="7">
        <v>0</v>
      </c>
      <c r="T1065" s="7">
        <v>0</v>
      </c>
      <c r="U1065" s="7">
        <v>0</v>
      </c>
      <c r="V1065" s="7">
        <v>0</v>
      </c>
      <c r="X1065">
        <f ca="1">IF(V1065=0,0,OFFSET(CreditMetrics!$B$474,MATCH(RAND(),OFFSET(CreditMetrics!$C$474,1,MATCH(BDClientes!V1065,CreditMetrics!$B$475:$B$491,0),COUNT(CreditMetrics!$B$475:$B$491),1),1),0,1,1))</f>
        <v>0</v>
      </c>
      <c r="Z1065" s="79"/>
    </row>
    <row r="1066" spans="1:26" x14ac:dyDescent="0.25">
      <c r="A1066" s="4">
        <v>1065</v>
      </c>
      <c r="B1066" s="5" t="s">
        <v>1067</v>
      </c>
      <c r="C1066" s="7">
        <v>0</v>
      </c>
      <c r="D1066" s="7">
        <v>0</v>
      </c>
      <c r="E1066" s="7">
        <v>0</v>
      </c>
      <c r="F1066" s="7">
        <v>0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  <c r="Q1066" s="7">
        <v>0</v>
      </c>
      <c r="R1066" s="7">
        <v>73</v>
      </c>
      <c r="S1066" s="7">
        <v>60</v>
      </c>
      <c r="T1066" s="7">
        <v>60</v>
      </c>
      <c r="U1066" s="7">
        <v>60</v>
      </c>
      <c r="V1066" s="7">
        <v>40</v>
      </c>
      <c r="W1066" s="138">
        <v>281055.47847860679</v>
      </c>
      <c r="X1066">
        <f ca="1">IF(V1066=0,0,OFFSET(CreditMetrics!$B$474,MATCH(RAND(),OFFSET(CreditMetrics!$C$474,1,MATCH(BDClientes!V1066,CreditMetrics!$B$475:$B$491,0),COUNT(CreditMetrics!$B$475:$B$491),1),1),0,1,1))</f>
        <v>40</v>
      </c>
      <c r="Z1066" s="79"/>
    </row>
    <row r="1067" spans="1:26" x14ac:dyDescent="0.25">
      <c r="A1067" s="4">
        <v>1066</v>
      </c>
      <c r="B1067" s="5" t="s">
        <v>1068</v>
      </c>
      <c r="C1067" s="7">
        <v>0</v>
      </c>
      <c r="D1067" s="7">
        <v>0</v>
      </c>
      <c r="E1067" s="7">
        <v>65</v>
      </c>
      <c r="F1067" s="7">
        <v>65</v>
      </c>
      <c r="G1067" s="7">
        <v>65</v>
      </c>
      <c r="H1067" s="7">
        <v>70</v>
      </c>
      <c r="I1067" s="7">
        <v>70</v>
      </c>
      <c r="J1067" s="7">
        <v>70</v>
      </c>
      <c r="K1067" s="7">
        <v>70</v>
      </c>
      <c r="L1067" s="7">
        <v>65</v>
      </c>
      <c r="M1067" s="7">
        <v>40</v>
      </c>
      <c r="N1067" s="7">
        <v>22</v>
      </c>
      <c r="O1067" s="7">
        <v>22</v>
      </c>
      <c r="P1067" s="7">
        <v>22</v>
      </c>
      <c r="Q1067" s="7">
        <v>22</v>
      </c>
      <c r="R1067" s="7">
        <v>22</v>
      </c>
      <c r="S1067" s="7">
        <v>22</v>
      </c>
      <c r="T1067" s="7">
        <v>22</v>
      </c>
      <c r="U1067" s="7">
        <v>22</v>
      </c>
      <c r="V1067" s="7">
        <v>22</v>
      </c>
      <c r="W1067" s="138">
        <v>124088.22417520013</v>
      </c>
      <c r="X1067">
        <f ca="1">IF(V1067=0,0,OFFSET(CreditMetrics!$B$474,MATCH(RAND(),OFFSET(CreditMetrics!$C$474,1,MATCH(BDClientes!V1067,CreditMetrics!$B$475:$B$491,0),COUNT(CreditMetrics!$B$475:$B$491),1),1),0,1,1))</f>
        <v>22</v>
      </c>
      <c r="Z1067" s="79"/>
    </row>
    <row r="1068" spans="1:26" x14ac:dyDescent="0.25">
      <c r="A1068" s="4">
        <v>1067</v>
      </c>
      <c r="B1068" s="5" t="s">
        <v>1069</v>
      </c>
      <c r="C1068" s="7">
        <v>0</v>
      </c>
      <c r="D1068" s="7">
        <v>0</v>
      </c>
      <c r="E1068" s="7">
        <v>0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 s="7">
        <v>0</v>
      </c>
      <c r="M1068" s="7">
        <v>0</v>
      </c>
      <c r="N1068" s="7">
        <v>0</v>
      </c>
      <c r="O1068" s="7">
        <v>65</v>
      </c>
      <c r="P1068" s="7">
        <v>22</v>
      </c>
      <c r="Q1068" s="7">
        <v>22</v>
      </c>
      <c r="R1068" s="7">
        <v>22</v>
      </c>
      <c r="S1068" s="7">
        <v>22</v>
      </c>
      <c r="T1068" s="7">
        <v>22</v>
      </c>
      <c r="U1068" s="7">
        <v>22</v>
      </c>
      <c r="V1068" s="7">
        <v>22</v>
      </c>
      <c r="W1068" s="138">
        <v>155535.40704068498</v>
      </c>
      <c r="X1068">
        <f ca="1">IF(V1068=0,0,OFFSET(CreditMetrics!$B$474,MATCH(RAND(),OFFSET(CreditMetrics!$C$474,1,MATCH(BDClientes!V1068,CreditMetrics!$B$475:$B$491,0),COUNT(CreditMetrics!$B$475:$B$491),1),1),0,1,1))</f>
        <v>22</v>
      </c>
      <c r="Z1068" s="79"/>
    </row>
    <row r="1069" spans="1:26" x14ac:dyDescent="0.25">
      <c r="A1069" s="4">
        <v>1068</v>
      </c>
      <c r="B1069" s="5" t="s">
        <v>1070</v>
      </c>
      <c r="C1069" s="7">
        <v>0</v>
      </c>
      <c r="D1069" s="7">
        <v>0</v>
      </c>
      <c r="E1069" s="7">
        <v>0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7">
        <v>0</v>
      </c>
      <c r="M1069" s="7">
        <v>0</v>
      </c>
      <c r="N1069" s="7">
        <v>0</v>
      </c>
      <c r="O1069" s="7">
        <v>0</v>
      </c>
      <c r="P1069" s="7">
        <v>0</v>
      </c>
      <c r="Q1069" s="7">
        <v>40</v>
      </c>
      <c r="R1069" s="7">
        <v>77</v>
      </c>
      <c r="S1069" s="7">
        <v>77</v>
      </c>
      <c r="T1069" s="7">
        <v>73</v>
      </c>
      <c r="U1069" s="7">
        <v>73</v>
      </c>
      <c r="V1069" s="7">
        <v>22</v>
      </c>
      <c r="W1069" s="138">
        <v>284476.4748803351</v>
      </c>
      <c r="X1069">
        <f ca="1">IF(V1069=0,0,OFFSET(CreditMetrics!$B$474,MATCH(RAND(),OFFSET(CreditMetrics!$C$474,1,MATCH(BDClientes!V1069,CreditMetrics!$B$475:$B$491,0),COUNT(CreditMetrics!$B$475:$B$491),1),1),0,1,1))</f>
        <v>22</v>
      </c>
      <c r="Z1069" s="79"/>
    </row>
    <row r="1070" spans="1:26" x14ac:dyDescent="0.25">
      <c r="A1070" s="4">
        <v>1069</v>
      </c>
      <c r="B1070" s="5" t="s">
        <v>1071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7">
        <v>0</v>
      </c>
      <c r="M1070" s="7">
        <v>0</v>
      </c>
      <c r="N1070" s="7">
        <v>0</v>
      </c>
      <c r="O1070" s="7">
        <v>40</v>
      </c>
      <c r="P1070" s="7">
        <v>40</v>
      </c>
      <c r="Q1070" s="7">
        <v>60</v>
      </c>
      <c r="R1070" s="7">
        <v>60</v>
      </c>
      <c r="S1070" s="7">
        <v>60</v>
      </c>
      <c r="T1070" s="7">
        <v>0</v>
      </c>
      <c r="U1070" s="7">
        <v>0</v>
      </c>
      <c r="V1070" s="7">
        <v>0</v>
      </c>
      <c r="X1070">
        <f ca="1">IF(V1070=0,0,OFFSET(CreditMetrics!$B$474,MATCH(RAND(),OFFSET(CreditMetrics!$C$474,1,MATCH(BDClientes!V1070,CreditMetrics!$B$475:$B$491,0),COUNT(CreditMetrics!$B$475:$B$491),1),1),0,1,1))</f>
        <v>0</v>
      </c>
      <c r="Z1070" s="79"/>
    </row>
    <row r="1071" spans="1:26" x14ac:dyDescent="0.25">
      <c r="A1071" s="4">
        <v>1070</v>
      </c>
      <c r="B1071" s="5" t="s">
        <v>1072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 s="7">
        <v>0</v>
      </c>
      <c r="I1071" s="7">
        <v>0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0</v>
      </c>
      <c r="P1071" s="7">
        <v>0</v>
      </c>
      <c r="Q1071" s="7">
        <v>0</v>
      </c>
      <c r="R1071" s="7">
        <v>0</v>
      </c>
      <c r="S1071" s="7">
        <v>0</v>
      </c>
      <c r="T1071" s="7">
        <v>0</v>
      </c>
      <c r="U1071" s="7">
        <v>60</v>
      </c>
      <c r="V1071" s="7">
        <v>65</v>
      </c>
      <c r="W1071" s="138">
        <v>310659.118239036</v>
      </c>
      <c r="X1071">
        <f ca="1">IF(V1071=0,0,OFFSET(CreditMetrics!$B$474,MATCH(RAND(),OFFSET(CreditMetrics!$C$474,1,MATCH(BDClientes!V1071,CreditMetrics!$B$475:$B$491,0),COUNT(CreditMetrics!$B$475:$B$491),1),1),0,1,1))</f>
        <v>65</v>
      </c>
      <c r="Z1071" s="79"/>
    </row>
    <row r="1072" spans="1:26" x14ac:dyDescent="0.25">
      <c r="A1072" s="4">
        <v>1071</v>
      </c>
      <c r="B1072" s="5" t="s">
        <v>1073</v>
      </c>
      <c r="C1072" s="7">
        <v>0</v>
      </c>
      <c r="D1072" s="7">
        <v>0</v>
      </c>
      <c r="E1072" s="7">
        <v>0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40</v>
      </c>
      <c r="L1072" s="7">
        <v>60</v>
      </c>
      <c r="M1072" s="7">
        <v>65</v>
      </c>
      <c r="N1072" s="7">
        <v>65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0</v>
      </c>
      <c r="X1072">
        <f ca="1">IF(V1072=0,0,OFFSET(CreditMetrics!$B$474,MATCH(RAND(),OFFSET(CreditMetrics!$C$474,1,MATCH(BDClientes!V1072,CreditMetrics!$B$475:$B$491,0),COUNT(CreditMetrics!$B$475:$B$491),1),1),0,1,1))</f>
        <v>0</v>
      </c>
      <c r="Z1072" s="79"/>
    </row>
    <row r="1073" spans="1:26" x14ac:dyDescent="0.25">
      <c r="A1073" s="4">
        <v>1072</v>
      </c>
      <c r="B1073" s="5" t="s">
        <v>1074</v>
      </c>
      <c r="C1073" s="7">
        <v>0</v>
      </c>
      <c r="D1073" s="7">
        <v>0</v>
      </c>
      <c r="E1073" s="7">
        <v>0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7">
        <v>0</v>
      </c>
      <c r="M1073" s="7">
        <v>0</v>
      </c>
      <c r="N1073" s="7">
        <v>0</v>
      </c>
      <c r="O1073" s="7">
        <v>0</v>
      </c>
      <c r="P1073" s="7">
        <v>0</v>
      </c>
      <c r="Q1073" s="7">
        <v>0</v>
      </c>
      <c r="R1073" s="7">
        <v>0</v>
      </c>
      <c r="S1073" s="7">
        <v>0</v>
      </c>
      <c r="T1073" s="7">
        <v>0</v>
      </c>
      <c r="U1073" s="7">
        <v>0</v>
      </c>
      <c r="V1073" s="7">
        <v>0</v>
      </c>
      <c r="X1073">
        <f ca="1">IF(V1073=0,0,OFFSET(CreditMetrics!$B$474,MATCH(RAND(),OFFSET(CreditMetrics!$C$474,1,MATCH(BDClientes!V1073,CreditMetrics!$B$475:$B$491,0),COUNT(CreditMetrics!$B$475:$B$491),1),1),0,1,1))</f>
        <v>0</v>
      </c>
      <c r="Z1073" s="79"/>
    </row>
    <row r="1074" spans="1:26" x14ac:dyDescent="0.25">
      <c r="A1074" s="4">
        <v>1073</v>
      </c>
      <c r="B1074" s="5" t="s">
        <v>1075</v>
      </c>
      <c r="C1074" s="7">
        <v>0</v>
      </c>
      <c r="D1074" s="7">
        <v>0</v>
      </c>
      <c r="E1074" s="7">
        <v>0</v>
      </c>
      <c r="F1074" s="7">
        <v>0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 s="7">
        <v>0</v>
      </c>
      <c r="U1074" s="7">
        <v>0</v>
      </c>
      <c r="V1074" s="7">
        <v>0</v>
      </c>
      <c r="X1074">
        <f ca="1">IF(V1074=0,0,OFFSET(CreditMetrics!$B$474,MATCH(RAND(),OFFSET(CreditMetrics!$C$474,1,MATCH(BDClientes!V1074,CreditMetrics!$B$475:$B$491,0),COUNT(CreditMetrics!$B$475:$B$491),1),1),0,1,1))</f>
        <v>0</v>
      </c>
      <c r="Z1074" s="79"/>
    </row>
    <row r="1075" spans="1:26" x14ac:dyDescent="0.25">
      <c r="A1075" s="4">
        <v>1074</v>
      </c>
      <c r="B1075" s="5" t="s">
        <v>1076</v>
      </c>
      <c r="C1075" s="7">
        <v>0</v>
      </c>
      <c r="D1075" s="7">
        <v>0</v>
      </c>
      <c r="E1075" s="7">
        <v>0</v>
      </c>
      <c r="F1075" s="7">
        <v>0</v>
      </c>
      <c r="G1075" s="7">
        <v>0</v>
      </c>
      <c r="H1075" s="7">
        <v>0</v>
      </c>
      <c r="I1075" s="7">
        <v>0</v>
      </c>
      <c r="J1075" s="7">
        <v>0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 s="7">
        <v>0</v>
      </c>
      <c r="U1075" s="7">
        <v>0</v>
      </c>
      <c r="V1075" s="7">
        <v>0</v>
      </c>
      <c r="X1075">
        <f ca="1">IF(V1075=0,0,OFFSET(CreditMetrics!$B$474,MATCH(RAND(),OFFSET(CreditMetrics!$C$474,1,MATCH(BDClientes!V1075,CreditMetrics!$B$475:$B$491,0),COUNT(CreditMetrics!$B$475:$B$491),1),1),0,1,1))</f>
        <v>0</v>
      </c>
      <c r="Z1075" s="79"/>
    </row>
    <row r="1076" spans="1:26" x14ac:dyDescent="0.25">
      <c r="A1076" s="4">
        <v>1075</v>
      </c>
      <c r="B1076" s="5" t="s">
        <v>1077</v>
      </c>
      <c r="C1076" s="7">
        <v>0</v>
      </c>
      <c r="D1076" s="7">
        <v>0</v>
      </c>
      <c r="E1076" s="7">
        <v>0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 s="7">
        <v>0</v>
      </c>
      <c r="U1076" s="7">
        <v>0</v>
      </c>
      <c r="V1076" s="7">
        <v>0</v>
      </c>
      <c r="X1076">
        <f ca="1">IF(V1076=0,0,OFFSET(CreditMetrics!$B$474,MATCH(RAND(),OFFSET(CreditMetrics!$C$474,1,MATCH(BDClientes!V1076,CreditMetrics!$B$475:$B$491,0),COUNT(CreditMetrics!$B$475:$B$491),1),1),0,1,1))</f>
        <v>0</v>
      </c>
      <c r="Z1076" s="79"/>
    </row>
    <row r="1077" spans="1:26" x14ac:dyDescent="0.25">
      <c r="A1077" s="4">
        <v>1076</v>
      </c>
      <c r="B1077" s="5" t="s">
        <v>1078</v>
      </c>
      <c r="C1077" s="7">
        <v>0</v>
      </c>
      <c r="D1077" s="7">
        <v>0</v>
      </c>
      <c r="E1077" s="7">
        <v>0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7">
        <v>0</v>
      </c>
      <c r="M1077" s="7">
        <v>0</v>
      </c>
      <c r="N1077" s="7">
        <v>0</v>
      </c>
      <c r="O1077" s="7">
        <v>0</v>
      </c>
      <c r="P1077" s="7">
        <v>0</v>
      </c>
      <c r="Q1077" s="7">
        <v>0</v>
      </c>
      <c r="R1077" s="7">
        <v>0</v>
      </c>
      <c r="S1077" s="7">
        <v>0</v>
      </c>
      <c r="T1077" s="7">
        <v>0</v>
      </c>
      <c r="U1077" s="7">
        <v>0</v>
      </c>
      <c r="V1077" s="7">
        <v>0</v>
      </c>
      <c r="X1077">
        <f ca="1">IF(V1077=0,0,OFFSET(CreditMetrics!$B$474,MATCH(RAND(),OFFSET(CreditMetrics!$C$474,1,MATCH(BDClientes!V1077,CreditMetrics!$B$475:$B$491,0),COUNT(CreditMetrics!$B$475:$B$491),1),1),0,1,1))</f>
        <v>0</v>
      </c>
      <c r="Z1077" s="79"/>
    </row>
    <row r="1078" spans="1:26" x14ac:dyDescent="0.25">
      <c r="A1078" s="4">
        <v>1077</v>
      </c>
      <c r="B1078" s="5" t="s">
        <v>1079</v>
      </c>
      <c r="C1078" s="11">
        <v>0</v>
      </c>
      <c r="D1078" s="11">
        <v>0</v>
      </c>
      <c r="E1078" s="11">
        <v>0</v>
      </c>
      <c r="F1078" s="11">
        <v>0</v>
      </c>
      <c r="G1078" s="11">
        <v>0</v>
      </c>
      <c r="H1078" s="11">
        <v>0</v>
      </c>
      <c r="I1078" s="11">
        <v>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>
        <v>0</v>
      </c>
      <c r="P1078" s="11">
        <v>0</v>
      </c>
      <c r="Q1078" s="11">
        <v>0</v>
      </c>
      <c r="R1078" s="12">
        <v>0</v>
      </c>
      <c r="S1078" s="11">
        <v>0</v>
      </c>
      <c r="T1078" s="11">
        <v>0</v>
      </c>
      <c r="U1078" s="11">
        <v>0</v>
      </c>
      <c r="V1078" s="11">
        <v>0</v>
      </c>
      <c r="X1078">
        <f ca="1">IF(V1078=0,0,OFFSET(CreditMetrics!$B$474,MATCH(RAND(),OFFSET(CreditMetrics!$C$474,1,MATCH(BDClientes!V1078,CreditMetrics!$B$475:$B$491,0),COUNT(CreditMetrics!$B$475:$B$491),1),1),0,1,1))</f>
        <v>0</v>
      </c>
      <c r="Z1078" s="79"/>
    </row>
    <row r="1079" spans="1:26" x14ac:dyDescent="0.25">
      <c r="A1079" s="4">
        <v>1078</v>
      </c>
      <c r="B1079" s="5" t="s">
        <v>1080</v>
      </c>
      <c r="C1079" s="1">
        <v>0</v>
      </c>
      <c r="D1079" s="11">
        <v>0</v>
      </c>
      <c r="E1079" s="11">
        <v>0</v>
      </c>
      <c r="F1079" s="11">
        <v>0</v>
      </c>
      <c r="G1079" s="11">
        <v>0</v>
      </c>
      <c r="H1079" s="1">
        <v>0</v>
      </c>
      <c r="I1079" s="4">
        <v>0</v>
      </c>
      <c r="J1079" s="13">
        <v>0</v>
      </c>
      <c r="K1079" s="13">
        <v>0</v>
      </c>
      <c r="L1079" s="13">
        <v>0</v>
      </c>
      <c r="M1079" s="14">
        <v>0</v>
      </c>
      <c r="N1079" s="13">
        <v>0</v>
      </c>
      <c r="O1079" s="1">
        <v>0</v>
      </c>
      <c r="P1079" s="1">
        <v>0</v>
      </c>
      <c r="Q1079" s="1">
        <v>0</v>
      </c>
      <c r="R1079" s="1">
        <v>0</v>
      </c>
      <c r="S1079" s="11">
        <v>0</v>
      </c>
      <c r="T1079" s="11">
        <v>0</v>
      </c>
      <c r="U1079" s="11">
        <v>0</v>
      </c>
      <c r="V1079" s="11">
        <v>0</v>
      </c>
      <c r="X1079">
        <f ca="1">IF(V1079=0,0,OFFSET(CreditMetrics!$B$474,MATCH(RAND(),OFFSET(CreditMetrics!$C$474,1,MATCH(BDClientes!V1079,CreditMetrics!$B$475:$B$491,0),COUNT(CreditMetrics!$B$475:$B$491),1),1),0,1,1))</f>
        <v>0</v>
      </c>
      <c r="Z1079" s="79"/>
    </row>
    <row r="1080" spans="1:26" x14ac:dyDescent="0.25">
      <c r="A1080" s="4">
        <v>1079</v>
      </c>
      <c r="B1080" s="5" t="s">
        <v>1081</v>
      </c>
      <c r="C1080" s="1">
        <v>0</v>
      </c>
      <c r="D1080" s="11">
        <v>0</v>
      </c>
      <c r="E1080" s="11">
        <v>0</v>
      </c>
      <c r="F1080" s="11">
        <v>0</v>
      </c>
      <c r="G1080" s="11">
        <v>0</v>
      </c>
      <c r="H1080" s="1">
        <v>0</v>
      </c>
      <c r="I1080" s="4">
        <v>0</v>
      </c>
      <c r="J1080" s="13">
        <v>0</v>
      </c>
      <c r="K1080" s="13">
        <v>0</v>
      </c>
      <c r="L1080" s="13">
        <v>0</v>
      </c>
      <c r="M1080" s="14">
        <v>0</v>
      </c>
      <c r="N1080" s="13">
        <v>0</v>
      </c>
      <c r="O1080" s="1">
        <v>0</v>
      </c>
      <c r="P1080" s="1">
        <v>0</v>
      </c>
      <c r="Q1080" s="1">
        <v>0</v>
      </c>
      <c r="R1080" s="1">
        <v>0</v>
      </c>
      <c r="S1080" s="11">
        <v>0</v>
      </c>
      <c r="T1080" s="11">
        <v>0</v>
      </c>
      <c r="U1080" s="11">
        <v>0</v>
      </c>
      <c r="V1080" s="11">
        <v>0</v>
      </c>
      <c r="X1080">
        <f ca="1">IF(V1080=0,0,OFFSET(CreditMetrics!$B$474,MATCH(RAND(),OFFSET(CreditMetrics!$C$474,1,MATCH(BDClientes!V1080,CreditMetrics!$B$475:$B$491,0),COUNT(CreditMetrics!$B$475:$B$491),1),1),0,1,1))</f>
        <v>0</v>
      </c>
      <c r="Z1080" s="79"/>
    </row>
    <row r="1081" spans="1:26" x14ac:dyDescent="0.25">
      <c r="A1081" s="4">
        <v>1080</v>
      </c>
      <c r="B1081" s="5" t="s">
        <v>1082</v>
      </c>
      <c r="C1081" s="1">
        <v>0</v>
      </c>
      <c r="D1081" s="11">
        <v>0</v>
      </c>
      <c r="E1081" s="11">
        <v>0</v>
      </c>
      <c r="F1081" s="11">
        <v>0</v>
      </c>
      <c r="G1081" s="11">
        <v>0</v>
      </c>
      <c r="H1081" s="1">
        <v>0</v>
      </c>
      <c r="I1081" s="4">
        <v>0</v>
      </c>
      <c r="J1081" s="13">
        <v>0</v>
      </c>
      <c r="K1081" s="13">
        <v>0</v>
      </c>
      <c r="L1081" s="13">
        <v>0</v>
      </c>
      <c r="M1081" s="14">
        <v>0</v>
      </c>
      <c r="N1081" s="13">
        <v>0</v>
      </c>
      <c r="O1081" s="1">
        <v>0</v>
      </c>
      <c r="P1081" s="1">
        <v>0</v>
      </c>
      <c r="Q1081" s="1">
        <v>0</v>
      </c>
      <c r="R1081" s="1">
        <v>0</v>
      </c>
      <c r="S1081" s="11">
        <v>0</v>
      </c>
      <c r="T1081" s="11">
        <v>0</v>
      </c>
      <c r="U1081" s="11">
        <v>0</v>
      </c>
      <c r="V1081" s="11">
        <v>0</v>
      </c>
      <c r="X1081">
        <f ca="1">IF(V1081=0,0,OFFSET(CreditMetrics!$B$474,MATCH(RAND(),OFFSET(CreditMetrics!$C$474,1,MATCH(BDClientes!V1081,CreditMetrics!$B$475:$B$491,0),COUNT(CreditMetrics!$B$475:$B$491),1),1),0,1,1))</f>
        <v>0</v>
      </c>
      <c r="Z1081" s="79"/>
    </row>
    <row r="1082" spans="1:26" x14ac:dyDescent="0.25">
      <c r="A1082" s="4">
        <v>1081</v>
      </c>
      <c r="B1082" s="5" t="s">
        <v>1083</v>
      </c>
      <c r="C1082" s="1">
        <v>0</v>
      </c>
      <c r="D1082" s="11">
        <v>0</v>
      </c>
      <c r="E1082" s="11">
        <v>0</v>
      </c>
      <c r="F1082" s="11">
        <v>0</v>
      </c>
      <c r="G1082" s="11">
        <v>0</v>
      </c>
      <c r="H1082" s="1">
        <v>0</v>
      </c>
      <c r="I1082" s="4">
        <v>0</v>
      </c>
      <c r="J1082" s="13">
        <v>0</v>
      </c>
      <c r="K1082" s="13">
        <v>0</v>
      </c>
      <c r="L1082" s="13">
        <v>0</v>
      </c>
      <c r="M1082" s="14">
        <v>0</v>
      </c>
      <c r="N1082" s="13">
        <v>0</v>
      </c>
      <c r="O1082" s="1">
        <v>0</v>
      </c>
      <c r="P1082" s="1">
        <v>0</v>
      </c>
      <c r="Q1082" s="1">
        <v>0</v>
      </c>
      <c r="R1082" s="1">
        <v>0</v>
      </c>
      <c r="S1082" s="11">
        <v>0</v>
      </c>
      <c r="T1082" s="11">
        <v>0</v>
      </c>
      <c r="U1082" s="11">
        <v>0</v>
      </c>
      <c r="V1082" s="11">
        <v>0</v>
      </c>
      <c r="X1082">
        <f ca="1">IF(V1082=0,0,OFFSET(CreditMetrics!$B$474,MATCH(RAND(),OFFSET(CreditMetrics!$C$474,1,MATCH(BDClientes!V1082,CreditMetrics!$B$475:$B$491,0),COUNT(CreditMetrics!$B$475:$B$491),1),1),0,1,1))</f>
        <v>0</v>
      </c>
      <c r="Z1082" s="79"/>
    </row>
    <row r="1083" spans="1:26" x14ac:dyDescent="0.25">
      <c r="A1083" s="4">
        <v>1082</v>
      </c>
      <c r="B1083" s="5" t="s">
        <v>1084</v>
      </c>
      <c r="C1083" s="1">
        <v>0</v>
      </c>
      <c r="D1083" s="11">
        <v>0</v>
      </c>
      <c r="E1083" s="11">
        <v>0</v>
      </c>
      <c r="F1083" s="11">
        <v>0</v>
      </c>
      <c r="G1083" s="11">
        <v>0</v>
      </c>
      <c r="H1083" s="1">
        <v>0</v>
      </c>
      <c r="I1083" s="4">
        <v>0</v>
      </c>
      <c r="J1083" s="13">
        <v>0</v>
      </c>
      <c r="K1083" s="13">
        <v>0</v>
      </c>
      <c r="L1083" s="13">
        <v>0</v>
      </c>
      <c r="M1083" s="14">
        <v>0</v>
      </c>
      <c r="N1083" s="13">
        <v>0</v>
      </c>
      <c r="O1083" s="1">
        <v>0</v>
      </c>
      <c r="P1083" s="1">
        <v>0</v>
      </c>
      <c r="Q1083" s="1">
        <v>0</v>
      </c>
      <c r="R1083" s="1">
        <v>0</v>
      </c>
      <c r="S1083" s="11">
        <v>0</v>
      </c>
      <c r="T1083" s="11">
        <v>0</v>
      </c>
      <c r="U1083" s="11">
        <v>0</v>
      </c>
      <c r="V1083" s="11">
        <v>0</v>
      </c>
      <c r="X1083">
        <f ca="1">IF(V1083=0,0,OFFSET(CreditMetrics!$B$474,MATCH(RAND(),OFFSET(CreditMetrics!$C$474,1,MATCH(BDClientes!V1083,CreditMetrics!$B$475:$B$491,0),COUNT(CreditMetrics!$B$475:$B$491),1),1),0,1,1))</f>
        <v>0</v>
      </c>
      <c r="Z1083" s="79"/>
    </row>
    <row r="1084" spans="1:26" x14ac:dyDescent="0.25">
      <c r="A1084" s="4">
        <v>1083</v>
      </c>
      <c r="B1084" s="5" t="s">
        <v>1085</v>
      </c>
      <c r="C1084" s="11">
        <v>0</v>
      </c>
      <c r="D1084" s="11">
        <v>0</v>
      </c>
      <c r="E1084" s="11">
        <v>0</v>
      </c>
      <c r="F1084" s="11">
        <v>0</v>
      </c>
      <c r="G1084" s="11">
        <v>0</v>
      </c>
      <c r="H1084" s="11">
        <v>0</v>
      </c>
      <c r="I1084" s="11">
        <v>0</v>
      </c>
      <c r="J1084" s="11">
        <v>0</v>
      </c>
      <c r="K1084" s="11">
        <v>0</v>
      </c>
      <c r="L1084" s="11">
        <v>0</v>
      </c>
      <c r="M1084" s="11">
        <v>0</v>
      </c>
      <c r="N1084" s="11">
        <v>0</v>
      </c>
      <c r="O1084" s="11">
        <v>0</v>
      </c>
      <c r="P1084" s="11">
        <v>0</v>
      </c>
      <c r="Q1084" s="11">
        <v>0</v>
      </c>
      <c r="R1084" s="12">
        <v>0</v>
      </c>
      <c r="S1084" s="11">
        <v>0</v>
      </c>
      <c r="T1084" s="11">
        <v>0</v>
      </c>
      <c r="U1084" s="11">
        <v>0</v>
      </c>
      <c r="V1084" s="11">
        <v>0</v>
      </c>
      <c r="X1084">
        <f ca="1">IF(V1084=0,0,OFFSET(CreditMetrics!$B$474,MATCH(RAND(),OFFSET(CreditMetrics!$C$474,1,MATCH(BDClientes!V1084,CreditMetrics!$B$475:$B$491,0),COUNT(CreditMetrics!$B$475:$B$491),1),1),0,1,1))</f>
        <v>0</v>
      </c>
      <c r="Z1084" s="79"/>
    </row>
    <row r="1085" spans="1:26" x14ac:dyDescent="0.25">
      <c r="A1085" s="4">
        <v>1084</v>
      </c>
      <c r="B1085" s="5" t="s">
        <v>1086</v>
      </c>
      <c r="C1085" s="11">
        <v>0</v>
      </c>
      <c r="D1085" s="11">
        <v>0</v>
      </c>
      <c r="E1085" s="11">
        <v>0</v>
      </c>
      <c r="F1085" s="11">
        <v>0</v>
      </c>
      <c r="G1085" s="11">
        <v>0</v>
      </c>
      <c r="H1085" s="11">
        <v>0</v>
      </c>
      <c r="I1085" s="11">
        <v>0</v>
      </c>
      <c r="J1085" s="11">
        <v>0</v>
      </c>
      <c r="K1085" s="11">
        <v>0</v>
      </c>
      <c r="L1085" s="11">
        <v>0</v>
      </c>
      <c r="M1085" s="11">
        <v>0</v>
      </c>
      <c r="N1085" s="11">
        <v>0</v>
      </c>
      <c r="O1085" s="11">
        <v>0</v>
      </c>
      <c r="P1085" s="11">
        <v>0</v>
      </c>
      <c r="Q1085" s="11">
        <v>0</v>
      </c>
      <c r="R1085" s="12">
        <v>0</v>
      </c>
      <c r="S1085" s="11">
        <v>0</v>
      </c>
      <c r="T1085" s="11">
        <v>0</v>
      </c>
      <c r="U1085" s="11">
        <v>0</v>
      </c>
      <c r="V1085" s="11">
        <v>0</v>
      </c>
      <c r="X1085">
        <f ca="1">IF(V1085=0,0,OFFSET(CreditMetrics!$B$474,MATCH(RAND(),OFFSET(CreditMetrics!$C$474,1,MATCH(BDClientes!V1085,CreditMetrics!$B$475:$B$491,0),COUNT(CreditMetrics!$B$475:$B$491),1),1),0,1,1))</f>
        <v>0</v>
      </c>
      <c r="Z1085" s="79"/>
    </row>
    <row r="1086" spans="1:26" x14ac:dyDescent="0.25">
      <c r="A1086" s="4">
        <v>1085</v>
      </c>
      <c r="B1086" s="5" t="s">
        <v>1087</v>
      </c>
      <c r="C1086" s="11">
        <v>0</v>
      </c>
      <c r="D1086" s="11">
        <v>0</v>
      </c>
      <c r="E1086" s="11">
        <v>0</v>
      </c>
      <c r="F1086" s="11">
        <v>0</v>
      </c>
      <c r="G1086" s="11">
        <v>0</v>
      </c>
      <c r="H1086" s="11">
        <v>0</v>
      </c>
      <c r="I1086" s="11">
        <v>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>
        <v>0</v>
      </c>
      <c r="P1086" s="11">
        <v>0</v>
      </c>
      <c r="Q1086" s="11">
        <v>0</v>
      </c>
      <c r="R1086" s="12">
        <v>0</v>
      </c>
      <c r="S1086" s="11">
        <v>0</v>
      </c>
      <c r="T1086" s="11">
        <v>0</v>
      </c>
      <c r="U1086" s="11">
        <v>0</v>
      </c>
      <c r="V1086" s="11">
        <v>0</v>
      </c>
      <c r="X1086">
        <f ca="1">IF(V1086=0,0,OFFSET(CreditMetrics!$B$474,MATCH(RAND(),OFFSET(CreditMetrics!$C$474,1,MATCH(BDClientes!V1086,CreditMetrics!$B$475:$B$491,0),COUNT(CreditMetrics!$B$475:$B$491),1),1),0,1,1))</f>
        <v>0</v>
      </c>
      <c r="Z1086" s="79"/>
    </row>
    <row r="1087" spans="1:26" x14ac:dyDescent="0.25">
      <c r="A1087" s="4">
        <v>1086</v>
      </c>
      <c r="B1087" s="5" t="s">
        <v>1088</v>
      </c>
      <c r="C1087" s="11">
        <v>0</v>
      </c>
      <c r="D1087" s="11">
        <v>0</v>
      </c>
      <c r="E1087" s="11">
        <v>0</v>
      </c>
      <c r="F1087" s="11">
        <v>0</v>
      </c>
      <c r="G1087" s="11">
        <v>0</v>
      </c>
      <c r="H1087" s="11">
        <v>0</v>
      </c>
      <c r="I1087" s="11">
        <v>0</v>
      </c>
      <c r="J1087" s="11">
        <v>0</v>
      </c>
      <c r="K1087" s="11">
        <v>0</v>
      </c>
      <c r="L1087" s="11">
        <v>0</v>
      </c>
      <c r="M1087" s="11">
        <v>0</v>
      </c>
      <c r="N1087" s="11">
        <v>0</v>
      </c>
      <c r="O1087" s="11">
        <v>0</v>
      </c>
      <c r="P1087" s="11">
        <v>0</v>
      </c>
      <c r="Q1087" s="11">
        <v>0</v>
      </c>
      <c r="R1087" s="12">
        <v>0</v>
      </c>
      <c r="S1087" s="11">
        <v>0</v>
      </c>
      <c r="T1087" s="11">
        <v>0</v>
      </c>
      <c r="U1087" s="11">
        <v>0</v>
      </c>
      <c r="V1087" s="11">
        <v>0</v>
      </c>
      <c r="X1087">
        <f ca="1">IF(V1087=0,0,OFFSET(CreditMetrics!$B$474,MATCH(RAND(),OFFSET(CreditMetrics!$C$474,1,MATCH(BDClientes!V1087,CreditMetrics!$B$475:$B$491,0),COUNT(CreditMetrics!$B$475:$B$491),1),1),0,1,1))</f>
        <v>0</v>
      </c>
      <c r="Z1087" s="79"/>
    </row>
    <row r="1088" spans="1:26" x14ac:dyDescent="0.25">
      <c r="A1088" s="4">
        <v>1087</v>
      </c>
      <c r="B1088" s="5" t="s">
        <v>1089</v>
      </c>
      <c r="C1088" s="11">
        <v>0</v>
      </c>
      <c r="D1088" s="11">
        <v>0</v>
      </c>
      <c r="E1088" s="11">
        <v>0</v>
      </c>
      <c r="F1088" s="11">
        <v>0</v>
      </c>
      <c r="G1088" s="11">
        <v>0</v>
      </c>
      <c r="H1088" s="11">
        <v>0</v>
      </c>
      <c r="I1088" s="11">
        <v>0</v>
      </c>
      <c r="J1088" s="11">
        <v>0</v>
      </c>
      <c r="K1088" s="11">
        <v>0</v>
      </c>
      <c r="L1088" s="11">
        <v>0</v>
      </c>
      <c r="M1088" s="11">
        <v>0</v>
      </c>
      <c r="N1088" s="11">
        <v>0</v>
      </c>
      <c r="O1088" s="11">
        <v>0</v>
      </c>
      <c r="P1088" s="11">
        <v>0</v>
      </c>
      <c r="Q1088" s="11">
        <v>0</v>
      </c>
      <c r="R1088" s="12">
        <v>0</v>
      </c>
      <c r="S1088" s="11">
        <v>0</v>
      </c>
      <c r="T1088" s="11">
        <v>0</v>
      </c>
      <c r="U1088" s="11">
        <v>0</v>
      </c>
      <c r="V1088" s="11">
        <v>0</v>
      </c>
      <c r="X1088">
        <f ca="1">IF(V1088=0,0,OFFSET(CreditMetrics!$B$474,MATCH(RAND(),OFFSET(CreditMetrics!$C$474,1,MATCH(BDClientes!V1088,CreditMetrics!$B$475:$B$491,0),COUNT(CreditMetrics!$B$475:$B$491),1),1),0,1,1))</f>
        <v>0</v>
      </c>
      <c r="Z1088" s="79"/>
    </row>
    <row r="1089" spans="1:26" x14ac:dyDescent="0.25">
      <c r="A1089" s="4">
        <v>1088</v>
      </c>
      <c r="B1089" s="5" t="s">
        <v>1090</v>
      </c>
      <c r="C1089" s="11">
        <v>0</v>
      </c>
      <c r="D1089" s="11">
        <v>0</v>
      </c>
      <c r="E1089" s="11">
        <v>0</v>
      </c>
      <c r="F1089" s="11">
        <v>0</v>
      </c>
      <c r="G1089" s="11">
        <v>0</v>
      </c>
      <c r="H1089" s="11">
        <v>0</v>
      </c>
      <c r="I1089" s="11">
        <v>0</v>
      </c>
      <c r="J1089" s="11">
        <v>0</v>
      </c>
      <c r="K1089" s="11">
        <v>0</v>
      </c>
      <c r="L1089" s="11">
        <v>0</v>
      </c>
      <c r="M1089" s="11">
        <v>0</v>
      </c>
      <c r="N1089" s="11">
        <v>0</v>
      </c>
      <c r="O1089" s="11">
        <v>0</v>
      </c>
      <c r="P1089" s="11">
        <v>0</v>
      </c>
      <c r="Q1089" s="11">
        <v>0</v>
      </c>
      <c r="R1089" s="12">
        <v>0</v>
      </c>
      <c r="S1089" s="11">
        <v>0</v>
      </c>
      <c r="T1089" s="11">
        <v>0</v>
      </c>
      <c r="U1089" s="11">
        <v>0</v>
      </c>
      <c r="V1089" s="11">
        <v>0</v>
      </c>
      <c r="X1089">
        <f ca="1">IF(V1089=0,0,OFFSET(CreditMetrics!$B$474,MATCH(RAND(),OFFSET(CreditMetrics!$C$474,1,MATCH(BDClientes!V1089,CreditMetrics!$B$475:$B$491,0),COUNT(CreditMetrics!$B$475:$B$491),1),1),0,1,1))</f>
        <v>0</v>
      </c>
      <c r="Z1089" s="79"/>
    </row>
    <row r="1090" spans="1:26" x14ac:dyDescent="0.25">
      <c r="A1090" s="4">
        <v>1089</v>
      </c>
      <c r="B1090" s="5" t="s">
        <v>1091</v>
      </c>
      <c r="C1090" s="11">
        <v>0</v>
      </c>
      <c r="D1090" s="11">
        <v>0</v>
      </c>
      <c r="E1090" s="11">
        <v>0</v>
      </c>
      <c r="F1090" s="11">
        <v>0</v>
      </c>
      <c r="G1090" s="11">
        <v>0</v>
      </c>
      <c r="H1090" s="11">
        <v>0</v>
      </c>
      <c r="I1090" s="11">
        <v>0</v>
      </c>
      <c r="J1090" s="11">
        <v>0</v>
      </c>
      <c r="K1090" s="11">
        <v>0</v>
      </c>
      <c r="L1090" s="11">
        <v>0</v>
      </c>
      <c r="M1090" s="11">
        <v>0</v>
      </c>
      <c r="N1090" s="11">
        <v>0</v>
      </c>
      <c r="O1090" s="11">
        <v>0</v>
      </c>
      <c r="P1090" s="11">
        <v>0</v>
      </c>
      <c r="Q1090" s="11">
        <v>0</v>
      </c>
      <c r="R1090" s="12">
        <v>0</v>
      </c>
      <c r="S1090" s="11">
        <v>0</v>
      </c>
      <c r="T1090" s="11">
        <v>0</v>
      </c>
      <c r="U1090" s="11">
        <v>0</v>
      </c>
      <c r="V1090" s="11">
        <v>0</v>
      </c>
      <c r="X1090">
        <f ca="1">IF(V1090=0,0,OFFSET(CreditMetrics!$B$474,MATCH(RAND(),OFFSET(CreditMetrics!$C$474,1,MATCH(BDClientes!V1090,CreditMetrics!$B$475:$B$491,0),COUNT(CreditMetrics!$B$475:$B$491),1),1),0,1,1))</f>
        <v>0</v>
      </c>
      <c r="Z1090" s="79"/>
    </row>
    <row r="1091" spans="1:26" x14ac:dyDescent="0.25">
      <c r="A1091" s="4">
        <v>1090</v>
      </c>
      <c r="B1091" s="5" t="s">
        <v>1092</v>
      </c>
      <c r="C1091" s="11">
        <v>0</v>
      </c>
      <c r="D1091" s="11">
        <v>0</v>
      </c>
      <c r="E1091" s="11">
        <v>0</v>
      </c>
      <c r="F1091" s="11">
        <v>0</v>
      </c>
      <c r="G1091" s="11">
        <v>0</v>
      </c>
      <c r="H1091" s="11">
        <v>0</v>
      </c>
      <c r="I1091" s="11">
        <v>0</v>
      </c>
      <c r="J1091" s="11">
        <v>0</v>
      </c>
      <c r="K1091" s="11">
        <v>0</v>
      </c>
      <c r="L1091" s="11">
        <v>0</v>
      </c>
      <c r="M1091" s="11">
        <v>0</v>
      </c>
      <c r="N1091" s="11">
        <v>0</v>
      </c>
      <c r="O1091" s="11">
        <v>0</v>
      </c>
      <c r="P1091" s="11">
        <v>0</v>
      </c>
      <c r="Q1091" s="11">
        <v>0</v>
      </c>
      <c r="R1091" s="12">
        <v>0</v>
      </c>
      <c r="S1091" s="11">
        <v>0</v>
      </c>
      <c r="T1091" s="11">
        <v>0</v>
      </c>
      <c r="U1091" s="11">
        <v>0</v>
      </c>
      <c r="V1091" s="11">
        <v>0</v>
      </c>
      <c r="X1091">
        <f ca="1">IF(V1091=0,0,OFFSET(CreditMetrics!$B$474,MATCH(RAND(),OFFSET(CreditMetrics!$C$474,1,MATCH(BDClientes!V1091,CreditMetrics!$B$475:$B$491,0),COUNT(CreditMetrics!$B$475:$B$491),1),1),0,1,1))</f>
        <v>0</v>
      </c>
      <c r="Z1091" s="79"/>
    </row>
    <row r="1092" spans="1:26" x14ac:dyDescent="0.25">
      <c r="A1092" s="4">
        <v>1091</v>
      </c>
      <c r="B1092" s="5" t="s">
        <v>1093</v>
      </c>
      <c r="C1092" s="11">
        <v>0</v>
      </c>
      <c r="D1092" s="11">
        <v>0</v>
      </c>
      <c r="E1092" s="11">
        <v>0</v>
      </c>
      <c r="F1092" s="11">
        <v>0</v>
      </c>
      <c r="G1092" s="11">
        <v>0</v>
      </c>
      <c r="H1092" s="11">
        <v>0</v>
      </c>
      <c r="I1092" s="11">
        <v>0</v>
      </c>
      <c r="J1092" s="11">
        <v>0</v>
      </c>
      <c r="K1092" s="11">
        <v>0</v>
      </c>
      <c r="L1092" s="11">
        <v>0</v>
      </c>
      <c r="M1092" s="11">
        <v>0</v>
      </c>
      <c r="N1092" s="11">
        <v>0</v>
      </c>
      <c r="O1092" s="11">
        <v>0</v>
      </c>
      <c r="P1092" s="11">
        <v>0</v>
      </c>
      <c r="Q1092" s="11">
        <v>0</v>
      </c>
      <c r="R1092" s="12">
        <v>0</v>
      </c>
      <c r="S1092" s="11">
        <v>0</v>
      </c>
      <c r="T1092" s="11">
        <v>0</v>
      </c>
      <c r="U1092" s="11">
        <v>0</v>
      </c>
      <c r="V1092" s="11">
        <v>0</v>
      </c>
      <c r="X1092">
        <f ca="1">IF(V1092=0,0,OFFSET(CreditMetrics!$B$474,MATCH(RAND(),OFFSET(CreditMetrics!$C$474,1,MATCH(BDClientes!V1092,CreditMetrics!$B$475:$B$491,0),COUNT(CreditMetrics!$B$475:$B$491),1),1),0,1,1))</f>
        <v>0</v>
      </c>
      <c r="Z1092" s="79"/>
    </row>
    <row r="1093" spans="1:26" x14ac:dyDescent="0.25">
      <c r="A1093" s="4">
        <v>1092</v>
      </c>
      <c r="B1093" s="5" t="s">
        <v>1094</v>
      </c>
      <c r="C1093" s="11">
        <v>0</v>
      </c>
      <c r="D1093" s="11">
        <v>0</v>
      </c>
      <c r="E1093" s="11">
        <v>0</v>
      </c>
      <c r="F1093" s="11">
        <v>0</v>
      </c>
      <c r="G1093" s="11">
        <v>0</v>
      </c>
      <c r="H1093" s="11">
        <v>0</v>
      </c>
      <c r="I1093" s="11">
        <v>0</v>
      </c>
      <c r="J1093" s="11">
        <v>0</v>
      </c>
      <c r="K1093" s="11">
        <v>0</v>
      </c>
      <c r="L1093" s="11">
        <v>0</v>
      </c>
      <c r="M1093" s="11">
        <v>0</v>
      </c>
      <c r="N1093" s="11">
        <v>0</v>
      </c>
      <c r="O1093" s="11">
        <v>0</v>
      </c>
      <c r="P1093" s="11">
        <v>0</v>
      </c>
      <c r="Q1093" s="11">
        <v>0</v>
      </c>
      <c r="R1093" s="12">
        <v>0</v>
      </c>
      <c r="S1093" s="11">
        <v>0</v>
      </c>
      <c r="T1093" s="11">
        <v>0</v>
      </c>
      <c r="U1093" s="11">
        <v>0</v>
      </c>
      <c r="V1093" s="11">
        <v>0</v>
      </c>
      <c r="X1093">
        <f ca="1">IF(V1093=0,0,OFFSET(CreditMetrics!$B$474,MATCH(RAND(),OFFSET(CreditMetrics!$C$474,1,MATCH(BDClientes!V1093,CreditMetrics!$B$475:$B$491,0),COUNT(CreditMetrics!$B$475:$B$491),1),1),0,1,1))</f>
        <v>0</v>
      </c>
      <c r="Z1093" s="79"/>
    </row>
    <row r="1094" spans="1:26" x14ac:dyDescent="0.25">
      <c r="A1094" s="4">
        <v>1093</v>
      </c>
      <c r="B1094" s="5" t="s">
        <v>1095</v>
      </c>
      <c r="C1094" s="11">
        <v>0</v>
      </c>
      <c r="D1094" s="11">
        <v>0</v>
      </c>
      <c r="E1094" s="11">
        <v>0</v>
      </c>
      <c r="F1094" s="11">
        <v>0</v>
      </c>
      <c r="G1094" s="11">
        <v>0</v>
      </c>
      <c r="H1094" s="11">
        <v>0</v>
      </c>
      <c r="I1094" s="11">
        <v>0</v>
      </c>
      <c r="J1094" s="11">
        <v>0</v>
      </c>
      <c r="K1094" s="11">
        <v>0</v>
      </c>
      <c r="L1094" s="11">
        <v>0</v>
      </c>
      <c r="M1094" s="11">
        <v>0</v>
      </c>
      <c r="N1094" s="11">
        <v>0</v>
      </c>
      <c r="O1094" s="11">
        <v>0</v>
      </c>
      <c r="P1094" s="11">
        <v>0</v>
      </c>
      <c r="Q1094" s="11">
        <v>0</v>
      </c>
      <c r="R1094" s="12">
        <v>0</v>
      </c>
      <c r="S1094" s="11">
        <v>0</v>
      </c>
      <c r="T1094" s="11">
        <v>0</v>
      </c>
      <c r="U1094" s="11">
        <v>0</v>
      </c>
      <c r="V1094" s="11">
        <v>0</v>
      </c>
      <c r="X1094">
        <f ca="1">IF(V1094=0,0,OFFSET(CreditMetrics!$B$474,MATCH(RAND(),OFFSET(CreditMetrics!$C$474,1,MATCH(BDClientes!V1094,CreditMetrics!$B$475:$B$491,0),COUNT(CreditMetrics!$B$475:$B$491),1),1),0,1,1))</f>
        <v>0</v>
      </c>
      <c r="Z1094" s="79"/>
    </row>
    <row r="1095" spans="1:26" x14ac:dyDescent="0.25">
      <c r="A1095" s="4">
        <v>1094</v>
      </c>
      <c r="B1095" s="5" t="s">
        <v>1096</v>
      </c>
      <c r="C1095" s="11">
        <v>0</v>
      </c>
      <c r="D1095" s="11">
        <v>0</v>
      </c>
      <c r="E1095" s="11">
        <v>0</v>
      </c>
      <c r="F1095" s="11">
        <v>0</v>
      </c>
      <c r="G1095" s="11">
        <v>0</v>
      </c>
      <c r="H1095" s="11">
        <v>0</v>
      </c>
      <c r="I1095" s="11">
        <v>0</v>
      </c>
      <c r="J1095" s="11">
        <v>0</v>
      </c>
      <c r="K1095" s="11">
        <v>0</v>
      </c>
      <c r="L1095" s="11">
        <v>0</v>
      </c>
      <c r="M1095" s="11">
        <v>0</v>
      </c>
      <c r="N1095" s="11">
        <v>0</v>
      </c>
      <c r="O1095" s="11">
        <v>0</v>
      </c>
      <c r="P1095" s="11">
        <v>0</v>
      </c>
      <c r="Q1095" s="11">
        <v>0</v>
      </c>
      <c r="R1095" s="12">
        <v>0</v>
      </c>
      <c r="S1095" s="11">
        <v>0</v>
      </c>
      <c r="T1095" s="11">
        <v>0</v>
      </c>
      <c r="U1095" s="11">
        <v>0</v>
      </c>
      <c r="V1095" s="11">
        <v>0</v>
      </c>
      <c r="X1095">
        <f ca="1">IF(V1095=0,0,OFFSET(CreditMetrics!$B$474,MATCH(RAND(),OFFSET(CreditMetrics!$C$474,1,MATCH(BDClientes!V1095,CreditMetrics!$B$475:$B$491,0),COUNT(CreditMetrics!$B$475:$B$491),1),1),0,1,1))</f>
        <v>0</v>
      </c>
      <c r="Z1095" s="79"/>
    </row>
    <row r="1096" spans="1:26" x14ac:dyDescent="0.25">
      <c r="A1096" s="4">
        <v>1095</v>
      </c>
      <c r="B1096" s="5" t="s">
        <v>1097</v>
      </c>
      <c r="C1096" s="11">
        <v>0</v>
      </c>
      <c r="D1096" s="11">
        <v>0</v>
      </c>
      <c r="E1096" s="11">
        <v>0</v>
      </c>
      <c r="F1096" s="11">
        <v>0</v>
      </c>
      <c r="G1096" s="11">
        <v>0</v>
      </c>
      <c r="H1096" s="11">
        <v>0</v>
      </c>
      <c r="I1096" s="11">
        <v>0</v>
      </c>
      <c r="J1096" s="11">
        <v>0</v>
      </c>
      <c r="K1096" s="11">
        <v>0</v>
      </c>
      <c r="L1096" s="11">
        <v>0</v>
      </c>
      <c r="M1096" s="11">
        <v>0</v>
      </c>
      <c r="N1096" s="11">
        <v>0</v>
      </c>
      <c r="O1096" s="11">
        <v>0</v>
      </c>
      <c r="P1096" s="11">
        <v>0</v>
      </c>
      <c r="Q1096" s="11">
        <v>0</v>
      </c>
      <c r="R1096" s="12">
        <v>0</v>
      </c>
      <c r="S1096" s="11">
        <v>0</v>
      </c>
      <c r="T1096" s="11">
        <v>0</v>
      </c>
      <c r="U1096" s="11">
        <v>0</v>
      </c>
      <c r="V1096" s="11">
        <v>0</v>
      </c>
      <c r="X1096">
        <f ca="1">IF(V1096=0,0,OFFSET(CreditMetrics!$B$474,MATCH(RAND(),OFFSET(CreditMetrics!$C$474,1,MATCH(BDClientes!V1096,CreditMetrics!$B$475:$B$491,0),COUNT(CreditMetrics!$B$475:$B$491),1),1),0,1,1))</f>
        <v>0</v>
      </c>
      <c r="Z1096" s="79"/>
    </row>
    <row r="1097" spans="1:26" x14ac:dyDescent="0.25">
      <c r="A1097" s="4">
        <v>1096</v>
      </c>
      <c r="B1097" s="5" t="s">
        <v>1098</v>
      </c>
      <c r="C1097" s="11">
        <v>0</v>
      </c>
      <c r="D1097" s="11">
        <v>0</v>
      </c>
      <c r="E1097" s="11">
        <v>0</v>
      </c>
      <c r="F1097" s="11">
        <v>0</v>
      </c>
      <c r="G1097" s="11">
        <v>0</v>
      </c>
      <c r="H1097" s="11">
        <v>0</v>
      </c>
      <c r="I1097" s="11">
        <v>0</v>
      </c>
      <c r="J1097" s="11">
        <v>0</v>
      </c>
      <c r="K1097" s="11">
        <v>0</v>
      </c>
      <c r="L1097" s="11">
        <v>0</v>
      </c>
      <c r="M1097" s="11">
        <v>0</v>
      </c>
      <c r="N1097" s="11">
        <v>0</v>
      </c>
      <c r="O1097" s="11">
        <v>0</v>
      </c>
      <c r="P1097" s="11">
        <v>0</v>
      </c>
      <c r="Q1097" s="11">
        <v>0</v>
      </c>
      <c r="R1097" s="12">
        <v>0</v>
      </c>
      <c r="S1097" s="11">
        <v>0</v>
      </c>
      <c r="T1097" s="11">
        <v>0</v>
      </c>
      <c r="U1097" s="11">
        <v>0</v>
      </c>
      <c r="V1097" s="11">
        <v>0</v>
      </c>
      <c r="X1097">
        <f ca="1">IF(V1097=0,0,OFFSET(CreditMetrics!$B$474,MATCH(RAND(),OFFSET(CreditMetrics!$C$474,1,MATCH(BDClientes!V1097,CreditMetrics!$B$475:$B$491,0),COUNT(CreditMetrics!$B$475:$B$491),1),1),0,1,1))</f>
        <v>0</v>
      </c>
      <c r="Z1097" s="79"/>
    </row>
    <row r="1098" spans="1:26" x14ac:dyDescent="0.25">
      <c r="A1098" s="4">
        <v>1097</v>
      </c>
      <c r="B1098" s="5" t="s">
        <v>1099</v>
      </c>
      <c r="C1098" s="11">
        <v>0</v>
      </c>
      <c r="D1098" s="11">
        <v>0</v>
      </c>
      <c r="E1098" s="11">
        <v>0</v>
      </c>
      <c r="F1098" s="11">
        <v>0</v>
      </c>
      <c r="G1098" s="11">
        <v>0</v>
      </c>
      <c r="H1098" s="11">
        <v>0</v>
      </c>
      <c r="I1098" s="11">
        <v>0</v>
      </c>
      <c r="J1098" s="11">
        <v>0</v>
      </c>
      <c r="K1098" s="11">
        <v>0</v>
      </c>
      <c r="L1098" s="11">
        <v>0</v>
      </c>
      <c r="M1098" s="11">
        <v>0</v>
      </c>
      <c r="N1098" s="11">
        <v>0</v>
      </c>
      <c r="O1098" s="11">
        <v>0</v>
      </c>
      <c r="P1098" s="11">
        <v>0</v>
      </c>
      <c r="Q1098" s="11">
        <v>0</v>
      </c>
      <c r="R1098" s="12">
        <v>0</v>
      </c>
      <c r="S1098" s="11">
        <v>0</v>
      </c>
      <c r="T1098" s="11">
        <v>0</v>
      </c>
      <c r="U1098" s="11">
        <v>0</v>
      </c>
      <c r="V1098" s="11">
        <v>0</v>
      </c>
      <c r="X1098">
        <f ca="1">IF(V1098=0,0,OFFSET(CreditMetrics!$B$474,MATCH(RAND(),OFFSET(CreditMetrics!$C$474,1,MATCH(BDClientes!V1098,CreditMetrics!$B$475:$B$491,0),COUNT(CreditMetrics!$B$475:$B$491),1),1),0,1,1))</f>
        <v>0</v>
      </c>
      <c r="Z1098" s="79"/>
    </row>
    <row r="1099" spans="1:26" x14ac:dyDescent="0.25">
      <c r="A1099" s="4">
        <v>1098</v>
      </c>
      <c r="B1099" s="5" t="s">
        <v>1100</v>
      </c>
      <c r="C1099" s="11">
        <v>0</v>
      </c>
      <c r="D1099" s="11">
        <v>0</v>
      </c>
      <c r="E1099" s="11">
        <v>0</v>
      </c>
      <c r="F1099" s="11">
        <v>0</v>
      </c>
      <c r="G1099" s="11">
        <v>0</v>
      </c>
      <c r="H1099" s="11">
        <v>0</v>
      </c>
      <c r="I1099" s="11">
        <v>0</v>
      </c>
      <c r="J1099" s="11">
        <v>0</v>
      </c>
      <c r="K1099" s="11">
        <v>0</v>
      </c>
      <c r="L1099" s="11">
        <v>0</v>
      </c>
      <c r="M1099" s="11">
        <v>0</v>
      </c>
      <c r="N1099" s="11">
        <v>0</v>
      </c>
      <c r="O1099" s="11">
        <v>0</v>
      </c>
      <c r="P1099" s="11">
        <v>0</v>
      </c>
      <c r="Q1099" s="11">
        <v>0</v>
      </c>
      <c r="R1099" s="12">
        <v>0</v>
      </c>
      <c r="S1099" s="11">
        <v>0</v>
      </c>
      <c r="T1099" s="11">
        <v>0</v>
      </c>
      <c r="U1099" s="11">
        <v>0</v>
      </c>
      <c r="V1099" s="11">
        <v>0</v>
      </c>
      <c r="X1099">
        <f ca="1">IF(V1099=0,0,OFFSET(CreditMetrics!$B$474,MATCH(RAND(),OFFSET(CreditMetrics!$C$474,1,MATCH(BDClientes!V1099,CreditMetrics!$B$475:$B$491,0),COUNT(CreditMetrics!$B$475:$B$491),1),1),0,1,1))</f>
        <v>0</v>
      </c>
      <c r="Z1099" s="79"/>
    </row>
    <row r="1100" spans="1:26" x14ac:dyDescent="0.25">
      <c r="A1100" s="4">
        <v>1099</v>
      </c>
      <c r="B1100" s="5" t="s">
        <v>1101</v>
      </c>
      <c r="C1100" s="11">
        <v>0</v>
      </c>
      <c r="D1100" s="11">
        <v>0</v>
      </c>
      <c r="E1100" s="11">
        <v>0</v>
      </c>
      <c r="F1100" s="11">
        <v>0</v>
      </c>
      <c r="G1100" s="11">
        <v>0</v>
      </c>
      <c r="H1100" s="11">
        <v>0</v>
      </c>
      <c r="I1100" s="11">
        <v>0</v>
      </c>
      <c r="J1100" s="11">
        <v>0</v>
      </c>
      <c r="K1100" s="11">
        <v>0</v>
      </c>
      <c r="L1100" s="11">
        <v>0</v>
      </c>
      <c r="M1100" s="11">
        <v>0</v>
      </c>
      <c r="N1100" s="11">
        <v>0</v>
      </c>
      <c r="O1100" s="11">
        <v>0</v>
      </c>
      <c r="P1100" s="11">
        <v>0</v>
      </c>
      <c r="Q1100" s="11">
        <v>0</v>
      </c>
      <c r="R1100" s="12">
        <v>0</v>
      </c>
      <c r="S1100" s="11">
        <v>0</v>
      </c>
      <c r="T1100" s="11">
        <v>0</v>
      </c>
      <c r="U1100" s="11">
        <v>0</v>
      </c>
      <c r="V1100" s="11">
        <v>0</v>
      </c>
      <c r="X1100">
        <f ca="1">IF(V1100=0,0,OFFSET(CreditMetrics!$B$474,MATCH(RAND(),OFFSET(CreditMetrics!$C$474,1,MATCH(BDClientes!V1100,CreditMetrics!$B$475:$B$491,0),COUNT(CreditMetrics!$B$475:$B$491),1),1),0,1,1))</f>
        <v>0</v>
      </c>
      <c r="Z1100" s="79"/>
    </row>
    <row r="1101" spans="1:26" x14ac:dyDescent="0.25">
      <c r="A1101" s="4">
        <v>1100</v>
      </c>
      <c r="B1101" s="5" t="s">
        <v>1102</v>
      </c>
      <c r="C1101" s="11">
        <v>0</v>
      </c>
      <c r="D1101" s="11">
        <v>0</v>
      </c>
      <c r="E1101" s="11">
        <v>0</v>
      </c>
      <c r="F1101" s="11">
        <v>0</v>
      </c>
      <c r="G1101" s="11">
        <v>0</v>
      </c>
      <c r="H1101" s="11">
        <v>0</v>
      </c>
      <c r="I1101" s="11">
        <v>0</v>
      </c>
      <c r="J1101" s="11">
        <v>0</v>
      </c>
      <c r="K1101" s="11">
        <v>0</v>
      </c>
      <c r="L1101" s="11">
        <v>0</v>
      </c>
      <c r="M1101" s="11">
        <v>0</v>
      </c>
      <c r="N1101" s="11">
        <v>0</v>
      </c>
      <c r="O1101" s="11">
        <v>0</v>
      </c>
      <c r="P1101" s="11">
        <v>0</v>
      </c>
      <c r="Q1101" s="11">
        <v>0</v>
      </c>
      <c r="R1101" s="12">
        <v>0</v>
      </c>
      <c r="S1101" s="11">
        <v>0</v>
      </c>
      <c r="T1101" s="11">
        <v>0</v>
      </c>
      <c r="U1101" s="11">
        <v>0</v>
      </c>
      <c r="V1101" s="11">
        <v>0</v>
      </c>
      <c r="X1101">
        <f ca="1">IF(V1101=0,0,OFFSET(CreditMetrics!$B$474,MATCH(RAND(),OFFSET(CreditMetrics!$C$474,1,MATCH(BDClientes!V1101,CreditMetrics!$B$475:$B$491,0),COUNT(CreditMetrics!$B$475:$B$491),1),1),0,1,1))</f>
        <v>0</v>
      </c>
      <c r="Z1101" s="79"/>
    </row>
    <row r="1102" spans="1:26" x14ac:dyDescent="0.25">
      <c r="A1102" s="4">
        <v>1101</v>
      </c>
      <c r="B1102" s="5" t="s">
        <v>1103</v>
      </c>
      <c r="C1102" s="11">
        <v>0</v>
      </c>
      <c r="D1102" s="11">
        <v>0</v>
      </c>
      <c r="E1102" s="11">
        <v>0</v>
      </c>
      <c r="F1102" s="11">
        <v>0</v>
      </c>
      <c r="G1102" s="11">
        <v>0</v>
      </c>
      <c r="H1102" s="11">
        <v>0</v>
      </c>
      <c r="I1102" s="11">
        <v>0</v>
      </c>
      <c r="J1102" s="11">
        <v>0</v>
      </c>
      <c r="K1102" s="11">
        <v>0</v>
      </c>
      <c r="L1102" s="11">
        <v>0</v>
      </c>
      <c r="M1102" s="11">
        <v>0</v>
      </c>
      <c r="N1102" s="11">
        <v>0</v>
      </c>
      <c r="O1102" s="11">
        <v>0</v>
      </c>
      <c r="P1102" s="11">
        <v>0</v>
      </c>
      <c r="Q1102" s="11">
        <v>0</v>
      </c>
      <c r="R1102" s="12">
        <v>0</v>
      </c>
      <c r="S1102" s="11">
        <v>0</v>
      </c>
      <c r="T1102" s="11">
        <v>0</v>
      </c>
      <c r="U1102" s="11">
        <v>0</v>
      </c>
      <c r="V1102" s="11">
        <v>0</v>
      </c>
      <c r="X1102">
        <f ca="1">IF(V1102=0,0,OFFSET(CreditMetrics!$B$474,MATCH(RAND(),OFFSET(CreditMetrics!$C$474,1,MATCH(BDClientes!V1102,CreditMetrics!$B$475:$B$491,0),COUNT(CreditMetrics!$B$475:$B$491),1),1),0,1,1))</f>
        <v>0</v>
      </c>
      <c r="Z1102" s="79"/>
    </row>
    <row r="1103" spans="1:26" x14ac:dyDescent="0.25">
      <c r="A1103" s="4">
        <v>1102</v>
      </c>
      <c r="B1103" s="5" t="s">
        <v>1104</v>
      </c>
      <c r="C1103" s="11">
        <v>0</v>
      </c>
      <c r="D1103" s="11">
        <v>0</v>
      </c>
      <c r="E1103" s="11">
        <v>0</v>
      </c>
      <c r="F1103" s="11">
        <v>0</v>
      </c>
      <c r="G1103" s="11">
        <v>0</v>
      </c>
      <c r="H1103" s="11">
        <v>0</v>
      </c>
      <c r="I1103" s="11">
        <v>0</v>
      </c>
      <c r="J1103" s="11">
        <v>0</v>
      </c>
      <c r="K1103" s="11">
        <v>0</v>
      </c>
      <c r="L1103" s="11">
        <v>0</v>
      </c>
      <c r="M1103" s="11">
        <v>0</v>
      </c>
      <c r="N1103" s="11">
        <v>0</v>
      </c>
      <c r="O1103" s="11">
        <v>0</v>
      </c>
      <c r="P1103" s="11">
        <v>0</v>
      </c>
      <c r="Q1103" s="11">
        <v>0</v>
      </c>
      <c r="R1103" s="12">
        <v>0</v>
      </c>
      <c r="S1103" s="11">
        <v>0</v>
      </c>
      <c r="T1103" s="11">
        <v>0</v>
      </c>
      <c r="U1103" s="11">
        <v>0</v>
      </c>
      <c r="V1103" s="11">
        <v>0</v>
      </c>
      <c r="X1103">
        <f ca="1">IF(V1103=0,0,OFFSET(CreditMetrics!$B$474,MATCH(RAND(),OFFSET(CreditMetrics!$C$474,1,MATCH(BDClientes!V1103,CreditMetrics!$B$475:$B$491,0),COUNT(CreditMetrics!$B$475:$B$491),1),1),0,1,1))</f>
        <v>0</v>
      </c>
      <c r="Z1103" s="79"/>
    </row>
    <row r="1104" spans="1:26" x14ac:dyDescent="0.25">
      <c r="A1104" s="4">
        <v>1103</v>
      </c>
      <c r="B1104" s="5" t="s">
        <v>1105</v>
      </c>
      <c r="C1104" s="11">
        <v>0</v>
      </c>
      <c r="D1104" s="11">
        <v>0</v>
      </c>
      <c r="E1104" s="11">
        <v>0</v>
      </c>
      <c r="F1104" s="11">
        <v>0</v>
      </c>
      <c r="G1104" s="11">
        <v>0</v>
      </c>
      <c r="H1104" s="11">
        <v>0</v>
      </c>
      <c r="I1104" s="11">
        <v>0</v>
      </c>
      <c r="J1104" s="11">
        <v>0</v>
      </c>
      <c r="K1104" s="11">
        <v>0</v>
      </c>
      <c r="L1104" s="11">
        <v>0</v>
      </c>
      <c r="M1104" s="11">
        <v>0</v>
      </c>
      <c r="N1104" s="11">
        <v>0</v>
      </c>
      <c r="O1104" s="11">
        <v>0</v>
      </c>
      <c r="P1104" s="11">
        <v>0</v>
      </c>
      <c r="Q1104" s="11">
        <v>0</v>
      </c>
      <c r="R1104" s="12">
        <v>0</v>
      </c>
      <c r="S1104" s="11">
        <v>0</v>
      </c>
      <c r="T1104" s="11">
        <v>0</v>
      </c>
      <c r="U1104" s="11">
        <v>0</v>
      </c>
      <c r="V1104" s="11">
        <v>0</v>
      </c>
      <c r="X1104">
        <f ca="1">IF(V1104=0,0,OFFSET(CreditMetrics!$B$474,MATCH(RAND(),OFFSET(CreditMetrics!$C$474,1,MATCH(BDClientes!V1104,CreditMetrics!$B$475:$B$491,0),COUNT(CreditMetrics!$B$475:$B$491),1),1),0,1,1))</f>
        <v>0</v>
      </c>
      <c r="Z1104" s="79"/>
    </row>
    <row r="1105" spans="1:26" x14ac:dyDescent="0.25">
      <c r="A1105" s="4">
        <v>1104</v>
      </c>
      <c r="B1105" s="5" t="s">
        <v>1106</v>
      </c>
      <c r="C1105" s="11">
        <v>0</v>
      </c>
      <c r="D1105" s="11">
        <v>0</v>
      </c>
      <c r="E1105" s="11">
        <v>0</v>
      </c>
      <c r="F1105" s="11">
        <v>0</v>
      </c>
      <c r="G1105" s="11">
        <v>0</v>
      </c>
      <c r="H1105" s="11">
        <v>0</v>
      </c>
      <c r="I1105" s="11">
        <v>0</v>
      </c>
      <c r="J1105" s="11">
        <v>0</v>
      </c>
      <c r="K1105" s="11">
        <v>0</v>
      </c>
      <c r="L1105" s="11">
        <v>0</v>
      </c>
      <c r="M1105" s="11">
        <v>0</v>
      </c>
      <c r="N1105" s="11">
        <v>0</v>
      </c>
      <c r="O1105" s="11">
        <v>0</v>
      </c>
      <c r="P1105" s="11">
        <v>0</v>
      </c>
      <c r="Q1105" s="11">
        <v>0</v>
      </c>
      <c r="R1105" s="12">
        <v>0</v>
      </c>
      <c r="S1105" s="11">
        <v>0</v>
      </c>
      <c r="T1105" s="11">
        <v>0</v>
      </c>
      <c r="U1105" s="11">
        <v>0</v>
      </c>
      <c r="V1105" s="11">
        <v>0</v>
      </c>
      <c r="X1105">
        <f ca="1">IF(V1105=0,0,OFFSET(CreditMetrics!$B$474,MATCH(RAND(),OFFSET(CreditMetrics!$C$474,1,MATCH(BDClientes!V1105,CreditMetrics!$B$475:$B$491,0),COUNT(CreditMetrics!$B$475:$B$491),1),1),0,1,1))</f>
        <v>0</v>
      </c>
      <c r="Z1105" s="79"/>
    </row>
    <row r="1106" spans="1:26" x14ac:dyDescent="0.25">
      <c r="A1106" s="4">
        <v>1105</v>
      </c>
      <c r="B1106" s="5" t="s">
        <v>1107</v>
      </c>
      <c r="C1106" s="11">
        <v>0</v>
      </c>
      <c r="D1106" s="11">
        <v>0</v>
      </c>
      <c r="E1106" s="11">
        <v>0</v>
      </c>
      <c r="F1106" s="11">
        <v>0</v>
      </c>
      <c r="G1106" s="11">
        <v>0</v>
      </c>
      <c r="H1106" s="11">
        <v>0</v>
      </c>
      <c r="I1106" s="11">
        <v>0</v>
      </c>
      <c r="J1106" s="11">
        <v>0</v>
      </c>
      <c r="K1106" s="11">
        <v>0</v>
      </c>
      <c r="L1106" s="11">
        <v>0</v>
      </c>
      <c r="M1106" s="11">
        <v>0</v>
      </c>
      <c r="N1106" s="11">
        <v>0</v>
      </c>
      <c r="O1106" s="11">
        <v>0</v>
      </c>
      <c r="P1106" s="11">
        <v>0</v>
      </c>
      <c r="Q1106" s="11">
        <v>0</v>
      </c>
      <c r="R1106" s="12">
        <v>0</v>
      </c>
      <c r="S1106" s="11">
        <v>0</v>
      </c>
      <c r="T1106" s="11">
        <v>0</v>
      </c>
      <c r="U1106" s="11">
        <v>0</v>
      </c>
      <c r="V1106" s="11">
        <v>0</v>
      </c>
      <c r="X1106">
        <f ca="1">IF(V1106=0,0,OFFSET(CreditMetrics!$B$474,MATCH(RAND(),OFFSET(CreditMetrics!$C$474,1,MATCH(BDClientes!V1106,CreditMetrics!$B$475:$B$491,0),COUNT(CreditMetrics!$B$475:$B$491),1),1),0,1,1))</f>
        <v>0</v>
      </c>
      <c r="Z1106" s="79"/>
    </row>
    <row r="1107" spans="1:26" x14ac:dyDescent="0.25">
      <c r="A1107" s="4">
        <v>1106</v>
      </c>
      <c r="B1107" s="5" t="s">
        <v>1108</v>
      </c>
      <c r="C1107" s="11">
        <v>0</v>
      </c>
      <c r="D1107" s="11">
        <v>0</v>
      </c>
      <c r="E1107" s="11">
        <v>0</v>
      </c>
      <c r="F1107" s="11">
        <v>0</v>
      </c>
      <c r="G1107" s="11">
        <v>0</v>
      </c>
      <c r="H1107" s="11">
        <v>0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0</v>
      </c>
      <c r="Q1107" s="11">
        <v>0</v>
      </c>
      <c r="R1107" s="12">
        <v>0</v>
      </c>
      <c r="S1107" s="11">
        <v>0</v>
      </c>
      <c r="T1107" s="11">
        <v>0</v>
      </c>
      <c r="U1107" s="11">
        <v>0</v>
      </c>
      <c r="V1107" s="11">
        <v>0</v>
      </c>
      <c r="X1107">
        <f ca="1">IF(V1107=0,0,OFFSET(CreditMetrics!$B$474,MATCH(RAND(),OFFSET(CreditMetrics!$C$474,1,MATCH(BDClientes!V1107,CreditMetrics!$B$475:$B$491,0),COUNT(CreditMetrics!$B$475:$B$491),1),1),0,1,1))</f>
        <v>0</v>
      </c>
      <c r="Z1107" s="79"/>
    </row>
    <row r="1108" spans="1:26" x14ac:dyDescent="0.25">
      <c r="A1108" s="4">
        <v>1107</v>
      </c>
      <c r="B1108" s="5" t="s">
        <v>1109</v>
      </c>
      <c r="C1108" s="11">
        <v>0</v>
      </c>
      <c r="D1108" s="11">
        <v>0</v>
      </c>
      <c r="E1108" s="11">
        <v>0</v>
      </c>
      <c r="F1108" s="11">
        <v>0</v>
      </c>
      <c r="G1108" s="11">
        <v>0</v>
      </c>
      <c r="H1108" s="11">
        <v>0</v>
      </c>
      <c r="I1108" s="11">
        <v>0</v>
      </c>
      <c r="J1108" s="11">
        <v>0</v>
      </c>
      <c r="K1108" s="11">
        <v>0</v>
      </c>
      <c r="L1108" s="11">
        <v>0</v>
      </c>
      <c r="M1108" s="11">
        <v>0</v>
      </c>
      <c r="N1108" s="11">
        <v>0</v>
      </c>
      <c r="O1108" s="11">
        <v>0</v>
      </c>
      <c r="P1108" s="11">
        <v>0</v>
      </c>
      <c r="Q1108" s="11">
        <v>0</v>
      </c>
      <c r="R1108" s="12">
        <v>0</v>
      </c>
      <c r="S1108" s="11">
        <v>0</v>
      </c>
      <c r="T1108" s="11">
        <v>0</v>
      </c>
      <c r="U1108" s="11">
        <v>0</v>
      </c>
      <c r="V1108" s="11">
        <v>0</v>
      </c>
      <c r="X1108">
        <f ca="1">IF(V1108=0,0,OFFSET(CreditMetrics!$B$474,MATCH(RAND(),OFFSET(CreditMetrics!$C$474,1,MATCH(BDClientes!V1108,CreditMetrics!$B$475:$B$491,0),COUNT(CreditMetrics!$B$475:$B$491),1),1),0,1,1))</f>
        <v>0</v>
      </c>
      <c r="Z1108" s="79"/>
    </row>
    <row r="1109" spans="1:26" x14ac:dyDescent="0.25">
      <c r="A1109" s="4">
        <v>1108</v>
      </c>
      <c r="B1109" s="5" t="s">
        <v>1110</v>
      </c>
      <c r="C1109" s="11">
        <v>0</v>
      </c>
      <c r="D1109" s="11">
        <v>0</v>
      </c>
      <c r="E1109" s="11">
        <v>0</v>
      </c>
      <c r="F1109" s="11">
        <v>0</v>
      </c>
      <c r="G1109" s="11">
        <v>0</v>
      </c>
      <c r="H1109" s="11">
        <v>0</v>
      </c>
      <c r="I1109" s="11">
        <v>0</v>
      </c>
      <c r="J1109" s="11">
        <v>0</v>
      </c>
      <c r="K1109" s="11">
        <v>0</v>
      </c>
      <c r="L1109" s="11">
        <v>0</v>
      </c>
      <c r="M1109" s="11">
        <v>0</v>
      </c>
      <c r="N1109" s="11">
        <v>0</v>
      </c>
      <c r="O1109" s="11">
        <v>0</v>
      </c>
      <c r="P1109" s="11">
        <v>0</v>
      </c>
      <c r="Q1109" s="11">
        <v>0</v>
      </c>
      <c r="R1109" s="12">
        <v>0</v>
      </c>
      <c r="S1109" s="11">
        <v>0</v>
      </c>
      <c r="T1109" s="11">
        <v>0</v>
      </c>
      <c r="U1109" s="11">
        <v>0</v>
      </c>
      <c r="V1109" s="11">
        <v>0</v>
      </c>
      <c r="X1109">
        <f ca="1">IF(V1109=0,0,OFFSET(CreditMetrics!$B$474,MATCH(RAND(),OFFSET(CreditMetrics!$C$474,1,MATCH(BDClientes!V1109,CreditMetrics!$B$475:$B$491,0),COUNT(CreditMetrics!$B$475:$B$491),1),1),0,1,1))</f>
        <v>0</v>
      </c>
      <c r="Z1109" s="79"/>
    </row>
    <row r="1110" spans="1:26" x14ac:dyDescent="0.25">
      <c r="A1110" s="4">
        <v>1109</v>
      </c>
      <c r="B1110" s="5" t="s">
        <v>1111</v>
      </c>
      <c r="C1110" s="11">
        <v>0</v>
      </c>
      <c r="D1110" s="11">
        <v>0</v>
      </c>
      <c r="E1110" s="11">
        <v>0</v>
      </c>
      <c r="F1110" s="11">
        <v>0</v>
      </c>
      <c r="G1110" s="11">
        <v>0</v>
      </c>
      <c r="H1110" s="11">
        <v>0</v>
      </c>
      <c r="I1110" s="11">
        <v>0</v>
      </c>
      <c r="J1110" s="11">
        <v>0</v>
      </c>
      <c r="K1110" s="11">
        <v>0</v>
      </c>
      <c r="L1110" s="11">
        <v>0</v>
      </c>
      <c r="M1110" s="11">
        <v>0</v>
      </c>
      <c r="N1110" s="11">
        <v>0</v>
      </c>
      <c r="O1110" s="11">
        <v>0</v>
      </c>
      <c r="P1110" s="11">
        <v>0</v>
      </c>
      <c r="Q1110" s="11">
        <v>0</v>
      </c>
      <c r="R1110" s="12">
        <v>0</v>
      </c>
      <c r="S1110" s="11">
        <v>0</v>
      </c>
      <c r="T1110" s="11">
        <v>0</v>
      </c>
      <c r="U1110" s="11">
        <v>0</v>
      </c>
      <c r="V1110" s="11">
        <v>0</v>
      </c>
      <c r="X1110">
        <f ca="1">IF(V1110=0,0,OFFSET(CreditMetrics!$B$474,MATCH(RAND(),OFFSET(CreditMetrics!$C$474,1,MATCH(BDClientes!V1110,CreditMetrics!$B$475:$B$491,0),COUNT(CreditMetrics!$B$475:$B$491),1),1),0,1,1))</f>
        <v>0</v>
      </c>
      <c r="Z1110" s="79"/>
    </row>
    <row r="1111" spans="1:26" x14ac:dyDescent="0.25">
      <c r="A1111" s="4">
        <v>1110</v>
      </c>
      <c r="B1111" s="5" t="s">
        <v>1112</v>
      </c>
      <c r="C1111" s="11">
        <v>0</v>
      </c>
      <c r="D1111" s="11">
        <v>0</v>
      </c>
      <c r="E1111" s="11">
        <v>0</v>
      </c>
      <c r="F1111" s="11">
        <v>0</v>
      </c>
      <c r="G1111" s="11">
        <v>0</v>
      </c>
      <c r="H1111" s="11">
        <v>0</v>
      </c>
      <c r="I1111" s="11">
        <v>0</v>
      </c>
      <c r="J1111" s="11">
        <v>0</v>
      </c>
      <c r="K1111" s="11">
        <v>0</v>
      </c>
      <c r="L1111" s="11">
        <v>0</v>
      </c>
      <c r="M1111" s="11">
        <v>0</v>
      </c>
      <c r="N1111" s="11">
        <v>0</v>
      </c>
      <c r="O1111" s="11">
        <v>0</v>
      </c>
      <c r="P1111" s="11">
        <v>0</v>
      </c>
      <c r="Q1111" s="11">
        <v>0</v>
      </c>
      <c r="R1111" s="12">
        <v>0</v>
      </c>
      <c r="S1111" s="11">
        <v>0</v>
      </c>
      <c r="T1111" s="11">
        <v>0</v>
      </c>
      <c r="U1111" s="11">
        <v>0</v>
      </c>
      <c r="V1111" s="11">
        <v>0</v>
      </c>
      <c r="X1111">
        <f ca="1">IF(V1111=0,0,OFFSET(CreditMetrics!$B$474,MATCH(RAND(),OFFSET(CreditMetrics!$C$474,1,MATCH(BDClientes!V1111,CreditMetrics!$B$475:$B$491,0),COUNT(CreditMetrics!$B$475:$B$491),1),1),0,1,1))</f>
        <v>0</v>
      </c>
      <c r="Z1111" s="79"/>
    </row>
    <row r="1112" spans="1:26" x14ac:dyDescent="0.25">
      <c r="A1112" s="4">
        <v>1111</v>
      </c>
      <c r="B1112" s="5" t="s">
        <v>1113</v>
      </c>
      <c r="C1112" s="11">
        <v>0</v>
      </c>
      <c r="D1112" s="11">
        <v>0</v>
      </c>
      <c r="E1112" s="11">
        <v>0</v>
      </c>
      <c r="F1112" s="11">
        <v>0</v>
      </c>
      <c r="G1112" s="11">
        <v>0</v>
      </c>
      <c r="H1112" s="11">
        <v>0</v>
      </c>
      <c r="I1112" s="11">
        <v>0</v>
      </c>
      <c r="J1112" s="11">
        <v>0</v>
      </c>
      <c r="K1112" s="11">
        <v>0</v>
      </c>
      <c r="L1112" s="11">
        <v>0</v>
      </c>
      <c r="M1112" s="11">
        <v>0</v>
      </c>
      <c r="N1112" s="11">
        <v>0</v>
      </c>
      <c r="O1112" s="11">
        <v>0</v>
      </c>
      <c r="P1112" s="11">
        <v>0</v>
      </c>
      <c r="Q1112" s="11">
        <v>0</v>
      </c>
      <c r="R1112" s="12">
        <v>0</v>
      </c>
      <c r="S1112" s="11">
        <v>0</v>
      </c>
      <c r="T1112" s="11">
        <v>0</v>
      </c>
      <c r="U1112" s="11">
        <v>0</v>
      </c>
      <c r="V1112" s="11">
        <v>0</v>
      </c>
      <c r="X1112">
        <f ca="1">IF(V1112=0,0,OFFSET(CreditMetrics!$B$474,MATCH(RAND(),OFFSET(CreditMetrics!$C$474,1,MATCH(BDClientes!V1112,CreditMetrics!$B$475:$B$491,0),COUNT(CreditMetrics!$B$475:$B$491),1),1),0,1,1))</f>
        <v>0</v>
      </c>
      <c r="Z1112" s="79"/>
    </row>
    <row r="1113" spans="1:26" x14ac:dyDescent="0.25">
      <c r="A1113" s="4">
        <v>1112</v>
      </c>
      <c r="B1113" s="5" t="s">
        <v>1114</v>
      </c>
      <c r="C1113" s="11">
        <v>0</v>
      </c>
      <c r="D1113" s="11">
        <v>0</v>
      </c>
      <c r="E1113" s="11">
        <v>0</v>
      </c>
      <c r="F1113" s="11">
        <v>0</v>
      </c>
      <c r="G1113" s="11">
        <v>0</v>
      </c>
      <c r="H1113" s="11">
        <v>0</v>
      </c>
      <c r="I1113" s="11">
        <v>0</v>
      </c>
      <c r="J1113" s="11">
        <v>0</v>
      </c>
      <c r="K1113" s="11">
        <v>0</v>
      </c>
      <c r="L1113" s="11">
        <v>0</v>
      </c>
      <c r="M1113" s="11">
        <v>0</v>
      </c>
      <c r="N1113" s="11">
        <v>0</v>
      </c>
      <c r="O1113" s="11">
        <v>0</v>
      </c>
      <c r="P1113" s="11">
        <v>0</v>
      </c>
      <c r="Q1113" s="11">
        <v>0</v>
      </c>
      <c r="R1113" s="12">
        <v>0</v>
      </c>
      <c r="S1113" s="11">
        <v>0</v>
      </c>
      <c r="T1113" s="11">
        <v>0</v>
      </c>
      <c r="U1113" s="11">
        <v>0</v>
      </c>
      <c r="V1113" s="11">
        <v>0</v>
      </c>
      <c r="X1113">
        <f ca="1">IF(V1113=0,0,OFFSET(CreditMetrics!$B$474,MATCH(RAND(),OFFSET(CreditMetrics!$C$474,1,MATCH(BDClientes!V1113,CreditMetrics!$B$475:$B$491,0),COUNT(CreditMetrics!$B$475:$B$491),1),1),0,1,1))</f>
        <v>0</v>
      </c>
      <c r="Z1113" s="79"/>
    </row>
    <row r="1114" spans="1:26" x14ac:dyDescent="0.25">
      <c r="A1114" s="4">
        <v>1113</v>
      </c>
      <c r="B1114" s="5" t="s">
        <v>1115</v>
      </c>
      <c r="C1114" s="11">
        <v>0</v>
      </c>
      <c r="D1114" s="11">
        <v>0</v>
      </c>
      <c r="E1114" s="11">
        <v>0</v>
      </c>
      <c r="F1114" s="11">
        <v>0</v>
      </c>
      <c r="G1114" s="11">
        <v>0</v>
      </c>
      <c r="H1114" s="11">
        <v>0</v>
      </c>
      <c r="I1114" s="11">
        <v>0</v>
      </c>
      <c r="J1114" s="11">
        <v>0</v>
      </c>
      <c r="K1114" s="11">
        <v>0</v>
      </c>
      <c r="L1114" s="11">
        <v>0</v>
      </c>
      <c r="M1114" s="11">
        <v>0</v>
      </c>
      <c r="N1114" s="11">
        <v>0</v>
      </c>
      <c r="O1114" s="11">
        <v>0</v>
      </c>
      <c r="P1114" s="11">
        <v>0</v>
      </c>
      <c r="Q1114" s="11">
        <v>0</v>
      </c>
      <c r="R1114" s="12">
        <v>0</v>
      </c>
      <c r="S1114" s="11">
        <v>0</v>
      </c>
      <c r="T1114" s="11">
        <v>0</v>
      </c>
      <c r="U1114" s="11">
        <v>0</v>
      </c>
      <c r="V1114" s="11">
        <v>0</v>
      </c>
      <c r="X1114">
        <f ca="1">IF(V1114=0,0,OFFSET(CreditMetrics!$B$474,MATCH(RAND(),OFFSET(CreditMetrics!$C$474,1,MATCH(BDClientes!V1114,CreditMetrics!$B$475:$B$491,0),COUNT(CreditMetrics!$B$475:$B$491),1),1),0,1,1))</f>
        <v>0</v>
      </c>
      <c r="Z1114" s="79"/>
    </row>
    <row r="1115" spans="1:26" x14ac:dyDescent="0.25">
      <c r="A1115" s="4">
        <v>1114</v>
      </c>
      <c r="B1115" s="5" t="s">
        <v>1116</v>
      </c>
      <c r="C1115" s="11">
        <v>0</v>
      </c>
      <c r="D1115" s="11">
        <v>0</v>
      </c>
      <c r="E1115" s="11">
        <v>0</v>
      </c>
      <c r="F1115" s="11">
        <v>0</v>
      </c>
      <c r="G1115" s="11">
        <v>0</v>
      </c>
      <c r="H1115" s="11">
        <v>0</v>
      </c>
      <c r="I1115" s="11">
        <v>0</v>
      </c>
      <c r="J1115" s="11">
        <v>0</v>
      </c>
      <c r="K1115" s="11">
        <v>0</v>
      </c>
      <c r="L1115" s="11">
        <v>0</v>
      </c>
      <c r="M1115" s="11">
        <v>0</v>
      </c>
      <c r="N1115" s="11">
        <v>0</v>
      </c>
      <c r="O1115" s="11">
        <v>0</v>
      </c>
      <c r="P1115" s="11">
        <v>0</v>
      </c>
      <c r="Q1115" s="11">
        <v>0</v>
      </c>
      <c r="R1115" s="12">
        <v>0</v>
      </c>
      <c r="S1115" s="11">
        <v>0</v>
      </c>
      <c r="T1115" s="11">
        <v>0</v>
      </c>
      <c r="U1115" s="11">
        <v>0</v>
      </c>
      <c r="V1115" s="11">
        <v>0</v>
      </c>
      <c r="X1115">
        <f ca="1">IF(V1115=0,0,OFFSET(CreditMetrics!$B$474,MATCH(RAND(),OFFSET(CreditMetrics!$C$474,1,MATCH(BDClientes!V1115,CreditMetrics!$B$475:$B$491,0),COUNT(CreditMetrics!$B$475:$B$491),1),1),0,1,1))</f>
        <v>0</v>
      </c>
      <c r="Z1115" s="79"/>
    </row>
    <row r="1116" spans="1:26" x14ac:dyDescent="0.25">
      <c r="A1116" s="4">
        <v>1115</v>
      </c>
      <c r="B1116" s="5" t="s">
        <v>1117</v>
      </c>
      <c r="C1116" s="11">
        <v>0</v>
      </c>
      <c r="D1116" s="11">
        <v>0</v>
      </c>
      <c r="E1116" s="11">
        <v>0</v>
      </c>
      <c r="F1116" s="11">
        <v>0</v>
      </c>
      <c r="G1116" s="11">
        <v>0</v>
      </c>
      <c r="H1116" s="11">
        <v>0</v>
      </c>
      <c r="I1116" s="11">
        <v>0</v>
      </c>
      <c r="J1116" s="11">
        <v>0</v>
      </c>
      <c r="K1116" s="11">
        <v>0</v>
      </c>
      <c r="L1116" s="11">
        <v>0</v>
      </c>
      <c r="M1116" s="11">
        <v>0</v>
      </c>
      <c r="N1116" s="11">
        <v>0</v>
      </c>
      <c r="O1116" s="11">
        <v>0</v>
      </c>
      <c r="P1116" s="11">
        <v>0</v>
      </c>
      <c r="Q1116" s="11">
        <v>0</v>
      </c>
      <c r="R1116" s="12">
        <v>0</v>
      </c>
      <c r="S1116" s="11">
        <v>0</v>
      </c>
      <c r="T1116" s="11">
        <v>0</v>
      </c>
      <c r="U1116" s="11">
        <v>0</v>
      </c>
      <c r="V1116" s="11">
        <v>0</v>
      </c>
      <c r="X1116">
        <f ca="1">IF(V1116=0,0,OFFSET(CreditMetrics!$B$474,MATCH(RAND(),OFFSET(CreditMetrics!$C$474,1,MATCH(BDClientes!V1116,CreditMetrics!$B$475:$B$491,0),COUNT(CreditMetrics!$B$475:$B$491),1),1),0,1,1))</f>
        <v>0</v>
      </c>
      <c r="Z1116" s="79"/>
    </row>
    <row r="1117" spans="1:26" x14ac:dyDescent="0.25">
      <c r="A1117" s="4">
        <v>1116</v>
      </c>
      <c r="B1117" s="5" t="s">
        <v>1118</v>
      </c>
      <c r="C1117" s="11">
        <v>0</v>
      </c>
      <c r="D1117" s="11">
        <v>0</v>
      </c>
      <c r="E1117" s="11">
        <v>0</v>
      </c>
      <c r="F1117" s="11">
        <v>0</v>
      </c>
      <c r="G1117" s="11">
        <v>0</v>
      </c>
      <c r="H1117" s="11">
        <v>0</v>
      </c>
      <c r="I1117" s="11">
        <v>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>
        <v>0</v>
      </c>
      <c r="P1117" s="11">
        <v>0</v>
      </c>
      <c r="Q1117" s="11">
        <v>0</v>
      </c>
      <c r="R1117" s="12">
        <v>0</v>
      </c>
      <c r="S1117" s="11">
        <v>0</v>
      </c>
      <c r="T1117" s="11">
        <v>0</v>
      </c>
      <c r="U1117" s="11">
        <v>0</v>
      </c>
      <c r="V1117" s="11">
        <v>0</v>
      </c>
      <c r="X1117">
        <f ca="1">IF(V1117=0,0,OFFSET(CreditMetrics!$B$474,MATCH(RAND(),OFFSET(CreditMetrics!$C$474,1,MATCH(BDClientes!V1117,CreditMetrics!$B$475:$B$491,0),COUNT(CreditMetrics!$B$475:$B$491),1),1),0,1,1))</f>
        <v>0</v>
      </c>
      <c r="Z1117" s="79"/>
    </row>
    <row r="1118" spans="1:26" x14ac:dyDescent="0.25">
      <c r="A1118" s="4">
        <v>1117</v>
      </c>
      <c r="B1118" s="5" t="s">
        <v>1119</v>
      </c>
      <c r="C1118" s="11">
        <v>0</v>
      </c>
      <c r="D1118" s="11">
        <v>0</v>
      </c>
      <c r="E1118" s="11">
        <v>0</v>
      </c>
      <c r="F1118" s="11">
        <v>0</v>
      </c>
      <c r="G1118" s="11">
        <v>0</v>
      </c>
      <c r="H1118" s="11">
        <v>0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>
        <v>0</v>
      </c>
      <c r="R1118" s="12">
        <v>0</v>
      </c>
      <c r="S1118" s="11">
        <v>0</v>
      </c>
      <c r="T1118" s="11">
        <v>0</v>
      </c>
      <c r="U1118" s="11">
        <v>0</v>
      </c>
      <c r="V1118" s="11">
        <v>0</v>
      </c>
      <c r="X1118">
        <f ca="1">IF(V1118=0,0,OFFSET(CreditMetrics!$B$474,MATCH(RAND(),OFFSET(CreditMetrics!$C$474,1,MATCH(BDClientes!V1118,CreditMetrics!$B$475:$B$491,0),COUNT(CreditMetrics!$B$475:$B$491),1),1),0,1,1))</f>
        <v>0</v>
      </c>
      <c r="Z1118" s="79"/>
    </row>
    <row r="1119" spans="1:26" x14ac:dyDescent="0.25">
      <c r="A1119" s="4">
        <v>1118</v>
      </c>
      <c r="B1119" s="5" t="s">
        <v>1120</v>
      </c>
      <c r="C1119" s="11">
        <v>0</v>
      </c>
      <c r="D1119" s="11">
        <v>0</v>
      </c>
      <c r="E1119" s="11">
        <v>0</v>
      </c>
      <c r="F1119" s="11">
        <v>0</v>
      </c>
      <c r="G1119" s="11">
        <v>0</v>
      </c>
      <c r="H1119" s="11">
        <v>0</v>
      </c>
      <c r="I1119" s="11">
        <v>0</v>
      </c>
      <c r="J1119" s="11">
        <v>0</v>
      </c>
      <c r="K1119" s="11">
        <v>0</v>
      </c>
      <c r="L1119" s="11">
        <v>0</v>
      </c>
      <c r="M1119" s="11">
        <v>0</v>
      </c>
      <c r="N1119" s="11">
        <v>0</v>
      </c>
      <c r="O1119" s="11">
        <v>0</v>
      </c>
      <c r="P1119" s="11">
        <v>0</v>
      </c>
      <c r="Q1119" s="11">
        <v>0</v>
      </c>
      <c r="R1119" s="12">
        <v>0</v>
      </c>
      <c r="S1119" s="11">
        <v>0</v>
      </c>
      <c r="T1119" s="11">
        <v>0</v>
      </c>
      <c r="U1119" s="11">
        <v>0</v>
      </c>
      <c r="V1119" s="11">
        <v>0</v>
      </c>
      <c r="X1119">
        <f ca="1">IF(V1119=0,0,OFFSET(CreditMetrics!$B$474,MATCH(RAND(),OFFSET(CreditMetrics!$C$474,1,MATCH(BDClientes!V1119,CreditMetrics!$B$475:$B$491,0),COUNT(CreditMetrics!$B$475:$B$491),1),1),0,1,1))</f>
        <v>0</v>
      </c>
      <c r="Z1119" s="79"/>
    </row>
    <row r="1120" spans="1:26" x14ac:dyDescent="0.25">
      <c r="A1120" s="4">
        <v>1119</v>
      </c>
      <c r="B1120" s="5" t="s">
        <v>1121</v>
      </c>
      <c r="C1120" s="11">
        <v>0</v>
      </c>
      <c r="D1120" s="11">
        <v>0</v>
      </c>
      <c r="E1120" s="11">
        <v>0</v>
      </c>
      <c r="F1120" s="11">
        <v>0</v>
      </c>
      <c r="G1120" s="11">
        <v>0</v>
      </c>
      <c r="H1120" s="11">
        <v>0</v>
      </c>
      <c r="I1120" s="11">
        <v>0</v>
      </c>
      <c r="J1120" s="11">
        <v>0</v>
      </c>
      <c r="K1120" s="11">
        <v>0</v>
      </c>
      <c r="L1120" s="11">
        <v>0</v>
      </c>
      <c r="M1120" s="11">
        <v>0</v>
      </c>
      <c r="N1120" s="11">
        <v>0</v>
      </c>
      <c r="O1120" s="11">
        <v>0</v>
      </c>
      <c r="P1120" s="11">
        <v>0</v>
      </c>
      <c r="Q1120" s="11">
        <v>0</v>
      </c>
      <c r="R1120" s="11">
        <v>0</v>
      </c>
      <c r="S1120" s="11">
        <v>0</v>
      </c>
      <c r="T1120" s="11">
        <v>0</v>
      </c>
      <c r="U1120" s="11">
        <v>0</v>
      </c>
      <c r="V1120" s="11">
        <v>0</v>
      </c>
      <c r="X1120">
        <f ca="1">IF(V1120=0,0,OFFSET(CreditMetrics!$B$474,MATCH(RAND(),OFFSET(CreditMetrics!$C$474,1,MATCH(BDClientes!V1120,CreditMetrics!$B$475:$B$491,0),COUNT(CreditMetrics!$B$475:$B$491),1),1),0,1,1))</f>
        <v>0</v>
      </c>
      <c r="Z1120" s="79"/>
    </row>
    <row r="1121" spans="1:26" x14ac:dyDescent="0.25">
      <c r="A1121" s="4">
        <v>1120</v>
      </c>
      <c r="B1121" s="5" t="s">
        <v>1122</v>
      </c>
      <c r="C1121" s="11">
        <v>0</v>
      </c>
      <c r="D1121" s="11">
        <v>0</v>
      </c>
      <c r="E1121" s="11">
        <v>0</v>
      </c>
      <c r="F1121" s="11">
        <v>0</v>
      </c>
      <c r="G1121" s="11">
        <v>0</v>
      </c>
      <c r="H1121" s="11">
        <v>0</v>
      </c>
      <c r="I1121" s="11">
        <v>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>
        <v>0</v>
      </c>
      <c r="P1121" s="11">
        <v>0</v>
      </c>
      <c r="Q1121" s="11">
        <v>0</v>
      </c>
      <c r="R1121" s="11">
        <v>0</v>
      </c>
      <c r="S1121" s="11">
        <v>0</v>
      </c>
      <c r="T1121" s="11">
        <v>0</v>
      </c>
      <c r="U1121" s="11">
        <v>0</v>
      </c>
      <c r="V1121" s="11">
        <v>0</v>
      </c>
      <c r="X1121">
        <f ca="1">IF(V1121=0,0,OFFSET(CreditMetrics!$B$474,MATCH(RAND(),OFFSET(CreditMetrics!$C$474,1,MATCH(BDClientes!V1121,CreditMetrics!$B$475:$B$491,0),COUNT(CreditMetrics!$B$475:$B$491),1),1),0,1,1))</f>
        <v>0</v>
      </c>
      <c r="Z1121" s="79"/>
    </row>
    <row r="1122" spans="1:26" x14ac:dyDescent="0.25">
      <c r="A1122" s="4">
        <v>1121</v>
      </c>
      <c r="B1122" s="5" t="s">
        <v>1123</v>
      </c>
      <c r="C1122" s="11">
        <v>0</v>
      </c>
      <c r="D1122" s="11">
        <v>0</v>
      </c>
      <c r="E1122" s="11">
        <v>0</v>
      </c>
      <c r="F1122" s="11">
        <v>0</v>
      </c>
      <c r="G1122" s="11">
        <v>0</v>
      </c>
      <c r="H1122" s="11">
        <v>0</v>
      </c>
      <c r="I1122" s="11">
        <v>0</v>
      </c>
      <c r="J1122" s="11">
        <v>0</v>
      </c>
      <c r="K1122" s="11">
        <v>0</v>
      </c>
      <c r="L1122" s="11">
        <v>0</v>
      </c>
      <c r="M1122" s="11">
        <v>0</v>
      </c>
      <c r="N1122" s="11">
        <v>0</v>
      </c>
      <c r="O1122" s="11">
        <v>0</v>
      </c>
      <c r="P1122" s="11">
        <v>0</v>
      </c>
      <c r="Q1122" s="11">
        <v>0</v>
      </c>
      <c r="R1122" s="11">
        <v>0</v>
      </c>
      <c r="S1122" s="11">
        <v>0</v>
      </c>
      <c r="T1122" s="11">
        <v>0</v>
      </c>
      <c r="U1122" s="11">
        <v>0</v>
      </c>
      <c r="V1122" s="11">
        <v>0</v>
      </c>
      <c r="X1122">
        <f ca="1">IF(V1122=0,0,OFFSET(CreditMetrics!$B$474,MATCH(RAND(),OFFSET(CreditMetrics!$C$474,1,MATCH(BDClientes!V1122,CreditMetrics!$B$475:$B$491,0),COUNT(CreditMetrics!$B$475:$B$491),1),1),0,1,1))</f>
        <v>0</v>
      </c>
      <c r="Z1122" s="79"/>
    </row>
    <row r="1123" spans="1:26" x14ac:dyDescent="0.25">
      <c r="A1123" s="4">
        <v>1122</v>
      </c>
      <c r="B1123" s="5" t="s">
        <v>1124</v>
      </c>
      <c r="C1123" s="11">
        <v>0</v>
      </c>
      <c r="D1123" s="11">
        <v>0</v>
      </c>
      <c r="E1123" s="11">
        <v>0</v>
      </c>
      <c r="F1123" s="11">
        <v>0</v>
      </c>
      <c r="G1123" s="11">
        <v>0</v>
      </c>
      <c r="H1123" s="11">
        <v>0</v>
      </c>
      <c r="I1123" s="11">
        <v>0</v>
      </c>
      <c r="J1123" s="11">
        <v>0</v>
      </c>
      <c r="K1123" s="11">
        <v>0</v>
      </c>
      <c r="L1123" s="11">
        <v>0</v>
      </c>
      <c r="M1123" s="11">
        <v>0</v>
      </c>
      <c r="N1123" s="11">
        <v>0</v>
      </c>
      <c r="O1123" s="11">
        <v>0</v>
      </c>
      <c r="P1123" s="11">
        <v>0</v>
      </c>
      <c r="Q1123" s="11">
        <v>0</v>
      </c>
      <c r="R1123" s="11">
        <v>0</v>
      </c>
      <c r="S1123" s="11">
        <v>0</v>
      </c>
      <c r="T1123" s="11">
        <v>0</v>
      </c>
      <c r="U1123" s="11">
        <v>0</v>
      </c>
      <c r="V1123" s="11">
        <v>0</v>
      </c>
      <c r="X1123">
        <f ca="1">IF(V1123=0,0,OFFSET(CreditMetrics!$B$474,MATCH(RAND(),OFFSET(CreditMetrics!$C$474,1,MATCH(BDClientes!V1123,CreditMetrics!$B$475:$B$491,0),COUNT(CreditMetrics!$B$475:$B$491),1),1),0,1,1))</f>
        <v>0</v>
      </c>
      <c r="Z1123" s="79"/>
    </row>
    <row r="1124" spans="1:26" x14ac:dyDescent="0.25">
      <c r="A1124" s="4">
        <v>1123</v>
      </c>
      <c r="B1124" s="5" t="s">
        <v>1125</v>
      </c>
      <c r="C1124" s="11">
        <v>0</v>
      </c>
      <c r="D1124" s="11">
        <v>0</v>
      </c>
      <c r="E1124" s="11">
        <v>0</v>
      </c>
      <c r="F1124" s="11">
        <v>0</v>
      </c>
      <c r="G1124" s="11">
        <v>0</v>
      </c>
      <c r="H1124" s="11">
        <v>0</v>
      </c>
      <c r="I1124" s="11">
        <v>0</v>
      </c>
      <c r="J1124" s="11">
        <v>0</v>
      </c>
      <c r="K1124" s="11">
        <v>0</v>
      </c>
      <c r="L1124" s="11">
        <v>0</v>
      </c>
      <c r="M1124" s="11">
        <v>0</v>
      </c>
      <c r="N1124" s="11">
        <v>0</v>
      </c>
      <c r="O1124" s="11">
        <v>0</v>
      </c>
      <c r="P1124" s="11">
        <v>0</v>
      </c>
      <c r="Q1124" s="11">
        <v>0</v>
      </c>
      <c r="R1124" s="11">
        <v>0</v>
      </c>
      <c r="S1124" s="11">
        <v>0</v>
      </c>
      <c r="T1124" s="11">
        <v>0</v>
      </c>
      <c r="U1124" s="11">
        <v>0</v>
      </c>
      <c r="V1124" s="11">
        <v>0</v>
      </c>
      <c r="X1124">
        <f ca="1">IF(V1124=0,0,OFFSET(CreditMetrics!$B$474,MATCH(RAND(),OFFSET(CreditMetrics!$C$474,1,MATCH(BDClientes!V1124,CreditMetrics!$B$475:$B$491,0),COUNT(CreditMetrics!$B$475:$B$491),1),1),0,1,1))</f>
        <v>0</v>
      </c>
      <c r="Z1124" s="79"/>
    </row>
    <row r="1125" spans="1:26" x14ac:dyDescent="0.25">
      <c r="A1125" s="4">
        <v>1124</v>
      </c>
      <c r="B1125" s="5" t="s">
        <v>1126</v>
      </c>
      <c r="C1125" s="11">
        <v>0</v>
      </c>
      <c r="D1125" s="11">
        <v>0</v>
      </c>
      <c r="E1125" s="11">
        <v>0</v>
      </c>
      <c r="F1125" s="11">
        <v>0</v>
      </c>
      <c r="G1125" s="11">
        <v>0</v>
      </c>
      <c r="H1125" s="11">
        <v>0</v>
      </c>
      <c r="I1125" s="11">
        <v>0</v>
      </c>
      <c r="J1125" s="11">
        <v>0</v>
      </c>
      <c r="K1125" s="11">
        <v>0</v>
      </c>
      <c r="L1125" s="11">
        <v>0</v>
      </c>
      <c r="M1125" s="11">
        <v>0</v>
      </c>
      <c r="N1125" s="11">
        <v>0</v>
      </c>
      <c r="O1125" s="11">
        <v>0</v>
      </c>
      <c r="P1125" s="11">
        <v>0</v>
      </c>
      <c r="Q1125" s="11">
        <v>0</v>
      </c>
      <c r="R1125" s="11">
        <v>0</v>
      </c>
      <c r="S1125" s="11">
        <v>0</v>
      </c>
      <c r="T1125" s="11">
        <v>0</v>
      </c>
      <c r="U1125" s="11">
        <v>0</v>
      </c>
      <c r="V1125" s="11">
        <v>0</v>
      </c>
      <c r="X1125">
        <f ca="1">IF(V1125=0,0,OFFSET(CreditMetrics!$B$474,MATCH(RAND(),OFFSET(CreditMetrics!$C$474,1,MATCH(BDClientes!V1125,CreditMetrics!$B$475:$B$491,0),COUNT(CreditMetrics!$B$475:$B$491),1),1),0,1,1))</f>
        <v>0</v>
      </c>
      <c r="Z1125" s="79"/>
    </row>
    <row r="1126" spans="1:26" x14ac:dyDescent="0.25">
      <c r="A1126" s="4">
        <v>1125</v>
      </c>
      <c r="B1126" s="5" t="s">
        <v>1127</v>
      </c>
      <c r="C1126" s="11">
        <v>0</v>
      </c>
      <c r="D1126" s="11">
        <v>0</v>
      </c>
      <c r="E1126" s="11">
        <v>0</v>
      </c>
      <c r="F1126" s="11">
        <v>0</v>
      </c>
      <c r="G1126" s="11">
        <v>0</v>
      </c>
      <c r="H1126" s="11">
        <v>0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>
        <v>0</v>
      </c>
      <c r="R1126" s="11">
        <v>0</v>
      </c>
      <c r="S1126" s="11">
        <v>0</v>
      </c>
      <c r="T1126" s="11">
        <v>0</v>
      </c>
      <c r="U1126" s="11">
        <v>0</v>
      </c>
      <c r="V1126" s="11">
        <v>0</v>
      </c>
      <c r="X1126">
        <f ca="1">IF(V1126=0,0,OFFSET(CreditMetrics!$B$474,MATCH(RAND(),OFFSET(CreditMetrics!$C$474,1,MATCH(BDClientes!V1126,CreditMetrics!$B$475:$B$491,0),COUNT(CreditMetrics!$B$475:$B$491),1),1),0,1,1))</f>
        <v>0</v>
      </c>
      <c r="Z1126" s="79"/>
    </row>
    <row r="1127" spans="1:26" x14ac:dyDescent="0.25">
      <c r="A1127" s="4">
        <v>1126</v>
      </c>
      <c r="B1127" s="5" t="s">
        <v>1128</v>
      </c>
      <c r="C1127" s="11">
        <v>0</v>
      </c>
      <c r="D1127" s="11">
        <v>0</v>
      </c>
      <c r="E1127" s="11">
        <v>0</v>
      </c>
      <c r="F1127" s="11">
        <v>0</v>
      </c>
      <c r="G1127" s="11">
        <v>0</v>
      </c>
      <c r="H1127" s="11">
        <v>0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0</v>
      </c>
      <c r="Q1127" s="11">
        <v>0</v>
      </c>
      <c r="R1127" s="11">
        <v>0</v>
      </c>
      <c r="S1127" s="11">
        <v>0</v>
      </c>
      <c r="T1127" s="11">
        <v>0</v>
      </c>
      <c r="U1127" s="11">
        <v>0</v>
      </c>
      <c r="V1127" s="11">
        <v>0</v>
      </c>
      <c r="X1127">
        <f ca="1">IF(V1127=0,0,OFFSET(CreditMetrics!$B$474,MATCH(RAND(),OFFSET(CreditMetrics!$C$474,1,MATCH(BDClientes!V1127,CreditMetrics!$B$475:$B$491,0),COUNT(CreditMetrics!$B$475:$B$491),1),1),0,1,1))</f>
        <v>0</v>
      </c>
      <c r="Z1127" s="79"/>
    </row>
    <row r="1128" spans="1:26" x14ac:dyDescent="0.25">
      <c r="A1128" s="4">
        <v>1127</v>
      </c>
      <c r="B1128" s="5" t="s">
        <v>1129</v>
      </c>
      <c r="C1128" s="11">
        <v>0</v>
      </c>
      <c r="D1128" s="11">
        <v>0</v>
      </c>
      <c r="E1128" s="11">
        <v>0</v>
      </c>
      <c r="F1128" s="11">
        <v>0</v>
      </c>
      <c r="G1128" s="11">
        <v>0</v>
      </c>
      <c r="H1128" s="11">
        <v>0</v>
      </c>
      <c r="I1128" s="11">
        <v>0</v>
      </c>
      <c r="J1128" s="11">
        <v>0</v>
      </c>
      <c r="K1128" s="11">
        <v>0</v>
      </c>
      <c r="L1128" s="11">
        <v>0</v>
      </c>
      <c r="M1128" s="11">
        <v>0</v>
      </c>
      <c r="N1128" s="11">
        <v>0</v>
      </c>
      <c r="O1128" s="11">
        <v>0</v>
      </c>
      <c r="P1128" s="11">
        <v>0</v>
      </c>
      <c r="Q1128" s="11">
        <v>0</v>
      </c>
      <c r="R1128" s="11">
        <v>0</v>
      </c>
      <c r="S1128" s="11">
        <v>0</v>
      </c>
      <c r="T1128" s="11">
        <v>0</v>
      </c>
      <c r="U1128" s="11">
        <v>0</v>
      </c>
      <c r="V1128" s="11">
        <v>0</v>
      </c>
      <c r="X1128">
        <f ca="1">IF(V1128=0,0,OFFSET(CreditMetrics!$B$474,MATCH(RAND(),OFFSET(CreditMetrics!$C$474,1,MATCH(BDClientes!V1128,CreditMetrics!$B$475:$B$491,0),COUNT(CreditMetrics!$B$475:$B$491),1),1),0,1,1))</f>
        <v>0</v>
      </c>
      <c r="Z1128" s="79"/>
    </row>
    <row r="1129" spans="1:26" x14ac:dyDescent="0.25">
      <c r="A1129" s="4">
        <v>1128</v>
      </c>
      <c r="B1129" s="5" t="s">
        <v>1130</v>
      </c>
      <c r="C1129" s="11">
        <v>0</v>
      </c>
      <c r="D1129" s="11">
        <v>0</v>
      </c>
      <c r="E1129" s="11">
        <v>0</v>
      </c>
      <c r="F1129" s="11">
        <v>0</v>
      </c>
      <c r="G1129" s="11">
        <v>0</v>
      </c>
      <c r="H1129" s="11">
        <v>0</v>
      </c>
      <c r="I1129" s="11">
        <v>0</v>
      </c>
      <c r="J1129" s="11">
        <v>0</v>
      </c>
      <c r="K1129" s="11">
        <v>0</v>
      </c>
      <c r="L1129" s="11">
        <v>0</v>
      </c>
      <c r="M1129" s="11">
        <v>0</v>
      </c>
      <c r="N1129" s="11">
        <v>0</v>
      </c>
      <c r="O1129" s="11">
        <v>0</v>
      </c>
      <c r="P1129" s="11">
        <v>0</v>
      </c>
      <c r="Q1129" s="11">
        <v>0</v>
      </c>
      <c r="R1129" s="11">
        <v>0</v>
      </c>
      <c r="S1129" s="11">
        <v>0</v>
      </c>
      <c r="T1129" s="11">
        <v>0</v>
      </c>
      <c r="U1129" s="11">
        <v>0</v>
      </c>
      <c r="V1129" s="11">
        <v>0</v>
      </c>
      <c r="X1129">
        <f ca="1">IF(V1129=0,0,OFFSET(CreditMetrics!$B$474,MATCH(RAND(),OFFSET(CreditMetrics!$C$474,1,MATCH(BDClientes!V1129,CreditMetrics!$B$475:$B$491,0),COUNT(CreditMetrics!$B$475:$B$491),1),1),0,1,1))</f>
        <v>0</v>
      </c>
      <c r="Z1129" s="79"/>
    </row>
    <row r="1130" spans="1:26" x14ac:dyDescent="0.25">
      <c r="A1130" s="4">
        <v>1129</v>
      </c>
      <c r="B1130" s="5" t="s">
        <v>1131</v>
      </c>
      <c r="C1130" s="11">
        <v>0</v>
      </c>
      <c r="D1130" s="11">
        <v>0</v>
      </c>
      <c r="E1130" s="11">
        <v>0</v>
      </c>
      <c r="F1130" s="11">
        <v>0</v>
      </c>
      <c r="G1130" s="11">
        <v>0</v>
      </c>
      <c r="H1130" s="11">
        <v>0</v>
      </c>
      <c r="I1130" s="11">
        <v>0</v>
      </c>
      <c r="J1130" s="11">
        <v>0</v>
      </c>
      <c r="K1130" s="11">
        <v>0</v>
      </c>
      <c r="L1130" s="11">
        <v>0</v>
      </c>
      <c r="M1130" s="11">
        <v>0</v>
      </c>
      <c r="N1130" s="11">
        <v>0</v>
      </c>
      <c r="O1130" s="11">
        <v>0</v>
      </c>
      <c r="P1130" s="11">
        <v>0</v>
      </c>
      <c r="Q1130" s="11">
        <v>0</v>
      </c>
      <c r="R1130" s="11">
        <v>0</v>
      </c>
      <c r="S1130" s="11">
        <v>0</v>
      </c>
      <c r="T1130" s="11">
        <v>0</v>
      </c>
      <c r="U1130" s="11">
        <v>0</v>
      </c>
      <c r="V1130" s="11">
        <v>0</v>
      </c>
      <c r="X1130">
        <f ca="1">IF(V1130=0,0,OFFSET(CreditMetrics!$B$474,MATCH(RAND(),OFFSET(CreditMetrics!$C$474,1,MATCH(BDClientes!V1130,CreditMetrics!$B$475:$B$491,0),COUNT(CreditMetrics!$B$475:$B$491),1),1),0,1,1))</f>
        <v>0</v>
      </c>
      <c r="Z1130" s="79"/>
    </row>
    <row r="1131" spans="1:26" x14ac:dyDescent="0.25">
      <c r="A1131" s="4">
        <v>1130</v>
      </c>
      <c r="B1131" s="5" t="s">
        <v>1132</v>
      </c>
      <c r="C1131" s="11">
        <v>0</v>
      </c>
      <c r="D1131" s="11">
        <v>0</v>
      </c>
      <c r="E1131" s="11">
        <v>0</v>
      </c>
      <c r="F1131" s="11">
        <v>0</v>
      </c>
      <c r="G1131" s="11">
        <v>0</v>
      </c>
      <c r="H1131" s="11">
        <v>0</v>
      </c>
      <c r="I1131" s="11">
        <v>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>
        <v>0</v>
      </c>
      <c r="P1131" s="11">
        <v>0</v>
      </c>
      <c r="Q1131" s="11">
        <v>0</v>
      </c>
      <c r="R1131" s="11">
        <v>0</v>
      </c>
      <c r="S1131" s="11">
        <v>0</v>
      </c>
      <c r="T1131" s="11">
        <v>0</v>
      </c>
      <c r="U1131" s="11">
        <v>0</v>
      </c>
      <c r="V1131" s="11">
        <v>0</v>
      </c>
      <c r="X1131">
        <f ca="1">IF(V1131=0,0,OFFSET(CreditMetrics!$B$474,MATCH(RAND(),OFFSET(CreditMetrics!$C$474,1,MATCH(BDClientes!V1131,CreditMetrics!$B$475:$B$491,0),COUNT(CreditMetrics!$B$475:$B$491),1),1),0,1,1))</f>
        <v>0</v>
      </c>
      <c r="Z1131" s="79"/>
    </row>
    <row r="1132" spans="1:26" x14ac:dyDescent="0.25">
      <c r="A1132" s="4">
        <v>1131</v>
      </c>
      <c r="B1132" s="5" t="s">
        <v>1133</v>
      </c>
      <c r="C1132" s="11">
        <v>0</v>
      </c>
      <c r="D1132" s="11">
        <v>0</v>
      </c>
      <c r="E1132" s="11">
        <v>0</v>
      </c>
      <c r="F1132" s="11">
        <v>0</v>
      </c>
      <c r="G1132" s="11">
        <v>0</v>
      </c>
      <c r="H1132" s="11">
        <v>0</v>
      </c>
      <c r="I1132" s="11">
        <v>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>
        <v>0</v>
      </c>
      <c r="P1132" s="11">
        <v>0</v>
      </c>
      <c r="Q1132" s="11">
        <v>0</v>
      </c>
      <c r="R1132" s="11">
        <v>0</v>
      </c>
      <c r="S1132" s="11">
        <v>0</v>
      </c>
      <c r="T1132" s="11">
        <v>0</v>
      </c>
      <c r="U1132" s="11">
        <v>0</v>
      </c>
      <c r="V1132" s="11">
        <v>0</v>
      </c>
      <c r="X1132">
        <f ca="1">IF(V1132=0,0,OFFSET(CreditMetrics!$B$474,MATCH(RAND(),OFFSET(CreditMetrics!$C$474,1,MATCH(BDClientes!V1132,CreditMetrics!$B$475:$B$491,0),COUNT(CreditMetrics!$B$475:$B$491),1),1),0,1,1))</f>
        <v>0</v>
      </c>
      <c r="Z1132" s="79"/>
    </row>
    <row r="1133" spans="1:26" x14ac:dyDescent="0.25">
      <c r="A1133" s="4">
        <v>1132</v>
      </c>
      <c r="B1133" s="5" t="s">
        <v>1134</v>
      </c>
      <c r="C1133" s="11">
        <v>0</v>
      </c>
      <c r="D1133" s="11">
        <v>0</v>
      </c>
      <c r="E1133" s="11">
        <v>0</v>
      </c>
      <c r="F1133" s="11">
        <v>0</v>
      </c>
      <c r="G1133" s="11">
        <v>0</v>
      </c>
      <c r="H1133" s="11">
        <v>0</v>
      </c>
      <c r="I1133" s="11">
        <v>0</v>
      </c>
      <c r="J1133" s="11">
        <v>0</v>
      </c>
      <c r="K1133" s="11">
        <v>0</v>
      </c>
      <c r="L1133" s="11">
        <v>0</v>
      </c>
      <c r="M1133" s="11">
        <v>0</v>
      </c>
      <c r="N1133" s="11">
        <v>0</v>
      </c>
      <c r="O1133" s="11">
        <v>0</v>
      </c>
      <c r="P1133" s="11">
        <v>0</v>
      </c>
      <c r="Q1133" s="11">
        <v>0</v>
      </c>
      <c r="R1133" s="11">
        <v>0</v>
      </c>
      <c r="S1133" s="11">
        <v>0</v>
      </c>
      <c r="T1133" s="11">
        <v>0</v>
      </c>
      <c r="U1133" s="11">
        <v>0</v>
      </c>
      <c r="V1133" s="11">
        <v>0</v>
      </c>
      <c r="X1133">
        <f ca="1">IF(V1133=0,0,OFFSET(CreditMetrics!$B$474,MATCH(RAND(),OFFSET(CreditMetrics!$C$474,1,MATCH(BDClientes!V1133,CreditMetrics!$B$475:$B$491,0),COUNT(CreditMetrics!$B$475:$B$491),1),1),0,1,1))</f>
        <v>0</v>
      </c>
      <c r="Z1133" s="79"/>
    </row>
    <row r="1134" spans="1:26" x14ac:dyDescent="0.25">
      <c r="A1134" s="4">
        <v>1133</v>
      </c>
      <c r="B1134" s="5" t="s">
        <v>1135</v>
      </c>
      <c r="C1134" s="11">
        <v>0</v>
      </c>
      <c r="D1134" s="11">
        <v>0</v>
      </c>
      <c r="E1134" s="11">
        <v>0</v>
      </c>
      <c r="F1134" s="11">
        <v>0</v>
      </c>
      <c r="G1134" s="11">
        <v>0</v>
      </c>
      <c r="H1134" s="11">
        <v>0</v>
      </c>
      <c r="I1134" s="11">
        <v>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>
        <v>0</v>
      </c>
      <c r="P1134" s="11">
        <v>0</v>
      </c>
      <c r="Q1134" s="11">
        <v>0</v>
      </c>
      <c r="R1134" s="11">
        <v>0</v>
      </c>
      <c r="S1134" s="11">
        <v>0</v>
      </c>
      <c r="T1134" s="11">
        <v>0</v>
      </c>
      <c r="U1134" s="11">
        <v>0</v>
      </c>
      <c r="V1134" s="11">
        <v>0</v>
      </c>
      <c r="X1134">
        <f ca="1">IF(V1134=0,0,OFFSET(CreditMetrics!$B$474,MATCH(RAND(),OFFSET(CreditMetrics!$C$474,1,MATCH(BDClientes!V1134,CreditMetrics!$B$475:$B$491,0),COUNT(CreditMetrics!$B$475:$B$491),1),1),0,1,1))</f>
        <v>0</v>
      </c>
      <c r="Z1134" s="79"/>
    </row>
    <row r="1135" spans="1:26" x14ac:dyDescent="0.25">
      <c r="A1135" s="4">
        <v>1134</v>
      </c>
      <c r="B1135" s="5" t="s">
        <v>1136</v>
      </c>
      <c r="C1135" s="11">
        <v>0</v>
      </c>
      <c r="D1135" s="11">
        <v>0</v>
      </c>
      <c r="E1135" s="11">
        <v>0</v>
      </c>
      <c r="F1135" s="11">
        <v>0</v>
      </c>
      <c r="G1135" s="11">
        <v>0</v>
      </c>
      <c r="H1135" s="11">
        <v>0</v>
      </c>
      <c r="I1135" s="11">
        <v>0</v>
      </c>
      <c r="J1135" s="11">
        <v>0</v>
      </c>
      <c r="K1135" s="11">
        <v>0</v>
      </c>
      <c r="L1135" s="11">
        <v>0</v>
      </c>
      <c r="M1135" s="11">
        <v>0</v>
      </c>
      <c r="N1135" s="11">
        <v>0</v>
      </c>
      <c r="O1135" s="11">
        <v>0</v>
      </c>
      <c r="P1135" s="11">
        <v>0</v>
      </c>
      <c r="Q1135" s="11">
        <v>0</v>
      </c>
      <c r="R1135" s="11">
        <v>0</v>
      </c>
      <c r="S1135" s="11">
        <v>0</v>
      </c>
      <c r="T1135" s="11">
        <v>0</v>
      </c>
      <c r="U1135" s="11">
        <v>0</v>
      </c>
      <c r="V1135" s="11">
        <v>0</v>
      </c>
      <c r="X1135">
        <f ca="1">IF(V1135=0,0,OFFSET(CreditMetrics!$B$474,MATCH(RAND(),OFFSET(CreditMetrics!$C$474,1,MATCH(BDClientes!V1135,CreditMetrics!$B$475:$B$491,0),COUNT(CreditMetrics!$B$475:$B$491),1),1),0,1,1))</f>
        <v>0</v>
      </c>
      <c r="Z1135" s="79"/>
    </row>
    <row r="1136" spans="1:26" x14ac:dyDescent="0.25">
      <c r="A1136" s="4">
        <v>1135</v>
      </c>
      <c r="B1136" s="5" t="s">
        <v>1137</v>
      </c>
      <c r="C1136" s="11">
        <v>0</v>
      </c>
      <c r="D1136" s="11">
        <v>0</v>
      </c>
      <c r="E1136" s="11">
        <v>0</v>
      </c>
      <c r="F1136" s="11">
        <v>0</v>
      </c>
      <c r="G1136" s="11">
        <v>0</v>
      </c>
      <c r="H1136" s="11">
        <v>0</v>
      </c>
      <c r="I1136" s="11">
        <v>0</v>
      </c>
      <c r="J1136" s="11">
        <v>0</v>
      </c>
      <c r="K1136" s="11">
        <v>0</v>
      </c>
      <c r="L1136" s="11">
        <v>0</v>
      </c>
      <c r="M1136" s="11">
        <v>0</v>
      </c>
      <c r="N1136" s="11">
        <v>0</v>
      </c>
      <c r="O1136" s="11">
        <v>0</v>
      </c>
      <c r="P1136" s="11">
        <v>0</v>
      </c>
      <c r="Q1136" s="11">
        <v>0</v>
      </c>
      <c r="R1136" s="11">
        <v>0</v>
      </c>
      <c r="S1136" s="11">
        <v>0</v>
      </c>
      <c r="T1136" s="11">
        <v>0</v>
      </c>
      <c r="U1136" s="11">
        <v>0</v>
      </c>
      <c r="V1136" s="11">
        <v>0</v>
      </c>
      <c r="X1136">
        <f ca="1">IF(V1136=0,0,OFFSET(CreditMetrics!$B$474,MATCH(RAND(),OFFSET(CreditMetrics!$C$474,1,MATCH(BDClientes!V1136,CreditMetrics!$B$475:$B$491,0),COUNT(CreditMetrics!$B$475:$B$491),1),1),0,1,1))</f>
        <v>0</v>
      </c>
      <c r="Z1136" s="79"/>
    </row>
    <row r="1137" spans="1:26" x14ac:dyDescent="0.25">
      <c r="A1137" s="4">
        <v>1136</v>
      </c>
      <c r="B1137" s="5" t="s">
        <v>1138</v>
      </c>
      <c r="C1137" s="11">
        <v>0</v>
      </c>
      <c r="D1137" s="11">
        <v>0</v>
      </c>
      <c r="E1137" s="11">
        <v>0</v>
      </c>
      <c r="F1137" s="11">
        <v>0</v>
      </c>
      <c r="G1137" s="11">
        <v>0</v>
      </c>
      <c r="H1137" s="11">
        <v>0</v>
      </c>
      <c r="I1137" s="11">
        <v>0</v>
      </c>
      <c r="J1137" s="11">
        <v>0</v>
      </c>
      <c r="K1137" s="11">
        <v>0</v>
      </c>
      <c r="L1137" s="11">
        <v>0</v>
      </c>
      <c r="M1137" s="11">
        <v>0</v>
      </c>
      <c r="N1137" s="11">
        <v>0</v>
      </c>
      <c r="O1137" s="11">
        <v>0</v>
      </c>
      <c r="P1137" s="11">
        <v>0</v>
      </c>
      <c r="Q1137" s="11">
        <v>0</v>
      </c>
      <c r="R1137" s="11">
        <v>0</v>
      </c>
      <c r="S1137" s="11">
        <v>0</v>
      </c>
      <c r="T1137" s="11">
        <v>0</v>
      </c>
      <c r="U1137" s="11">
        <v>0</v>
      </c>
      <c r="V1137" s="11">
        <v>0</v>
      </c>
      <c r="X1137">
        <f ca="1">IF(V1137=0,0,OFFSET(CreditMetrics!$B$474,MATCH(RAND(),OFFSET(CreditMetrics!$C$474,1,MATCH(BDClientes!V1137,CreditMetrics!$B$475:$B$491,0),COUNT(CreditMetrics!$B$475:$B$491),1),1),0,1,1))</f>
        <v>0</v>
      </c>
      <c r="Z1137" s="79"/>
    </row>
    <row r="1138" spans="1:26" x14ac:dyDescent="0.25">
      <c r="A1138" s="4">
        <v>1137</v>
      </c>
      <c r="B1138" s="5" t="s">
        <v>1139</v>
      </c>
      <c r="C1138" s="11">
        <v>0</v>
      </c>
      <c r="D1138" s="11">
        <v>0</v>
      </c>
      <c r="E1138" s="11">
        <v>0</v>
      </c>
      <c r="F1138" s="11">
        <v>0</v>
      </c>
      <c r="G1138" s="11">
        <v>0</v>
      </c>
      <c r="H1138" s="11">
        <v>0</v>
      </c>
      <c r="I1138" s="11">
        <v>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>
        <v>0</v>
      </c>
      <c r="P1138" s="11">
        <v>0</v>
      </c>
      <c r="Q1138" s="11">
        <v>0</v>
      </c>
      <c r="R1138" s="11">
        <v>0</v>
      </c>
      <c r="S1138" s="11">
        <v>0</v>
      </c>
      <c r="T1138" s="11">
        <v>0</v>
      </c>
      <c r="U1138" s="11">
        <v>0</v>
      </c>
      <c r="V1138" s="11">
        <v>0</v>
      </c>
      <c r="X1138">
        <f ca="1">IF(V1138=0,0,OFFSET(CreditMetrics!$B$474,MATCH(RAND(),OFFSET(CreditMetrics!$C$474,1,MATCH(BDClientes!V1138,CreditMetrics!$B$475:$B$491,0),COUNT(CreditMetrics!$B$475:$B$491),1),1),0,1,1))</f>
        <v>0</v>
      </c>
      <c r="Z1138" s="79"/>
    </row>
    <row r="1139" spans="1:26" x14ac:dyDescent="0.25">
      <c r="A1139" s="4">
        <v>1138</v>
      </c>
      <c r="B1139" s="5" t="s">
        <v>1140</v>
      </c>
      <c r="C1139" s="11">
        <v>0</v>
      </c>
      <c r="D1139" s="11">
        <v>0</v>
      </c>
      <c r="E1139" s="11">
        <v>0</v>
      </c>
      <c r="F1139" s="11">
        <v>0</v>
      </c>
      <c r="G1139" s="11">
        <v>0</v>
      </c>
      <c r="H1139" s="11">
        <v>0</v>
      </c>
      <c r="I1139" s="11">
        <v>0</v>
      </c>
      <c r="J1139" s="11">
        <v>0</v>
      </c>
      <c r="K1139" s="11">
        <v>0</v>
      </c>
      <c r="L1139" s="11">
        <v>0</v>
      </c>
      <c r="M1139" s="11">
        <v>0</v>
      </c>
      <c r="N1139" s="11">
        <v>0</v>
      </c>
      <c r="O1139" s="11">
        <v>0</v>
      </c>
      <c r="P1139" s="11">
        <v>0</v>
      </c>
      <c r="Q1139" s="11">
        <v>0</v>
      </c>
      <c r="R1139" s="11">
        <v>0</v>
      </c>
      <c r="S1139" s="11">
        <v>0</v>
      </c>
      <c r="T1139" s="11">
        <v>0</v>
      </c>
      <c r="U1139" s="11">
        <v>0</v>
      </c>
      <c r="V1139" s="11">
        <v>0</v>
      </c>
      <c r="X1139">
        <f ca="1">IF(V1139=0,0,OFFSET(CreditMetrics!$B$474,MATCH(RAND(),OFFSET(CreditMetrics!$C$474,1,MATCH(BDClientes!V1139,CreditMetrics!$B$475:$B$491,0),COUNT(CreditMetrics!$B$475:$B$491),1),1),0,1,1))</f>
        <v>0</v>
      </c>
      <c r="Z1139" s="79"/>
    </row>
    <row r="1140" spans="1:26" x14ac:dyDescent="0.25">
      <c r="A1140" s="4">
        <v>1139</v>
      </c>
      <c r="B1140" s="5" t="s">
        <v>1141</v>
      </c>
      <c r="C1140" s="11">
        <v>0</v>
      </c>
      <c r="D1140" s="11">
        <v>0</v>
      </c>
      <c r="E1140" s="11">
        <v>0</v>
      </c>
      <c r="F1140" s="11">
        <v>0</v>
      </c>
      <c r="G1140" s="11">
        <v>0</v>
      </c>
      <c r="H1140" s="11">
        <v>0</v>
      </c>
      <c r="I1140" s="11">
        <v>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>
        <v>0</v>
      </c>
      <c r="P1140" s="11">
        <v>0</v>
      </c>
      <c r="Q1140" s="11">
        <v>0</v>
      </c>
      <c r="R1140" s="11">
        <v>0</v>
      </c>
      <c r="S1140" s="11">
        <v>0</v>
      </c>
      <c r="T1140" s="11">
        <v>0</v>
      </c>
      <c r="U1140" s="11">
        <v>0</v>
      </c>
      <c r="V1140" s="11">
        <v>0</v>
      </c>
      <c r="X1140">
        <f ca="1">IF(V1140=0,0,OFFSET(CreditMetrics!$B$474,MATCH(RAND(),OFFSET(CreditMetrics!$C$474,1,MATCH(BDClientes!V1140,CreditMetrics!$B$475:$B$491,0),COUNT(CreditMetrics!$B$475:$B$491),1),1),0,1,1))</f>
        <v>0</v>
      </c>
      <c r="Z1140" s="79"/>
    </row>
    <row r="1141" spans="1:26" x14ac:dyDescent="0.25">
      <c r="A1141" s="4">
        <v>1140</v>
      </c>
      <c r="B1141" s="5" t="s">
        <v>1142</v>
      </c>
      <c r="C1141" s="11">
        <v>0</v>
      </c>
      <c r="D1141" s="11">
        <v>0</v>
      </c>
      <c r="E1141" s="11">
        <v>0</v>
      </c>
      <c r="F1141" s="11">
        <v>0</v>
      </c>
      <c r="G1141" s="11">
        <v>0</v>
      </c>
      <c r="H1141" s="11">
        <v>0</v>
      </c>
      <c r="I1141" s="11">
        <v>0</v>
      </c>
      <c r="J1141" s="11">
        <v>0</v>
      </c>
      <c r="K1141" s="11">
        <v>0</v>
      </c>
      <c r="L1141" s="11">
        <v>0</v>
      </c>
      <c r="M1141" s="11">
        <v>0</v>
      </c>
      <c r="N1141" s="11">
        <v>0</v>
      </c>
      <c r="O1141" s="11">
        <v>0</v>
      </c>
      <c r="P1141" s="11">
        <v>0</v>
      </c>
      <c r="Q1141" s="11">
        <v>0</v>
      </c>
      <c r="R1141" s="11">
        <v>0</v>
      </c>
      <c r="S1141" s="11">
        <v>0</v>
      </c>
      <c r="T1141" s="11">
        <v>0</v>
      </c>
      <c r="U1141" s="11">
        <v>0</v>
      </c>
      <c r="V1141" s="11">
        <v>0</v>
      </c>
      <c r="X1141">
        <f ca="1">IF(V1141=0,0,OFFSET(CreditMetrics!$B$474,MATCH(RAND(),OFFSET(CreditMetrics!$C$474,1,MATCH(BDClientes!V1141,CreditMetrics!$B$475:$B$491,0),COUNT(CreditMetrics!$B$475:$B$491),1),1),0,1,1))</f>
        <v>0</v>
      </c>
      <c r="Z1141" s="79"/>
    </row>
    <row r="1142" spans="1:26" x14ac:dyDescent="0.25">
      <c r="A1142" s="4">
        <v>1141</v>
      </c>
      <c r="B1142" s="5" t="s">
        <v>1143</v>
      </c>
      <c r="C1142" s="11">
        <v>0</v>
      </c>
      <c r="D1142" s="11">
        <v>0</v>
      </c>
      <c r="E1142" s="11">
        <v>0</v>
      </c>
      <c r="F1142" s="11">
        <v>0</v>
      </c>
      <c r="G1142" s="11">
        <v>0</v>
      </c>
      <c r="H1142" s="11">
        <v>0</v>
      </c>
      <c r="I1142" s="11">
        <v>0</v>
      </c>
      <c r="J1142" s="11">
        <v>0</v>
      </c>
      <c r="K1142" s="11">
        <v>0</v>
      </c>
      <c r="L1142" s="11">
        <v>0</v>
      </c>
      <c r="M1142" s="11">
        <v>0</v>
      </c>
      <c r="N1142" s="11">
        <v>0</v>
      </c>
      <c r="O1142" s="11">
        <v>0</v>
      </c>
      <c r="P1142" s="11">
        <v>0</v>
      </c>
      <c r="Q1142" s="11">
        <v>0</v>
      </c>
      <c r="R1142" s="11">
        <v>0</v>
      </c>
      <c r="S1142" s="11">
        <v>0</v>
      </c>
      <c r="T1142" s="11">
        <v>0</v>
      </c>
      <c r="U1142" s="11">
        <v>0</v>
      </c>
      <c r="V1142" s="11">
        <v>0</v>
      </c>
      <c r="X1142">
        <f ca="1">IF(V1142=0,0,OFFSET(CreditMetrics!$B$474,MATCH(RAND(),OFFSET(CreditMetrics!$C$474,1,MATCH(BDClientes!V1142,CreditMetrics!$B$475:$B$491,0),COUNT(CreditMetrics!$B$475:$B$491),1),1),0,1,1))</f>
        <v>0</v>
      </c>
      <c r="Z1142" s="79"/>
    </row>
    <row r="1143" spans="1:26" x14ac:dyDescent="0.25">
      <c r="A1143" s="4">
        <v>1142</v>
      </c>
      <c r="B1143" s="5" t="s">
        <v>1144</v>
      </c>
      <c r="C1143" s="11">
        <v>0</v>
      </c>
      <c r="D1143" s="11">
        <v>0</v>
      </c>
      <c r="E1143" s="11">
        <v>0</v>
      </c>
      <c r="F1143" s="11">
        <v>0</v>
      </c>
      <c r="G1143" s="11">
        <v>0</v>
      </c>
      <c r="H1143" s="11">
        <v>0</v>
      </c>
      <c r="I1143" s="11">
        <v>0</v>
      </c>
      <c r="J1143" s="11">
        <v>0</v>
      </c>
      <c r="K1143" s="11">
        <v>0</v>
      </c>
      <c r="L1143" s="11">
        <v>0</v>
      </c>
      <c r="M1143" s="11">
        <v>0</v>
      </c>
      <c r="N1143" s="11">
        <v>0</v>
      </c>
      <c r="O1143" s="11">
        <v>0</v>
      </c>
      <c r="P1143" s="11">
        <v>0</v>
      </c>
      <c r="Q1143" s="11">
        <v>0</v>
      </c>
      <c r="R1143" s="11">
        <v>0</v>
      </c>
      <c r="S1143" s="11">
        <v>0</v>
      </c>
      <c r="T1143" s="11">
        <v>0</v>
      </c>
      <c r="U1143" s="11">
        <v>0</v>
      </c>
      <c r="V1143" s="11">
        <v>0</v>
      </c>
      <c r="X1143">
        <f ca="1">IF(V1143=0,0,OFFSET(CreditMetrics!$B$474,MATCH(RAND(),OFFSET(CreditMetrics!$C$474,1,MATCH(BDClientes!V1143,CreditMetrics!$B$475:$B$491,0),COUNT(CreditMetrics!$B$475:$B$491),1),1),0,1,1))</f>
        <v>0</v>
      </c>
      <c r="Z1143" s="79"/>
    </row>
    <row r="1144" spans="1:26" x14ac:dyDescent="0.25">
      <c r="A1144" s="4">
        <v>1143</v>
      </c>
      <c r="B1144" s="5" t="s">
        <v>1145</v>
      </c>
      <c r="C1144" s="11">
        <v>0</v>
      </c>
      <c r="D1144" s="11">
        <v>0</v>
      </c>
      <c r="E1144" s="11">
        <v>0</v>
      </c>
      <c r="F1144" s="11">
        <v>0</v>
      </c>
      <c r="G1144" s="11">
        <v>0</v>
      </c>
      <c r="H1144" s="11">
        <v>0</v>
      </c>
      <c r="I1144" s="11">
        <v>0</v>
      </c>
      <c r="J1144" s="11">
        <v>0</v>
      </c>
      <c r="K1144" s="11">
        <v>0</v>
      </c>
      <c r="L1144" s="11">
        <v>0</v>
      </c>
      <c r="M1144" s="11">
        <v>0</v>
      </c>
      <c r="N1144" s="11">
        <v>0</v>
      </c>
      <c r="O1144" s="11">
        <v>0</v>
      </c>
      <c r="P1144" s="11">
        <v>0</v>
      </c>
      <c r="Q1144" s="11">
        <v>0</v>
      </c>
      <c r="R1144" s="11">
        <v>0</v>
      </c>
      <c r="S1144" s="11">
        <v>0</v>
      </c>
      <c r="T1144" s="11">
        <v>0</v>
      </c>
      <c r="U1144" s="11">
        <v>0</v>
      </c>
      <c r="V1144" s="11">
        <v>0</v>
      </c>
      <c r="X1144">
        <f ca="1">IF(V1144=0,0,OFFSET(CreditMetrics!$B$474,MATCH(RAND(),OFFSET(CreditMetrics!$C$474,1,MATCH(BDClientes!V1144,CreditMetrics!$B$475:$B$491,0),COUNT(CreditMetrics!$B$475:$B$491),1),1),0,1,1))</f>
        <v>0</v>
      </c>
      <c r="Z1144" s="79"/>
    </row>
    <row r="1145" spans="1:26" x14ac:dyDescent="0.25">
      <c r="A1145" s="4">
        <v>1144</v>
      </c>
      <c r="B1145" s="5" t="s">
        <v>1146</v>
      </c>
      <c r="C1145" s="11">
        <v>0</v>
      </c>
      <c r="D1145" s="11">
        <v>0</v>
      </c>
      <c r="E1145" s="11">
        <v>0</v>
      </c>
      <c r="F1145" s="11">
        <v>0</v>
      </c>
      <c r="G1145" s="11">
        <v>0</v>
      </c>
      <c r="H1145" s="11">
        <v>0</v>
      </c>
      <c r="I1145" s="11">
        <v>0</v>
      </c>
      <c r="J1145" s="11">
        <v>0</v>
      </c>
      <c r="K1145" s="11">
        <v>0</v>
      </c>
      <c r="L1145" s="11">
        <v>0</v>
      </c>
      <c r="M1145" s="11">
        <v>0</v>
      </c>
      <c r="N1145" s="11">
        <v>0</v>
      </c>
      <c r="O1145" s="11">
        <v>0</v>
      </c>
      <c r="P1145" s="11">
        <v>0</v>
      </c>
      <c r="Q1145" s="11">
        <v>0</v>
      </c>
      <c r="R1145" s="11">
        <v>0</v>
      </c>
      <c r="S1145" s="11">
        <v>0</v>
      </c>
      <c r="T1145" s="11">
        <v>0</v>
      </c>
      <c r="U1145" s="11">
        <v>0</v>
      </c>
      <c r="V1145" s="11">
        <v>0</v>
      </c>
      <c r="X1145">
        <f ca="1">IF(V1145=0,0,OFFSET(CreditMetrics!$B$474,MATCH(RAND(),OFFSET(CreditMetrics!$C$474,1,MATCH(BDClientes!V1145,CreditMetrics!$B$475:$B$491,0),COUNT(CreditMetrics!$B$475:$B$491),1),1),0,1,1))</f>
        <v>0</v>
      </c>
      <c r="Z1145" s="79"/>
    </row>
    <row r="1146" spans="1:26" x14ac:dyDescent="0.25">
      <c r="A1146" s="4">
        <v>1145</v>
      </c>
      <c r="B1146" s="5" t="s">
        <v>1147</v>
      </c>
      <c r="C1146" s="11">
        <v>0</v>
      </c>
      <c r="D1146" s="11">
        <v>0</v>
      </c>
      <c r="E1146" s="11">
        <v>0</v>
      </c>
      <c r="F1146" s="11">
        <v>0</v>
      </c>
      <c r="G1146" s="11">
        <v>0</v>
      </c>
      <c r="H1146" s="11">
        <v>0</v>
      </c>
      <c r="I1146" s="11">
        <v>0</v>
      </c>
      <c r="J1146" s="11">
        <v>0</v>
      </c>
      <c r="K1146" s="11">
        <v>0</v>
      </c>
      <c r="L1146" s="11">
        <v>0</v>
      </c>
      <c r="M1146" s="11">
        <v>0</v>
      </c>
      <c r="N1146" s="11">
        <v>0</v>
      </c>
      <c r="O1146" s="11">
        <v>0</v>
      </c>
      <c r="P1146" s="11">
        <v>0</v>
      </c>
      <c r="Q1146" s="11">
        <v>0</v>
      </c>
      <c r="R1146" s="11">
        <v>0</v>
      </c>
      <c r="S1146" s="11">
        <v>0</v>
      </c>
      <c r="T1146" s="11">
        <v>0</v>
      </c>
      <c r="U1146" s="11">
        <v>0</v>
      </c>
      <c r="V1146" s="11">
        <v>0</v>
      </c>
      <c r="X1146">
        <f ca="1">IF(V1146=0,0,OFFSET(CreditMetrics!$B$474,MATCH(RAND(),OFFSET(CreditMetrics!$C$474,1,MATCH(BDClientes!V1146,CreditMetrics!$B$475:$B$491,0),COUNT(CreditMetrics!$B$475:$B$491),1),1),0,1,1))</f>
        <v>0</v>
      </c>
      <c r="Z1146" s="79"/>
    </row>
    <row r="1147" spans="1:26" x14ac:dyDescent="0.25">
      <c r="A1147" s="4">
        <v>1146</v>
      </c>
      <c r="B1147" s="5" t="s">
        <v>1148</v>
      </c>
      <c r="C1147" s="11">
        <v>0</v>
      </c>
      <c r="D1147" s="11">
        <v>0</v>
      </c>
      <c r="E1147" s="11">
        <v>0</v>
      </c>
      <c r="F1147" s="11">
        <v>0</v>
      </c>
      <c r="G1147" s="11">
        <v>0</v>
      </c>
      <c r="H1147" s="11">
        <v>0</v>
      </c>
      <c r="I1147" s="11">
        <v>0</v>
      </c>
      <c r="J1147" s="11">
        <v>0</v>
      </c>
      <c r="K1147" s="11">
        <v>0</v>
      </c>
      <c r="L1147" s="11">
        <v>0</v>
      </c>
      <c r="M1147" s="11">
        <v>0</v>
      </c>
      <c r="N1147" s="11">
        <v>0</v>
      </c>
      <c r="O1147" s="11">
        <v>0</v>
      </c>
      <c r="P1147" s="11">
        <v>0</v>
      </c>
      <c r="Q1147" s="11">
        <v>0</v>
      </c>
      <c r="R1147" s="11">
        <v>0</v>
      </c>
      <c r="S1147" s="11">
        <v>0</v>
      </c>
      <c r="T1147" s="11">
        <v>0</v>
      </c>
      <c r="U1147" s="11">
        <v>0</v>
      </c>
      <c r="V1147" s="11">
        <v>0</v>
      </c>
      <c r="X1147">
        <f ca="1">IF(V1147=0,0,OFFSET(CreditMetrics!$B$474,MATCH(RAND(),OFFSET(CreditMetrics!$C$474,1,MATCH(BDClientes!V1147,CreditMetrics!$B$475:$B$491,0),COUNT(CreditMetrics!$B$475:$B$491),1),1),0,1,1))</f>
        <v>0</v>
      </c>
      <c r="Z1147" s="79"/>
    </row>
    <row r="1148" spans="1:26" x14ac:dyDescent="0.25">
      <c r="A1148" s="4">
        <v>1147</v>
      </c>
      <c r="B1148" s="5" t="s">
        <v>1149</v>
      </c>
      <c r="C1148" s="11">
        <v>0</v>
      </c>
      <c r="D1148" s="11">
        <v>0</v>
      </c>
      <c r="E1148" s="11">
        <v>0</v>
      </c>
      <c r="F1148" s="11">
        <v>0</v>
      </c>
      <c r="G1148" s="11">
        <v>0</v>
      </c>
      <c r="H1148" s="11">
        <v>0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>
        <v>0</v>
      </c>
      <c r="P1148" s="11">
        <v>0</v>
      </c>
      <c r="Q1148" s="11">
        <v>0</v>
      </c>
      <c r="R1148" s="11">
        <v>0</v>
      </c>
      <c r="S1148" s="11">
        <v>0</v>
      </c>
      <c r="T1148" s="11">
        <v>0</v>
      </c>
      <c r="U1148" s="11">
        <v>0</v>
      </c>
      <c r="V1148" s="11">
        <v>0</v>
      </c>
      <c r="X1148">
        <f ca="1">IF(V1148=0,0,OFFSET(CreditMetrics!$B$474,MATCH(RAND(),OFFSET(CreditMetrics!$C$474,1,MATCH(BDClientes!V1148,CreditMetrics!$B$475:$B$491,0),COUNT(CreditMetrics!$B$475:$B$491),1),1),0,1,1))</f>
        <v>0</v>
      </c>
      <c r="Z1148" s="79"/>
    </row>
    <row r="1149" spans="1:26" x14ac:dyDescent="0.25">
      <c r="A1149" s="4">
        <v>1148</v>
      </c>
      <c r="B1149" s="5" t="s">
        <v>1150</v>
      </c>
      <c r="C1149" s="11">
        <v>0</v>
      </c>
      <c r="D1149" s="11">
        <v>0</v>
      </c>
      <c r="E1149" s="11">
        <v>0</v>
      </c>
      <c r="F1149" s="11">
        <v>0</v>
      </c>
      <c r="G1149" s="11">
        <v>0</v>
      </c>
      <c r="H1149" s="11">
        <v>0</v>
      </c>
      <c r="I1149" s="11">
        <v>0</v>
      </c>
      <c r="J1149" s="11">
        <v>0</v>
      </c>
      <c r="K1149" s="11">
        <v>0</v>
      </c>
      <c r="L1149" s="11">
        <v>0</v>
      </c>
      <c r="M1149" s="11">
        <v>0</v>
      </c>
      <c r="N1149" s="11">
        <v>0</v>
      </c>
      <c r="O1149" s="11">
        <v>0</v>
      </c>
      <c r="P1149" s="11">
        <v>0</v>
      </c>
      <c r="Q1149" s="11">
        <v>0</v>
      </c>
      <c r="R1149" s="11">
        <v>0</v>
      </c>
      <c r="S1149" s="11">
        <v>0</v>
      </c>
      <c r="T1149" s="11">
        <v>0</v>
      </c>
      <c r="U1149" s="11">
        <v>0</v>
      </c>
      <c r="V1149" s="11">
        <v>0</v>
      </c>
      <c r="X1149">
        <f ca="1">IF(V1149=0,0,OFFSET(CreditMetrics!$B$474,MATCH(RAND(),OFFSET(CreditMetrics!$C$474,1,MATCH(BDClientes!V1149,CreditMetrics!$B$475:$B$491,0),COUNT(CreditMetrics!$B$475:$B$491),1),1),0,1,1))</f>
        <v>0</v>
      </c>
      <c r="Z1149" s="79"/>
    </row>
    <row r="1150" spans="1:26" x14ac:dyDescent="0.25">
      <c r="A1150" s="4">
        <v>1149</v>
      </c>
      <c r="B1150" s="5" t="s">
        <v>1151</v>
      </c>
      <c r="C1150" s="11">
        <v>0</v>
      </c>
      <c r="D1150" s="11">
        <v>0</v>
      </c>
      <c r="E1150" s="11">
        <v>0</v>
      </c>
      <c r="F1150" s="11">
        <v>0</v>
      </c>
      <c r="G1150" s="11">
        <v>0</v>
      </c>
      <c r="H1150" s="11">
        <v>0</v>
      </c>
      <c r="I1150" s="11">
        <v>0</v>
      </c>
      <c r="J1150" s="11">
        <v>0</v>
      </c>
      <c r="K1150" s="11">
        <v>0</v>
      </c>
      <c r="L1150" s="11">
        <v>0</v>
      </c>
      <c r="M1150" s="11">
        <v>0</v>
      </c>
      <c r="N1150" s="11">
        <v>0</v>
      </c>
      <c r="O1150" s="11">
        <v>0</v>
      </c>
      <c r="P1150" s="11">
        <v>0</v>
      </c>
      <c r="Q1150" s="11">
        <v>0</v>
      </c>
      <c r="R1150" s="11">
        <v>0</v>
      </c>
      <c r="S1150" s="11">
        <v>0</v>
      </c>
      <c r="T1150" s="11">
        <v>0</v>
      </c>
      <c r="U1150" s="11">
        <v>0</v>
      </c>
      <c r="V1150" s="11">
        <v>0</v>
      </c>
      <c r="X1150">
        <f ca="1">IF(V1150=0,0,OFFSET(CreditMetrics!$B$474,MATCH(RAND(),OFFSET(CreditMetrics!$C$474,1,MATCH(BDClientes!V1150,CreditMetrics!$B$475:$B$491,0),COUNT(CreditMetrics!$B$475:$B$491),1),1),0,1,1))</f>
        <v>0</v>
      </c>
      <c r="Z1150" s="79"/>
    </row>
    <row r="1151" spans="1:26" x14ac:dyDescent="0.25">
      <c r="A1151" s="4">
        <v>1150</v>
      </c>
      <c r="B1151" s="5" t="s">
        <v>1152</v>
      </c>
      <c r="C1151" s="11">
        <v>0</v>
      </c>
      <c r="D1151" s="11">
        <v>0</v>
      </c>
      <c r="E1151" s="11">
        <v>0</v>
      </c>
      <c r="F1151" s="11">
        <v>0</v>
      </c>
      <c r="G1151" s="11">
        <v>0</v>
      </c>
      <c r="H1151" s="11">
        <v>0</v>
      </c>
      <c r="I1151" s="11">
        <v>0</v>
      </c>
      <c r="J1151" s="11">
        <v>0</v>
      </c>
      <c r="K1151" s="11">
        <v>0</v>
      </c>
      <c r="L1151" s="11">
        <v>0</v>
      </c>
      <c r="M1151" s="11">
        <v>0</v>
      </c>
      <c r="N1151" s="11">
        <v>0</v>
      </c>
      <c r="O1151" s="11">
        <v>0</v>
      </c>
      <c r="P1151" s="11">
        <v>0</v>
      </c>
      <c r="Q1151" s="11">
        <v>0</v>
      </c>
      <c r="R1151" s="11">
        <v>0</v>
      </c>
      <c r="S1151" s="11">
        <v>0</v>
      </c>
      <c r="T1151" s="11">
        <v>0</v>
      </c>
      <c r="U1151" s="11">
        <v>0</v>
      </c>
      <c r="V1151" s="11">
        <v>0</v>
      </c>
      <c r="X1151">
        <f ca="1">IF(V1151=0,0,OFFSET(CreditMetrics!$B$474,MATCH(RAND(),OFFSET(CreditMetrics!$C$474,1,MATCH(BDClientes!V1151,CreditMetrics!$B$475:$B$491,0),COUNT(CreditMetrics!$B$475:$B$491),1),1),0,1,1))</f>
        <v>0</v>
      </c>
      <c r="Z1151" s="79"/>
    </row>
    <row r="1152" spans="1:26" x14ac:dyDescent="0.25">
      <c r="A1152" s="4">
        <v>1151</v>
      </c>
      <c r="B1152" s="5" t="s">
        <v>1153</v>
      </c>
      <c r="C1152" s="11">
        <v>0</v>
      </c>
      <c r="D1152" s="11">
        <v>0</v>
      </c>
      <c r="E1152" s="11">
        <v>0</v>
      </c>
      <c r="F1152" s="11">
        <v>0</v>
      </c>
      <c r="G1152" s="11">
        <v>0</v>
      </c>
      <c r="H1152" s="11">
        <v>0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>
        <v>0</v>
      </c>
      <c r="P1152" s="11">
        <v>0</v>
      </c>
      <c r="Q1152" s="11">
        <v>0</v>
      </c>
      <c r="R1152" s="11">
        <v>0</v>
      </c>
      <c r="S1152" s="11">
        <v>0</v>
      </c>
      <c r="T1152" s="11">
        <v>0</v>
      </c>
      <c r="U1152" s="11">
        <v>0</v>
      </c>
      <c r="V1152" s="11">
        <v>0</v>
      </c>
      <c r="X1152">
        <f ca="1">IF(V1152=0,0,OFFSET(CreditMetrics!$B$474,MATCH(RAND(),OFFSET(CreditMetrics!$C$474,1,MATCH(BDClientes!V1152,CreditMetrics!$B$475:$B$491,0),COUNT(CreditMetrics!$B$475:$B$491),1),1),0,1,1))</f>
        <v>0</v>
      </c>
      <c r="Z1152" s="79"/>
    </row>
    <row r="1153" spans="1:26" x14ac:dyDescent="0.25">
      <c r="A1153" s="4">
        <v>1152</v>
      </c>
      <c r="B1153" s="5" t="s">
        <v>1154</v>
      </c>
      <c r="C1153" s="11">
        <v>0</v>
      </c>
      <c r="D1153" s="11">
        <v>0</v>
      </c>
      <c r="E1153" s="11">
        <v>0</v>
      </c>
      <c r="F1153" s="11">
        <v>0</v>
      </c>
      <c r="G1153" s="11">
        <v>0</v>
      </c>
      <c r="H1153" s="11">
        <v>0</v>
      </c>
      <c r="I1153" s="11">
        <v>0</v>
      </c>
      <c r="J1153" s="11">
        <v>0</v>
      </c>
      <c r="K1153" s="11">
        <v>0</v>
      </c>
      <c r="L1153" s="11">
        <v>0</v>
      </c>
      <c r="M1153" s="11">
        <v>0</v>
      </c>
      <c r="N1153" s="11">
        <v>0</v>
      </c>
      <c r="O1153" s="11">
        <v>0</v>
      </c>
      <c r="P1153" s="11">
        <v>0</v>
      </c>
      <c r="Q1153" s="11">
        <v>0</v>
      </c>
      <c r="R1153" s="11">
        <v>0</v>
      </c>
      <c r="S1153" s="11">
        <v>0</v>
      </c>
      <c r="T1153" s="11">
        <v>0</v>
      </c>
      <c r="U1153" s="11">
        <v>0</v>
      </c>
      <c r="V1153" s="11">
        <v>0</v>
      </c>
      <c r="X1153">
        <f ca="1">IF(V1153=0,0,OFFSET(CreditMetrics!$B$474,MATCH(RAND(),OFFSET(CreditMetrics!$C$474,1,MATCH(BDClientes!V1153,CreditMetrics!$B$475:$B$491,0),COUNT(CreditMetrics!$B$475:$B$491),1),1),0,1,1))</f>
        <v>0</v>
      </c>
      <c r="Z1153" s="79"/>
    </row>
    <row r="1154" spans="1:26" x14ac:dyDescent="0.25">
      <c r="A1154" s="4">
        <v>1153</v>
      </c>
      <c r="B1154" s="5" t="s">
        <v>1155</v>
      </c>
      <c r="C1154" s="11">
        <v>0</v>
      </c>
      <c r="D1154" s="11">
        <v>0</v>
      </c>
      <c r="E1154" s="11">
        <v>0</v>
      </c>
      <c r="F1154" s="11">
        <v>0</v>
      </c>
      <c r="G1154" s="11">
        <v>0</v>
      </c>
      <c r="H1154" s="11">
        <v>0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>
        <v>0</v>
      </c>
      <c r="P1154" s="11">
        <v>0</v>
      </c>
      <c r="Q1154" s="11">
        <v>0</v>
      </c>
      <c r="R1154" s="11">
        <v>0</v>
      </c>
      <c r="S1154" s="11">
        <v>0</v>
      </c>
      <c r="T1154" s="11">
        <v>0</v>
      </c>
      <c r="U1154" s="11">
        <v>0</v>
      </c>
      <c r="V1154" s="11">
        <v>0</v>
      </c>
      <c r="X1154">
        <f ca="1">IF(V1154=0,0,OFFSET(CreditMetrics!$B$474,MATCH(RAND(),OFFSET(CreditMetrics!$C$474,1,MATCH(BDClientes!V1154,CreditMetrics!$B$475:$B$491,0),COUNT(CreditMetrics!$B$475:$B$491),1),1),0,1,1))</f>
        <v>0</v>
      </c>
      <c r="Z1154" s="79"/>
    </row>
    <row r="1155" spans="1:26" x14ac:dyDescent="0.25">
      <c r="A1155" s="4">
        <v>1154</v>
      </c>
      <c r="B1155" s="5" t="s">
        <v>1156</v>
      </c>
      <c r="C1155" s="11">
        <v>0</v>
      </c>
      <c r="D1155" s="11">
        <v>0</v>
      </c>
      <c r="E1155" s="11">
        <v>0</v>
      </c>
      <c r="F1155" s="11">
        <v>0</v>
      </c>
      <c r="G1155" s="11">
        <v>0</v>
      </c>
      <c r="H1155" s="11">
        <v>0</v>
      </c>
      <c r="I1155" s="11">
        <v>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>
        <v>0</v>
      </c>
      <c r="P1155" s="11">
        <v>0</v>
      </c>
      <c r="Q1155" s="11">
        <v>0</v>
      </c>
      <c r="R1155" s="11">
        <v>0</v>
      </c>
      <c r="S1155" s="11">
        <v>0</v>
      </c>
      <c r="T1155" s="11">
        <v>0</v>
      </c>
      <c r="U1155" s="11">
        <v>0</v>
      </c>
      <c r="V1155" s="11">
        <v>0</v>
      </c>
      <c r="X1155">
        <f ca="1">IF(V1155=0,0,OFFSET(CreditMetrics!$B$474,MATCH(RAND(),OFFSET(CreditMetrics!$C$474,1,MATCH(BDClientes!V1155,CreditMetrics!$B$475:$B$491,0),COUNT(CreditMetrics!$B$475:$B$491),1),1),0,1,1))</f>
        <v>0</v>
      </c>
      <c r="Z1155" s="79"/>
    </row>
    <row r="1156" spans="1:26" x14ac:dyDescent="0.25">
      <c r="A1156" s="4">
        <v>1155</v>
      </c>
      <c r="B1156" s="5" t="s">
        <v>1157</v>
      </c>
      <c r="C1156" s="11">
        <v>0</v>
      </c>
      <c r="D1156" s="11">
        <v>0</v>
      </c>
      <c r="E1156" s="11">
        <v>0</v>
      </c>
      <c r="F1156" s="11">
        <v>0</v>
      </c>
      <c r="G1156" s="11">
        <v>0</v>
      </c>
      <c r="H1156" s="11">
        <v>0</v>
      </c>
      <c r="I1156" s="11">
        <v>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>
        <v>0</v>
      </c>
      <c r="P1156" s="11">
        <v>0</v>
      </c>
      <c r="Q1156" s="11">
        <v>0</v>
      </c>
      <c r="R1156" s="11">
        <v>0</v>
      </c>
      <c r="S1156" s="11">
        <v>0</v>
      </c>
      <c r="T1156" s="11">
        <v>0</v>
      </c>
      <c r="U1156" s="11">
        <v>0</v>
      </c>
      <c r="V1156" s="11">
        <v>0</v>
      </c>
      <c r="X1156">
        <f ca="1">IF(V1156=0,0,OFFSET(CreditMetrics!$B$474,MATCH(RAND(),OFFSET(CreditMetrics!$C$474,1,MATCH(BDClientes!V1156,CreditMetrics!$B$475:$B$491,0),COUNT(CreditMetrics!$B$475:$B$491),1),1),0,1,1))</f>
        <v>0</v>
      </c>
      <c r="Z1156" s="79"/>
    </row>
    <row r="1157" spans="1:26" x14ac:dyDescent="0.25">
      <c r="A1157" s="4">
        <v>1156</v>
      </c>
      <c r="B1157" s="5" t="s">
        <v>1158</v>
      </c>
      <c r="C1157" s="11">
        <v>0</v>
      </c>
      <c r="D1157" s="11">
        <v>0</v>
      </c>
      <c r="E1157" s="11">
        <v>0</v>
      </c>
      <c r="F1157" s="11">
        <v>0</v>
      </c>
      <c r="G1157" s="11">
        <v>0</v>
      </c>
      <c r="H1157" s="11">
        <v>0</v>
      </c>
      <c r="I1157" s="11">
        <v>0</v>
      </c>
      <c r="J1157" s="11">
        <v>0</v>
      </c>
      <c r="K1157" s="11">
        <v>0</v>
      </c>
      <c r="L1157" s="11">
        <v>0</v>
      </c>
      <c r="M1157" s="11">
        <v>0</v>
      </c>
      <c r="N1157" s="11">
        <v>0</v>
      </c>
      <c r="O1157" s="11">
        <v>0</v>
      </c>
      <c r="P1157" s="11">
        <v>0</v>
      </c>
      <c r="Q1157" s="11">
        <v>0</v>
      </c>
      <c r="R1157" s="11">
        <v>0</v>
      </c>
      <c r="S1157" s="11">
        <v>0</v>
      </c>
      <c r="T1157" s="11">
        <v>0</v>
      </c>
      <c r="U1157" s="11">
        <v>0</v>
      </c>
      <c r="V1157" s="11">
        <v>0</v>
      </c>
      <c r="X1157">
        <f ca="1">IF(V1157=0,0,OFFSET(CreditMetrics!$B$474,MATCH(RAND(),OFFSET(CreditMetrics!$C$474,1,MATCH(BDClientes!V1157,CreditMetrics!$B$475:$B$491,0),COUNT(CreditMetrics!$B$475:$B$491),1),1),0,1,1))</f>
        <v>0</v>
      </c>
      <c r="Z1157" s="79"/>
    </row>
    <row r="1158" spans="1:26" x14ac:dyDescent="0.25">
      <c r="A1158" s="4">
        <v>1157</v>
      </c>
      <c r="B1158" s="5" t="s">
        <v>1159</v>
      </c>
      <c r="C1158" s="11">
        <v>0</v>
      </c>
      <c r="D1158" s="11">
        <v>0</v>
      </c>
      <c r="E1158" s="11">
        <v>0</v>
      </c>
      <c r="F1158" s="11">
        <v>0</v>
      </c>
      <c r="G1158" s="11">
        <v>0</v>
      </c>
      <c r="H1158" s="11">
        <v>0</v>
      </c>
      <c r="I1158" s="11">
        <v>0</v>
      </c>
      <c r="J1158" s="11">
        <v>0</v>
      </c>
      <c r="K1158" s="11">
        <v>0</v>
      </c>
      <c r="L1158" s="11">
        <v>0</v>
      </c>
      <c r="M1158" s="11">
        <v>0</v>
      </c>
      <c r="N1158" s="11">
        <v>0</v>
      </c>
      <c r="O1158" s="11">
        <v>0</v>
      </c>
      <c r="P1158" s="11">
        <v>0</v>
      </c>
      <c r="Q1158" s="11">
        <v>0</v>
      </c>
      <c r="R1158" s="11">
        <v>0</v>
      </c>
      <c r="S1158" s="11">
        <v>0</v>
      </c>
      <c r="T1158" s="11">
        <v>0</v>
      </c>
      <c r="U1158" s="11">
        <v>0</v>
      </c>
      <c r="V1158" s="11">
        <v>0</v>
      </c>
      <c r="X1158">
        <f ca="1">IF(V1158=0,0,OFFSET(CreditMetrics!$B$474,MATCH(RAND(),OFFSET(CreditMetrics!$C$474,1,MATCH(BDClientes!V1158,CreditMetrics!$B$475:$B$491,0),COUNT(CreditMetrics!$B$475:$B$491),1),1),0,1,1))</f>
        <v>0</v>
      </c>
      <c r="Z1158" s="79"/>
    </row>
    <row r="1159" spans="1:26" x14ac:dyDescent="0.25">
      <c r="A1159" s="4">
        <v>1158</v>
      </c>
      <c r="B1159" s="5" t="s">
        <v>1160</v>
      </c>
      <c r="C1159" s="11">
        <v>0</v>
      </c>
      <c r="D1159" s="11">
        <v>0</v>
      </c>
      <c r="E1159" s="11">
        <v>0</v>
      </c>
      <c r="F1159" s="11">
        <v>0</v>
      </c>
      <c r="G1159" s="11">
        <v>0</v>
      </c>
      <c r="H1159" s="11">
        <v>0</v>
      </c>
      <c r="I1159" s="11">
        <v>0</v>
      </c>
      <c r="J1159" s="11">
        <v>0</v>
      </c>
      <c r="K1159" s="11">
        <v>0</v>
      </c>
      <c r="L1159" s="11">
        <v>0</v>
      </c>
      <c r="M1159" s="11">
        <v>0</v>
      </c>
      <c r="N1159" s="11">
        <v>0</v>
      </c>
      <c r="O1159" s="11">
        <v>0</v>
      </c>
      <c r="P1159" s="11">
        <v>0</v>
      </c>
      <c r="Q1159" s="11">
        <v>0</v>
      </c>
      <c r="R1159" s="11">
        <v>0</v>
      </c>
      <c r="S1159" s="11">
        <v>0</v>
      </c>
      <c r="T1159" s="11">
        <v>0</v>
      </c>
      <c r="U1159" s="11">
        <v>0</v>
      </c>
      <c r="V1159" s="11">
        <v>0</v>
      </c>
      <c r="X1159">
        <f ca="1">IF(V1159=0,0,OFFSET(CreditMetrics!$B$474,MATCH(RAND(),OFFSET(CreditMetrics!$C$474,1,MATCH(BDClientes!V1159,CreditMetrics!$B$475:$B$491,0),COUNT(CreditMetrics!$B$475:$B$491),1),1),0,1,1))</f>
        <v>0</v>
      </c>
      <c r="Z1159" s="79"/>
    </row>
    <row r="1160" spans="1:26" x14ac:dyDescent="0.25">
      <c r="A1160" s="4">
        <v>1159</v>
      </c>
      <c r="B1160" s="5" t="s">
        <v>1161</v>
      </c>
      <c r="C1160" s="11">
        <v>0</v>
      </c>
      <c r="D1160" s="11">
        <v>0</v>
      </c>
      <c r="E1160" s="11">
        <v>0</v>
      </c>
      <c r="F1160" s="11">
        <v>0</v>
      </c>
      <c r="G1160" s="11">
        <v>0</v>
      </c>
      <c r="H1160" s="11">
        <v>0</v>
      </c>
      <c r="I1160" s="11">
        <v>0</v>
      </c>
      <c r="J1160" s="11">
        <v>0</v>
      </c>
      <c r="K1160" s="11">
        <v>0</v>
      </c>
      <c r="L1160" s="11">
        <v>0</v>
      </c>
      <c r="M1160" s="11">
        <v>0</v>
      </c>
      <c r="N1160" s="11">
        <v>0</v>
      </c>
      <c r="O1160" s="11">
        <v>0</v>
      </c>
      <c r="P1160" s="11">
        <v>0</v>
      </c>
      <c r="Q1160" s="11">
        <v>0</v>
      </c>
      <c r="R1160" s="11">
        <v>0</v>
      </c>
      <c r="S1160" s="11">
        <v>0</v>
      </c>
      <c r="T1160" s="11">
        <v>0</v>
      </c>
      <c r="U1160" s="11">
        <v>0</v>
      </c>
      <c r="V1160" s="11">
        <v>0</v>
      </c>
      <c r="X1160">
        <f ca="1">IF(V1160=0,0,OFFSET(CreditMetrics!$B$474,MATCH(RAND(),OFFSET(CreditMetrics!$C$474,1,MATCH(BDClientes!V1160,CreditMetrics!$B$475:$B$491,0),COUNT(CreditMetrics!$B$475:$B$491),1),1),0,1,1))</f>
        <v>0</v>
      </c>
      <c r="Z1160" s="79"/>
    </row>
    <row r="1161" spans="1:26" x14ac:dyDescent="0.25">
      <c r="A1161" s="4">
        <v>1160</v>
      </c>
      <c r="B1161" s="5" t="s">
        <v>1162</v>
      </c>
      <c r="C1161" s="11">
        <v>0</v>
      </c>
      <c r="D1161" s="11">
        <v>0</v>
      </c>
      <c r="E1161" s="11">
        <v>0</v>
      </c>
      <c r="F1161" s="11">
        <v>0</v>
      </c>
      <c r="G1161" s="11">
        <v>0</v>
      </c>
      <c r="H1161" s="11">
        <v>0</v>
      </c>
      <c r="I1161" s="11">
        <v>0</v>
      </c>
      <c r="J1161" s="11">
        <v>0</v>
      </c>
      <c r="K1161" s="11">
        <v>0</v>
      </c>
      <c r="L1161" s="11">
        <v>0</v>
      </c>
      <c r="M1161" s="11">
        <v>0</v>
      </c>
      <c r="N1161" s="11">
        <v>0</v>
      </c>
      <c r="O1161" s="11">
        <v>0</v>
      </c>
      <c r="P1161" s="11">
        <v>0</v>
      </c>
      <c r="Q1161" s="11">
        <v>0</v>
      </c>
      <c r="R1161" s="11">
        <v>0</v>
      </c>
      <c r="S1161" s="11">
        <v>0</v>
      </c>
      <c r="T1161" s="11">
        <v>0</v>
      </c>
      <c r="U1161" s="11">
        <v>0</v>
      </c>
      <c r="V1161" s="11">
        <v>0</v>
      </c>
      <c r="X1161">
        <f ca="1">IF(V1161=0,0,OFFSET(CreditMetrics!$B$474,MATCH(RAND(),OFFSET(CreditMetrics!$C$474,1,MATCH(BDClientes!V1161,CreditMetrics!$B$475:$B$491,0),COUNT(CreditMetrics!$B$475:$B$491),1),1),0,1,1))</f>
        <v>0</v>
      </c>
      <c r="Z1161" s="79"/>
    </row>
    <row r="1162" spans="1:26" x14ac:dyDescent="0.25">
      <c r="A1162" s="4">
        <v>1161</v>
      </c>
      <c r="B1162" s="5" t="s">
        <v>1163</v>
      </c>
      <c r="C1162" s="11">
        <v>0</v>
      </c>
      <c r="D1162" s="11">
        <v>0</v>
      </c>
      <c r="E1162" s="11">
        <v>0</v>
      </c>
      <c r="F1162" s="11">
        <v>0</v>
      </c>
      <c r="G1162" s="11">
        <v>0</v>
      </c>
      <c r="H1162" s="11">
        <v>0</v>
      </c>
      <c r="I1162" s="11">
        <v>0</v>
      </c>
      <c r="J1162" s="11">
        <v>0</v>
      </c>
      <c r="K1162" s="11">
        <v>0</v>
      </c>
      <c r="L1162" s="11">
        <v>0</v>
      </c>
      <c r="M1162" s="11">
        <v>0</v>
      </c>
      <c r="N1162" s="11">
        <v>0</v>
      </c>
      <c r="O1162" s="11">
        <v>0</v>
      </c>
      <c r="P1162" s="11">
        <v>0</v>
      </c>
      <c r="Q1162" s="11">
        <v>0</v>
      </c>
      <c r="R1162" s="11">
        <v>0</v>
      </c>
      <c r="S1162" s="11">
        <v>0</v>
      </c>
      <c r="T1162" s="11">
        <v>0</v>
      </c>
      <c r="U1162" s="11">
        <v>0</v>
      </c>
      <c r="V1162" s="11">
        <v>0</v>
      </c>
      <c r="X1162">
        <f ca="1">IF(V1162=0,0,OFFSET(CreditMetrics!$B$474,MATCH(RAND(),OFFSET(CreditMetrics!$C$474,1,MATCH(BDClientes!V1162,CreditMetrics!$B$475:$B$491,0),COUNT(CreditMetrics!$B$475:$B$491),1),1),0,1,1))</f>
        <v>0</v>
      </c>
      <c r="Z1162" s="79"/>
    </row>
    <row r="1163" spans="1:26" x14ac:dyDescent="0.25">
      <c r="A1163" s="4">
        <v>1162</v>
      </c>
      <c r="B1163" s="5" t="s">
        <v>1164</v>
      </c>
      <c r="C1163" s="11">
        <v>0</v>
      </c>
      <c r="D1163" s="11">
        <v>0</v>
      </c>
      <c r="E1163" s="11">
        <v>0</v>
      </c>
      <c r="F1163" s="11">
        <v>0</v>
      </c>
      <c r="G1163" s="11">
        <v>0</v>
      </c>
      <c r="H1163" s="11">
        <v>0</v>
      </c>
      <c r="I1163" s="11">
        <v>0</v>
      </c>
      <c r="J1163" s="11">
        <v>0</v>
      </c>
      <c r="K1163" s="11">
        <v>0</v>
      </c>
      <c r="L1163" s="11">
        <v>0</v>
      </c>
      <c r="M1163" s="11">
        <v>0</v>
      </c>
      <c r="N1163" s="11">
        <v>0</v>
      </c>
      <c r="O1163" s="11">
        <v>0</v>
      </c>
      <c r="P1163" s="11">
        <v>0</v>
      </c>
      <c r="Q1163" s="11">
        <v>0</v>
      </c>
      <c r="R1163" s="11">
        <v>0</v>
      </c>
      <c r="S1163" s="11">
        <v>0</v>
      </c>
      <c r="T1163" s="11">
        <v>0</v>
      </c>
      <c r="U1163" s="11">
        <v>0</v>
      </c>
      <c r="V1163" s="11">
        <v>0</v>
      </c>
      <c r="X1163">
        <f ca="1">IF(V1163=0,0,OFFSET(CreditMetrics!$B$474,MATCH(RAND(),OFFSET(CreditMetrics!$C$474,1,MATCH(BDClientes!V1163,CreditMetrics!$B$475:$B$491,0),COUNT(CreditMetrics!$B$475:$B$491),1),1),0,1,1))</f>
        <v>0</v>
      </c>
      <c r="Z1163" s="79"/>
    </row>
    <row r="1164" spans="1:26" x14ac:dyDescent="0.25">
      <c r="A1164" s="4">
        <v>1163</v>
      </c>
      <c r="B1164" s="5" t="s">
        <v>1165</v>
      </c>
      <c r="C1164" s="11">
        <v>0</v>
      </c>
      <c r="D1164" s="11">
        <v>0</v>
      </c>
      <c r="E1164" s="11">
        <v>0</v>
      </c>
      <c r="F1164" s="11">
        <v>0</v>
      </c>
      <c r="G1164" s="11">
        <v>0</v>
      </c>
      <c r="H1164" s="11">
        <v>0</v>
      </c>
      <c r="I1164" s="11">
        <v>0</v>
      </c>
      <c r="J1164" s="11">
        <v>0</v>
      </c>
      <c r="K1164" s="11">
        <v>0</v>
      </c>
      <c r="L1164" s="11">
        <v>0</v>
      </c>
      <c r="M1164" s="11">
        <v>0</v>
      </c>
      <c r="N1164" s="11">
        <v>0</v>
      </c>
      <c r="O1164" s="11">
        <v>0</v>
      </c>
      <c r="P1164" s="11">
        <v>0</v>
      </c>
      <c r="Q1164" s="11">
        <v>0</v>
      </c>
      <c r="R1164" s="11">
        <v>0</v>
      </c>
      <c r="S1164" s="11">
        <v>0</v>
      </c>
      <c r="T1164" s="11">
        <v>0</v>
      </c>
      <c r="U1164" s="11">
        <v>0</v>
      </c>
      <c r="V1164" s="11">
        <v>0</v>
      </c>
      <c r="X1164">
        <f ca="1">IF(V1164=0,0,OFFSET(CreditMetrics!$B$474,MATCH(RAND(),OFFSET(CreditMetrics!$C$474,1,MATCH(BDClientes!V1164,CreditMetrics!$B$475:$B$491,0),COUNT(CreditMetrics!$B$475:$B$491),1),1),0,1,1))</f>
        <v>0</v>
      </c>
      <c r="Z1164" s="79"/>
    </row>
    <row r="1165" spans="1:26" x14ac:dyDescent="0.25">
      <c r="A1165" s="4">
        <v>1164</v>
      </c>
      <c r="B1165" s="5" t="s">
        <v>1166</v>
      </c>
      <c r="C1165" s="11">
        <v>0</v>
      </c>
      <c r="D1165" s="11">
        <v>0</v>
      </c>
      <c r="E1165" s="11">
        <v>0</v>
      </c>
      <c r="F1165" s="11">
        <v>0</v>
      </c>
      <c r="G1165" s="11">
        <v>0</v>
      </c>
      <c r="H1165" s="11">
        <v>0</v>
      </c>
      <c r="I1165" s="11">
        <v>0</v>
      </c>
      <c r="J1165" s="11">
        <v>0</v>
      </c>
      <c r="K1165" s="11">
        <v>0</v>
      </c>
      <c r="L1165" s="11">
        <v>0</v>
      </c>
      <c r="M1165" s="11">
        <v>0</v>
      </c>
      <c r="N1165" s="11">
        <v>0</v>
      </c>
      <c r="O1165" s="11">
        <v>0</v>
      </c>
      <c r="P1165" s="11">
        <v>0</v>
      </c>
      <c r="Q1165" s="11">
        <v>0</v>
      </c>
      <c r="R1165" s="11">
        <v>0</v>
      </c>
      <c r="S1165" s="11">
        <v>0</v>
      </c>
      <c r="T1165" s="11">
        <v>0</v>
      </c>
      <c r="U1165" s="11">
        <v>0</v>
      </c>
      <c r="V1165" s="11">
        <v>0</v>
      </c>
      <c r="X1165">
        <f ca="1">IF(V1165=0,0,OFFSET(CreditMetrics!$B$474,MATCH(RAND(),OFFSET(CreditMetrics!$C$474,1,MATCH(BDClientes!V1165,CreditMetrics!$B$475:$B$491,0),COUNT(CreditMetrics!$B$475:$B$491),1),1),0,1,1))</f>
        <v>0</v>
      </c>
      <c r="Z1165" s="79"/>
    </row>
    <row r="1166" spans="1:26" x14ac:dyDescent="0.25">
      <c r="A1166" s="4">
        <v>1165</v>
      </c>
      <c r="B1166" s="5" t="s">
        <v>1167</v>
      </c>
      <c r="C1166" s="11">
        <v>0</v>
      </c>
      <c r="D1166" s="11">
        <v>0</v>
      </c>
      <c r="E1166" s="11">
        <v>0</v>
      </c>
      <c r="F1166" s="11">
        <v>0</v>
      </c>
      <c r="G1166" s="11">
        <v>0</v>
      </c>
      <c r="H1166" s="11">
        <v>0</v>
      </c>
      <c r="I1166" s="11">
        <v>0</v>
      </c>
      <c r="J1166" s="11">
        <v>0</v>
      </c>
      <c r="K1166" s="11">
        <v>0</v>
      </c>
      <c r="L1166" s="11">
        <v>0</v>
      </c>
      <c r="M1166" s="11">
        <v>0</v>
      </c>
      <c r="N1166" s="11">
        <v>0</v>
      </c>
      <c r="O1166" s="11">
        <v>0</v>
      </c>
      <c r="P1166" s="11">
        <v>0</v>
      </c>
      <c r="Q1166" s="11">
        <v>0</v>
      </c>
      <c r="R1166" s="11">
        <v>0</v>
      </c>
      <c r="S1166" s="11">
        <v>0</v>
      </c>
      <c r="T1166" s="11">
        <v>0</v>
      </c>
      <c r="U1166" s="11">
        <v>0</v>
      </c>
      <c r="V1166" s="11">
        <v>0</v>
      </c>
      <c r="X1166">
        <f ca="1">IF(V1166=0,0,OFFSET(CreditMetrics!$B$474,MATCH(RAND(),OFFSET(CreditMetrics!$C$474,1,MATCH(BDClientes!V1166,CreditMetrics!$B$475:$B$491,0),COUNT(CreditMetrics!$B$475:$B$491),1),1),0,1,1))</f>
        <v>0</v>
      </c>
      <c r="Z1166" s="79"/>
    </row>
    <row r="1167" spans="1:26" x14ac:dyDescent="0.25">
      <c r="A1167" s="4">
        <v>1166</v>
      </c>
      <c r="B1167" s="5" t="s">
        <v>1168</v>
      </c>
      <c r="C1167" s="11">
        <v>0</v>
      </c>
      <c r="D1167" s="11">
        <v>0</v>
      </c>
      <c r="E1167" s="11">
        <v>0</v>
      </c>
      <c r="F1167" s="11">
        <v>0</v>
      </c>
      <c r="G1167" s="11">
        <v>0</v>
      </c>
      <c r="H1167" s="11">
        <v>0</v>
      </c>
      <c r="I1167" s="11">
        <v>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>
        <v>0</v>
      </c>
      <c r="P1167" s="11">
        <v>0</v>
      </c>
      <c r="Q1167" s="11">
        <v>0</v>
      </c>
      <c r="R1167" s="11">
        <v>0</v>
      </c>
      <c r="S1167" s="11">
        <v>0</v>
      </c>
      <c r="T1167" s="11">
        <v>0</v>
      </c>
      <c r="U1167" s="11">
        <v>0</v>
      </c>
      <c r="V1167" s="11">
        <v>0</v>
      </c>
      <c r="X1167">
        <f ca="1">IF(V1167=0,0,OFFSET(CreditMetrics!$B$474,MATCH(RAND(),OFFSET(CreditMetrics!$C$474,1,MATCH(BDClientes!V1167,CreditMetrics!$B$475:$B$491,0),COUNT(CreditMetrics!$B$475:$B$491),1),1),0,1,1))</f>
        <v>0</v>
      </c>
      <c r="Z1167" s="79"/>
    </row>
    <row r="1168" spans="1:26" x14ac:dyDescent="0.25">
      <c r="A1168" s="4">
        <v>1167</v>
      </c>
      <c r="B1168" s="5" t="s">
        <v>1169</v>
      </c>
      <c r="C1168" s="11">
        <v>0</v>
      </c>
      <c r="D1168" s="11">
        <v>0</v>
      </c>
      <c r="E1168" s="11">
        <v>0</v>
      </c>
      <c r="F1168" s="11">
        <v>0</v>
      </c>
      <c r="G1168" s="11">
        <v>0</v>
      </c>
      <c r="H1168" s="11">
        <v>0</v>
      </c>
      <c r="I1168" s="11">
        <v>0</v>
      </c>
      <c r="J1168" s="11">
        <v>0</v>
      </c>
      <c r="K1168" s="11">
        <v>0</v>
      </c>
      <c r="L1168" s="11">
        <v>0</v>
      </c>
      <c r="M1168" s="11">
        <v>0</v>
      </c>
      <c r="N1168" s="11">
        <v>0</v>
      </c>
      <c r="O1168" s="11">
        <v>0</v>
      </c>
      <c r="P1168" s="11">
        <v>0</v>
      </c>
      <c r="Q1168" s="11">
        <v>0</v>
      </c>
      <c r="R1168" s="11">
        <v>0</v>
      </c>
      <c r="S1168" s="11">
        <v>0</v>
      </c>
      <c r="T1168" s="11">
        <v>0</v>
      </c>
      <c r="U1168" s="11">
        <v>0</v>
      </c>
      <c r="V1168" s="11">
        <v>0</v>
      </c>
      <c r="X1168">
        <f ca="1">IF(V1168=0,0,OFFSET(CreditMetrics!$B$474,MATCH(RAND(),OFFSET(CreditMetrics!$C$474,1,MATCH(BDClientes!V1168,CreditMetrics!$B$475:$B$491,0),COUNT(CreditMetrics!$B$475:$B$491),1),1),0,1,1))</f>
        <v>0</v>
      </c>
      <c r="Z1168" s="79"/>
    </row>
    <row r="1169" spans="1:26" x14ac:dyDescent="0.25">
      <c r="A1169" s="4">
        <v>1168</v>
      </c>
      <c r="B1169" s="5" t="s">
        <v>1170</v>
      </c>
      <c r="C1169" s="11">
        <v>0</v>
      </c>
      <c r="D1169" s="11">
        <v>0</v>
      </c>
      <c r="E1169" s="11">
        <v>0</v>
      </c>
      <c r="F1169" s="11">
        <v>0</v>
      </c>
      <c r="G1169" s="11">
        <v>0</v>
      </c>
      <c r="H1169" s="11">
        <v>0</v>
      </c>
      <c r="I1169" s="11">
        <v>0</v>
      </c>
      <c r="J1169" s="11">
        <v>0</v>
      </c>
      <c r="K1169" s="11">
        <v>0</v>
      </c>
      <c r="L1169" s="11">
        <v>0</v>
      </c>
      <c r="M1169" s="11">
        <v>0</v>
      </c>
      <c r="N1169" s="11">
        <v>0</v>
      </c>
      <c r="O1169" s="11">
        <v>0</v>
      </c>
      <c r="P1169" s="11">
        <v>0</v>
      </c>
      <c r="Q1169" s="11">
        <v>0</v>
      </c>
      <c r="R1169" s="11">
        <v>0</v>
      </c>
      <c r="S1169" s="11">
        <v>0</v>
      </c>
      <c r="T1169" s="11">
        <v>0</v>
      </c>
      <c r="U1169" s="11">
        <v>0</v>
      </c>
      <c r="V1169" s="11">
        <v>0</v>
      </c>
      <c r="X1169">
        <f ca="1">IF(V1169=0,0,OFFSET(CreditMetrics!$B$474,MATCH(RAND(),OFFSET(CreditMetrics!$C$474,1,MATCH(BDClientes!V1169,CreditMetrics!$B$475:$B$491,0),COUNT(CreditMetrics!$B$475:$B$491),1),1),0,1,1))</f>
        <v>0</v>
      </c>
      <c r="Z1169" s="79"/>
    </row>
    <row r="1170" spans="1:26" x14ac:dyDescent="0.25">
      <c r="A1170" s="4">
        <v>1169</v>
      </c>
      <c r="B1170" s="5" t="s">
        <v>1171</v>
      </c>
      <c r="C1170" s="6">
        <v>0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6">
        <v>0</v>
      </c>
      <c r="L1170" s="6">
        <v>0</v>
      </c>
      <c r="M1170" s="6">
        <v>0</v>
      </c>
      <c r="N1170" s="6">
        <v>0</v>
      </c>
      <c r="O1170" s="6"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X1170">
        <f ca="1">IF(V1170=0,0,OFFSET(CreditMetrics!$B$474,MATCH(RAND(),OFFSET(CreditMetrics!$C$474,1,MATCH(BDClientes!V1170,CreditMetrics!$B$475:$B$491,0),COUNT(CreditMetrics!$B$475:$B$491),1),1),0,1,1))</f>
        <v>0</v>
      </c>
      <c r="Z1170" s="79"/>
    </row>
    <row r="1171" spans="1:26" x14ac:dyDescent="0.25">
      <c r="A1171" s="4">
        <v>1170</v>
      </c>
      <c r="B1171" s="5" t="s">
        <v>1172</v>
      </c>
      <c r="C1171" s="7">
        <v>0</v>
      </c>
      <c r="D1171" s="7">
        <v>0</v>
      </c>
      <c r="E1171" s="7">
        <v>0</v>
      </c>
      <c r="F1171" s="7">
        <v>0</v>
      </c>
      <c r="G1171" s="7">
        <v>0</v>
      </c>
      <c r="H1171" s="7">
        <v>0</v>
      </c>
      <c r="I1171" s="7">
        <v>0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0</v>
      </c>
      <c r="S1171" s="7">
        <v>0</v>
      </c>
      <c r="T1171" s="7">
        <v>0</v>
      </c>
      <c r="U1171" s="7">
        <v>0</v>
      </c>
      <c r="V1171" s="7">
        <v>0</v>
      </c>
      <c r="X1171">
        <f ca="1">IF(V1171=0,0,OFFSET(CreditMetrics!$B$474,MATCH(RAND(),OFFSET(CreditMetrics!$C$474,1,MATCH(BDClientes!V1171,CreditMetrics!$B$475:$B$491,0),COUNT(CreditMetrics!$B$475:$B$491),1),1),0,1,1))</f>
        <v>0</v>
      </c>
      <c r="Z1171" s="79"/>
    </row>
    <row r="1172" spans="1:26" x14ac:dyDescent="0.25">
      <c r="A1172" s="11" t="s">
        <v>1173</v>
      </c>
      <c r="B1172" s="11" t="s">
        <v>1174</v>
      </c>
      <c r="C1172" s="6">
        <v>0</v>
      </c>
      <c r="D1172" s="6">
        <v>0</v>
      </c>
      <c r="E1172" s="6">
        <v>0</v>
      </c>
      <c r="F1172" s="6">
        <v>0</v>
      </c>
      <c r="G1172" s="6">
        <v>0</v>
      </c>
      <c r="H1172" s="6">
        <v>0</v>
      </c>
      <c r="I1172" s="6">
        <v>0</v>
      </c>
      <c r="J1172" s="6">
        <v>0</v>
      </c>
      <c r="K1172" s="6">
        <v>0</v>
      </c>
      <c r="L1172" s="6">
        <v>0</v>
      </c>
      <c r="M1172" s="6">
        <v>0</v>
      </c>
      <c r="N1172" s="6">
        <v>0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X1172">
        <f ca="1">IF(V1172=0,0,OFFSET(CreditMetrics!$B$474,MATCH(RAND(),OFFSET(CreditMetrics!$C$474,1,MATCH(BDClientes!V1172,CreditMetrics!$B$475:$B$491,0),COUNT(CreditMetrics!$B$475:$B$491),1),1),0,1,1))</f>
        <v>0</v>
      </c>
      <c r="Z1172" s="79"/>
    </row>
    <row r="1173" spans="1:26" x14ac:dyDescent="0.25">
      <c r="A1173" s="11" t="s">
        <v>1173</v>
      </c>
      <c r="B1173" s="11" t="s">
        <v>1174</v>
      </c>
      <c r="C1173" s="15">
        <v>22</v>
      </c>
      <c r="D1173" s="15">
        <v>22</v>
      </c>
      <c r="E1173" s="15">
        <v>22</v>
      </c>
      <c r="F1173" s="15">
        <v>22</v>
      </c>
      <c r="G1173" s="15">
        <v>22</v>
      </c>
      <c r="H1173" s="15">
        <v>22</v>
      </c>
      <c r="I1173" s="15">
        <v>22</v>
      </c>
      <c r="J1173" s="15">
        <v>22</v>
      </c>
      <c r="K1173" s="15">
        <v>22</v>
      </c>
      <c r="L1173" s="15">
        <v>22</v>
      </c>
      <c r="M1173" s="15">
        <v>22</v>
      </c>
      <c r="N1173" s="15">
        <v>22</v>
      </c>
      <c r="O1173" s="15">
        <v>22</v>
      </c>
      <c r="P1173" s="15">
        <v>22</v>
      </c>
      <c r="Q1173" s="15">
        <v>22</v>
      </c>
      <c r="R1173" s="15">
        <v>22</v>
      </c>
      <c r="S1173" s="15">
        <v>22</v>
      </c>
      <c r="T1173" s="15">
        <v>22</v>
      </c>
      <c r="U1173" s="15">
        <v>22</v>
      </c>
      <c r="V1173" s="15">
        <v>22</v>
      </c>
      <c r="W1173" s="138"/>
      <c r="X1173">
        <f ca="1">IF(V1173=0,0,OFFSET(CreditMetrics!$B$474,MATCH(RAND(),OFFSET(CreditMetrics!$C$474,1,MATCH(BDClientes!V1173,CreditMetrics!$B$475:$B$491,0),COUNT(CreditMetrics!$B$475:$B$491),1),1),0,1,1))</f>
        <v>22</v>
      </c>
      <c r="Z1173" s="79"/>
    </row>
    <row r="1174" spans="1:26" x14ac:dyDescent="0.25">
      <c r="A1174" s="11" t="s">
        <v>1173</v>
      </c>
      <c r="B1174" s="11" t="s">
        <v>1174</v>
      </c>
      <c r="C1174" s="15">
        <v>40</v>
      </c>
      <c r="D1174" s="15">
        <v>40</v>
      </c>
      <c r="E1174" s="15">
        <v>40</v>
      </c>
      <c r="F1174" s="15">
        <v>40</v>
      </c>
      <c r="G1174" s="15">
        <v>40</v>
      </c>
      <c r="H1174" s="15">
        <v>40</v>
      </c>
      <c r="I1174" s="15">
        <v>40</v>
      </c>
      <c r="J1174" s="15">
        <v>40</v>
      </c>
      <c r="K1174" s="15">
        <v>40</v>
      </c>
      <c r="L1174" s="15">
        <v>40</v>
      </c>
      <c r="M1174" s="15">
        <v>40</v>
      </c>
      <c r="N1174" s="15">
        <v>40</v>
      </c>
      <c r="O1174" s="15">
        <v>40</v>
      </c>
      <c r="P1174" s="15">
        <v>40</v>
      </c>
      <c r="Q1174" s="15">
        <v>40</v>
      </c>
      <c r="R1174" s="15">
        <v>40</v>
      </c>
      <c r="S1174" s="15">
        <v>40</v>
      </c>
      <c r="T1174" s="15">
        <v>40</v>
      </c>
      <c r="U1174" s="15">
        <v>40</v>
      </c>
      <c r="V1174" s="15">
        <v>40</v>
      </c>
      <c r="W1174" s="138"/>
      <c r="X1174">
        <f ca="1">IF(V1174=0,0,OFFSET(CreditMetrics!$B$474,MATCH(RAND(),OFFSET(CreditMetrics!$C$474,1,MATCH(BDClientes!V1174,CreditMetrics!$B$475:$B$491,0),COUNT(CreditMetrics!$B$475:$B$491),1),1),0,1,1))</f>
        <v>40</v>
      </c>
      <c r="Z1174" s="79"/>
    </row>
    <row r="1175" spans="1:26" x14ac:dyDescent="0.25">
      <c r="A1175" s="11" t="s">
        <v>1173</v>
      </c>
      <c r="B1175" s="11" t="s">
        <v>1174</v>
      </c>
      <c r="C1175" s="15">
        <v>60</v>
      </c>
      <c r="D1175" s="15">
        <v>60</v>
      </c>
      <c r="E1175" s="15">
        <v>60</v>
      </c>
      <c r="F1175" s="15">
        <v>60</v>
      </c>
      <c r="G1175" s="15">
        <v>60</v>
      </c>
      <c r="H1175" s="15">
        <v>60</v>
      </c>
      <c r="I1175" s="15">
        <v>60</v>
      </c>
      <c r="J1175" s="15">
        <v>60</v>
      </c>
      <c r="K1175" s="15">
        <v>60</v>
      </c>
      <c r="L1175" s="15">
        <v>60</v>
      </c>
      <c r="M1175" s="15">
        <v>60</v>
      </c>
      <c r="N1175" s="15">
        <v>60</v>
      </c>
      <c r="O1175" s="15">
        <v>60</v>
      </c>
      <c r="P1175" s="15">
        <v>60</v>
      </c>
      <c r="Q1175" s="15">
        <v>60</v>
      </c>
      <c r="R1175" s="15">
        <v>60</v>
      </c>
      <c r="S1175" s="15">
        <v>60</v>
      </c>
      <c r="T1175" s="15">
        <v>60</v>
      </c>
      <c r="U1175" s="15">
        <v>60</v>
      </c>
      <c r="V1175" s="15">
        <v>60</v>
      </c>
      <c r="W1175" s="138"/>
      <c r="X1175">
        <f ca="1">IF(V1175=0,0,OFFSET(CreditMetrics!$B$474,MATCH(RAND(),OFFSET(CreditMetrics!$C$474,1,MATCH(BDClientes!V1175,CreditMetrics!$B$475:$B$491,0),COUNT(CreditMetrics!$B$475:$B$491),1),1),0,1,1))</f>
        <v>60</v>
      </c>
      <c r="Z1175" s="79"/>
    </row>
    <row r="1176" spans="1:26" x14ac:dyDescent="0.25">
      <c r="A1176" s="11" t="s">
        <v>1173</v>
      </c>
      <c r="B1176" s="11" t="s">
        <v>1174</v>
      </c>
      <c r="C1176" s="15">
        <v>65</v>
      </c>
      <c r="D1176" s="15">
        <v>65</v>
      </c>
      <c r="E1176" s="15">
        <v>65</v>
      </c>
      <c r="F1176" s="15">
        <v>65</v>
      </c>
      <c r="G1176" s="15">
        <v>65</v>
      </c>
      <c r="H1176" s="15">
        <v>65</v>
      </c>
      <c r="I1176" s="15">
        <v>65</v>
      </c>
      <c r="J1176" s="15">
        <v>65</v>
      </c>
      <c r="K1176" s="15">
        <v>65</v>
      </c>
      <c r="L1176" s="15">
        <v>65</v>
      </c>
      <c r="M1176" s="15">
        <v>65</v>
      </c>
      <c r="N1176" s="15">
        <v>65</v>
      </c>
      <c r="O1176" s="15">
        <v>65</v>
      </c>
      <c r="P1176" s="15">
        <v>65</v>
      </c>
      <c r="Q1176" s="15">
        <v>65</v>
      </c>
      <c r="R1176" s="15">
        <v>65</v>
      </c>
      <c r="S1176" s="15">
        <v>65</v>
      </c>
      <c r="T1176" s="15">
        <v>65</v>
      </c>
      <c r="U1176" s="15">
        <v>65</v>
      </c>
      <c r="V1176" s="15">
        <v>65</v>
      </c>
      <c r="W1176" s="138"/>
      <c r="X1176">
        <f ca="1">IF(V1176=0,0,OFFSET(CreditMetrics!$B$474,MATCH(RAND(),OFFSET(CreditMetrics!$C$474,1,MATCH(BDClientes!V1176,CreditMetrics!$B$475:$B$491,0),COUNT(CreditMetrics!$B$475:$B$491),1),1),0,1,1))</f>
        <v>65</v>
      </c>
      <c r="Z1176" s="79"/>
    </row>
    <row r="1177" spans="1:26" x14ac:dyDescent="0.25">
      <c r="A1177" s="11" t="s">
        <v>1173</v>
      </c>
      <c r="B1177" s="11" t="s">
        <v>1174</v>
      </c>
      <c r="C1177" s="15">
        <v>70</v>
      </c>
      <c r="D1177" s="15">
        <v>70</v>
      </c>
      <c r="E1177" s="15">
        <v>70</v>
      </c>
      <c r="F1177" s="15">
        <v>70</v>
      </c>
      <c r="G1177" s="15">
        <v>70</v>
      </c>
      <c r="H1177" s="15">
        <v>70</v>
      </c>
      <c r="I1177" s="15">
        <v>70</v>
      </c>
      <c r="J1177" s="15">
        <v>70</v>
      </c>
      <c r="K1177" s="15">
        <v>70</v>
      </c>
      <c r="L1177" s="15">
        <v>70</v>
      </c>
      <c r="M1177" s="15">
        <v>70</v>
      </c>
      <c r="N1177" s="15">
        <v>70</v>
      </c>
      <c r="O1177" s="15">
        <v>70</v>
      </c>
      <c r="P1177" s="15">
        <v>70</v>
      </c>
      <c r="Q1177" s="15">
        <v>70</v>
      </c>
      <c r="R1177" s="15">
        <v>70</v>
      </c>
      <c r="S1177" s="15">
        <v>70</v>
      </c>
      <c r="T1177" s="15">
        <v>70</v>
      </c>
      <c r="U1177" s="15">
        <v>70</v>
      </c>
      <c r="V1177" s="15">
        <v>70</v>
      </c>
      <c r="W1177" s="138"/>
      <c r="X1177">
        <f ca="1">IF(V1177=0,0,OFFSET(CreditMetrics!$B$474,MATCH(RAND(),OFFSET(CreditMetrics!$C$474,1,MATCH(BDClientes!V1177,CreditMetrics!$B$475:$B$491,0),COUNT(CreditMetrics!$B$475:$B$491),1),1),0,1,1))</f>
        <v>65</v>
      </c>
      <c r="Z1177" s="79"/>
    </row>
    <row r="1178" spans="1:26" x14ac:dyDescent="0.25">
      <c r="A1178" s="11" t="s">
        <v>1173</v>
      </c>
      <c r="B1178" s="11" t="s">
        <v>1174</v>
      </c>
      <c r="C1178" s="15">
        <v>73</v>
      </c>
      <c r="D1178" s="15">
        <v>73</v>
      </c>
      <c r="E1178" s="15">
        <v>73</v>
      </c>
      <c r="F1178" s="15">
        <v>73</v>
      </c>
      <c r="G1178" s="15">
        <v>73</v>
      </c>
      <c r="H1178" s="15">
        <v>73</v>
      </c>
      <c r="I1178" s="15">
        <v>73</v>
      </c>
      <c r="J1178" s="15">
        <v>73</v>
      </c>
      <c r="K1178" s="15">
        <v>73</v>
      </c>
      <c r="L1178" s="15">
        <v>73</v>
      </c>
      <c r="M1178" s="15">
        <v>73</v>
      </c>
      <c r="N1178" s="15">
        <v>73</v>
      </c>
      <c r="O1178" s="15">
        <v>73</v>
      </c>
      <c r="P1178" s="15">
        <v>73</v>
      </c>
      <c r="Q1178" s="15">
        <v>73</v>
      </c>
      <c r="R1178" s="15">
        <v>73</v>
      </c>
      <c r="S1178" s="15">
        <v>73</v>
      </c>
      <c r="T1178" s="15">
        <v>73</v>
      </c>
      <c r="U1178" s="15">
        <v>73</v>
      </c>
      <c r="V1178" s="15">
        <v>73</v>
      </c>
      <c r="W1178" s="138"/>
      <c r="X1178">
        <f ca="1">IF(V1178=0,0,OFFSET(CreditMetrics!$B$474,MATCH(RAND(),OFFSET(CreditMetrics!$C$474,1,MATCH(BDClientes!V1178,CreditMetrics!$B$475:$B$491,0),COUNT(CreditMetrics!$B$475:$B$491),1),1),0,1,1))</f>
        <v>75</v>
      </c>
      <c r="Z1178" s="79"/>
    </row>
    <row r="1179" spans="1:26" x14ac:dyDescent="0.25">
      <c r="A1179" s="11" t="s">
        <v>1173</v>
      </c>
      <c r="B1179" s="11" t="s">
        <v>1174</v>
      </c>
      <c r="C1179" s="15">
        <v>75</v>
      </c>
      <c r="D1179" s="15">
        <v>75</v>
      </c>
      <c r="E1179" s="15">
        <v>75</v>
      </c>
      <c r="F1179" s="15">
        <v>75</v>
      </c>
      <c r="G1179" s="15">
        <v>75</v>
      </c>
      <c r="H1179" s="15">
        <v>75</v>
      </c>
      <c r="I1179" s="15">
        <v>75</v>
      </c>
      <c r="J1179" s="15">
        <v>75</v>
      </c>
      <c r="K1179" s="15">
        <v>75</v>
      </c>
      <c r="L1179" s="15">
        <v>75</v>
      </c>
      <c r="M1179" s="15">
        <v>75</v>
      </c>
      <c r="N1179" s="15">
        <v>75</v>
      </c>
      <c r="O1179" s="15">
        <v>75</v>
      </c>
      <c r="P1179" s="15">
        <v>75</v>
      </c>
      <c r="Q1179" s="15">
        <v>75</v>
      </c>
      <c r="R1179" s="15">
        <v>75</v>
      </c>
      <c r="S1179" s="15">
        <v>75</v>
      </c>
      <c r="T1179" s="15">
        <v>75</v>
      </c>
      <c r="U1179" s="15">
        <v>75</v>
      </c>
      <c r="V1179" s="15">
        <v>75</v>
      </c>
      <c r="W1179" s="138"/>
      <c r="X1179">
        <f ca="1">IF(V1179=0,0,OFFSET(CreditMetrics!$B$474,MATCH(RAND(),OFFSET(CreditMetrics!$C$474,1,MATCH(BDClientes!V1179,CreditMetrics!$B$475:$B$491,0),COUNT(CreditMetrics!$B$475:$B$491),1),1),0,1,1))</f>
        <v>80</v>
      </c>
      <c r="Z1179" s="79"/>
    </row>
    <row r="1180" spans="1:26" x14ac:dyDescent="0.25">
      <c r="A1180" s="11" t="s">
        <v>1173</v>
      </c>
      <c r="B1180" s="11" t="s">
        <v>1174</v>
      </c>
      <c r="C1180" s="15">
        <v>77</v>
      </c>
      <c r="D1180" s="15">
        <v>77</v>
      </c>
      <c r="E1180" s="15">
        <v>77</v>
      </c>
      <c r="F1180" s="15">
        <v>77</v>
      </c>
      <c r="G1180" s="15">
        <v>77</v>
      </c>
      <c r="H1180" s="15">
        <v>77</v>
      </c>
      <c r="I1180" s="15">
        <v>77</v>
      </c>
      <c r="J1180" s="15">
        <v>77</v>
      </c>
      <c r="K1180" s="15">
        <v>77</v>
      </c>
      <c r="L1180" s="15">
        <v>77</v>
      </c>
      <c r="M1180" s="15">
        <v>77</v>
      </c>
      <c r="N1180" s="15">
        <v>77</v>
      </c>
      <c r="O1180" s="15">
        <v>77</v>
      </c>
      <c r="P1180" s="15">
        <v>77</v>
      </c>
      <c r="Q1180" s="15">
        <v>77</v>
      </c>
      <c r="R1180" s="15">
        <v>77</v>
      </c>
      <c r="S1180" s="15">
        <v>77</v>
      </c>
      <c r="T1180" s="15">
        <v>77</v>
      </c>
      <c r="U1180" s="15">
        <v>77</v>
      </c>
      <c r="V1180" s="15">
        <v>77</v>
      </c>
      <c r="W1180" s="138"/>
      <c r="X1180">
        <f ca="1">IF(V1180=0,0,OFFSET(CreditMetrics!$B$474,MATCH(RAND(),OFFSET(CreditMetrics!$C$474,1,MATCH(BDClientes!V1180,CreditMetrics!$B$475:$B$491,0),COUNT(CreditMetrics!$B$475:$B$491),1),1),0,1,1))</f>
        <v>22</v>
      </c>
      <c r="Z1180" s="79"/>
    </row>
    <row r="1181" spans="1:26" x14ac:dyDescent="0.25">
      <c r="A1181" s="11" t="s">
        <v>1173</v>
      </c>
      <c r="B1181" s="11" t="s">
        <v>1174</v>
      </c>
      <c r="C1181" s="15">
        <v>80</v>
      </c>
      <c r="D1181" s="15">
        <v>80</v>
      </c>
      <c r="E1181" s="15">
        <v>80</v>
      </c>
      <c r="F1181" s="15">
        <v>80</v>
      </c>
      <c r="G1181" s="15">
        <v>80</v>
      </c>
      <c r="H1181" s="15">
        <v>80</v>
      </c>
      <c r="I1181" s="15">
        <v>80</v>
      </c>
      <c r="J1181" s="15">
        <v>80</v>
      </c>
      <c r="K1181" s="15">
        <v>80</v>
      </c>
      <c r="L1181" s="15">
        <v>80</v>
      </c>
      <c r="M1181" s="15">
        <v>80</v>
      </c>
      <c r="N1181" s="15">
        <v>80</v>
      </c>
      <c r="O1181" s="15">
        <v>80</v>
      </c>
      <c r="P1181" s="15">
        <v>80</v>
      </c>
      <c r="Q1181" s="15">
        <v>80</v>
      </c>
      <c r="R1181" s="15">
        <v>80</v>
      </c>
      <c r="S1181" s="15">
        <v>80</v>
      </c>
      <c r="T1181" s="15">
        <v>80</v>
      </c>
      <c r="U1181" s="15">
        <v>80</v>
      </c>
      <c r="V1181" s="15">
        <v>80</v>
      </c>
      <c r="W1181" s="138"/>
      <c r="X1181">
        <f ca="1">IF(V1181=0,0,OFFSET(CreditMetrics!$B$474,MATCH(RAND(),OFFSET(CreditMetrics!$C$474,1,MATCH(BDClientes!V1181,CreditMetrics!$B$475:$B$491,0),COUNT(CreditMetrics!$B$475:$B$491),1),1),0,1,1))</f>
        <v>80</v>
      </c>
      <c r="Z1181" s="79"/>
    </row>
    <row r="1182" spans="1:26" x14ac:dyDescent="0.25">
      <c r="A1182" s="11" t="s">
        <v>1173</v>
      </c>
      <c r="B1182" s="11" t="s">
        <v>1174</v>
      </c>
      <c r="C1182" s="15">
        <v>83</v>
      </c>
      <c r="D1182" s="15">
        <v>83</v>
      </c>
      <c r="E1182" s="15">
        <v>83</v>
      </c>
      <c r="F1182" s="15">
        <v>83</v>
      </c>
      <c r="G1182" s="15">
        <v>83</v>
      </c>
      <c r="H1182" s="15">
        <v>83</v>
      </c>
      <c r="I1182" s="15">
        <v>83</v>
      </c>
      <c r="J1182" s="15">
        <v>83</v>
      </c>
      <c r="K1182" s="15">
        <v>83</v>
      </c>
      <c r="L1182" s="15">
        <v>83</v>
      </c>
      <c r="M1182" s="15">
        <v>83</v>
      </c>
      <c r="N1182" s="15">
        <v>83</v>
      </c>
      <c r="O1182" s="15">
        <v>83</v>
      </c>
      <c r="P1182" s="15">
        <v>83</v>
      </c>
      <c r="Q1182" s="15">
        <v>83</v>
      </c>
      <c r="R1182" s="15">
        <v>83</v>
      </c>
      <c r="S1182" s="15">
        <v>83</v>
      </c>
      <c r="T1182" s="15">
        <v>83</v>
      </c>
      <c r="U1182" s="15">
        <v>83</v>
      </c>
      <c r="V1182" s="15">
        <v>83</v>
      </c>
      <c r="W1182" s="138"/>
      <c r="X1182">
        <f ca="1">IF(V1182=0,0,OFFSET(CreditMetrics!$B$474,MATCH(RAND(),OFFSET(CreditMetrics!$C$474,1,MATCH(BDClientes!V1182,CreditMetrics!$B$475:$B$491,0),COUNT(CreditMetrics!$B$475:$B$491),1),1),0,1,1))</f>
        <v>83</v>
      </c>
      <c r="Z1182" s="79"/>
    </row>
    <row r="1183" spans="1:26" x14ac:dyDescent="0.25">
      <c r="A1183" s="11" t="s">
        <v>1173</v>
      </c>
      <c r="B1183" s="11" t="s">
        <v>1174</v>
      </c>
      <c r="C1183" s="15">
        <v>85</v>
      </c>
      <c r="D1183" s="15">
        <v>85</v>
      </c>
      <c r="E1183" s="15">
        <v>85</v>
      </c>
      <c r="F1183" s="15">
        <v>85</v>
      </c>
      <c r="G1183" s="15">
        <v>85</v>
      </c>
      <c r="H1183" s="15">
        <v>85</v>
      </c>
      <c r="I1183" s="15">
        <v>85</v>
      </c>
      <c r="J1183" s="15">
        <v>85</v>
      </c>
      <c r="K1183" s="15">
        <v>85</v>
      </c>
      <c r="L1183" s="15">
        <v>85</v>
      </c>
      <c r="M1183" s="15">
        <v>85</v>
      </c>
      <c r="N1183" s="15">
        <v>85</v>
      </c>
      <c r="O1183" s="15">
        <v>85</v>
      </c>
      <c r="P1183" s="15">
        <v>85</v>
      </c>
      <c r="Q1183" s="15">
        <v>85</v>
      </c>
      <c r="R1183" s="15">
        <v>85</v>
      </c>
      <c r="S1183" s="15">
        <v>85</v>
      </c>
      <c r="T1183" s="15">
        <v>85</v>
      </c>
      <c r="U1183" s="15">
        <v>85</v>
      </c>
      <c r="V1183" s="15">
        <v>85</v>
      </c>
      <c r="W1183" s="138"/>
      <c r="X1183">
        <f ca="1">IF(V1183=0,0,OFFSET(CreditMetrics!$B$474,MATCH(RAND(),OFFSET(CreditMetrics!$C$474,1,MATCH(BDClientes!V1183,CreditMetrics!$B$475:$B$491,0),COUNT(CreditMetrics!$B$475:$B$491),1),1),0,1,1))</f>
        <v>85</v>
      </c>
      <c r="Z1183" s="79"/>
    </row>
    <row r="1184" spans="1:26" x14ac:dyDescent="0.25">
      <c r="A1184" s="11" t="s">
        <v>1173</v>
      </c>
      <c r="B1184" s="11" t="s">
        <v>1174</v>
      </c>
      <c r="C1184" s="15">
        <v>87</v>
      </c>
      <c r="D1184" s="15">
        <v>87</v>
      </c>
      <c r="E1184" s="15">
        <v>87</v>
      </c>
      <c r="F1184" s="15">
        <v>87</v>
      </c>
      <c r="G1184" s="15">
        <v>87</v>
      </c>
      <c r="H1184" s="15">
        <v>87</v>
      </c>
      <c r="I1184" s="15">
        <v>87</v>
      </c>
      <c r="J1184" s="15">
        <v>87</v>
      </c>
      <c r="K1184" s="15">
        <v>87</v>
      </c>
      <c r="L1184" s="15">
        <v>87</v>
      </c>
      <c r="M1184" s="15">
        <v>87</v>
      </c>
      <c r="N1184" s="15">
        <v>87</v>
      </c>
      <c r="O1184" s="15">
        <v>87</v>
      </c>
      <c r="P1184" s="15">
        <v>87</v>
      </c>
      <c r="Q1184" s="15">
        <v>87</v>
      </c>
      <c r="R1184" s="15">
        <v>87</v>
      </c>
      <c r="S1184" s="15">
        <v>87</v>
      </c>
      <c r="T1184" s="15">
        <v>87</v>
      </c>
      <c r="U1184" s="15">
        <v>87</v>
      </c>
      <c r="V1184" s="15">
        <v>87</v>
      </c>
      <c r="W1184" s="138"/>
      <c r="X1184">
        <f ca="1">IF(V1184=0,0,OFFSET(CreditMetrics!$B$474,MATCH(RAND(),OFFSET(CreditMetrics!$C$474,1,MATCH(BDClientes!V1184,CreditMetrics!$B$475:$B$491,0),COUNT(CreditMetrics!$B$475:$B$491),1),1),0,1,1))</f>
        <v>80</v>
      </c>
      <c r="Z1184" s="79"/>
    </row>
    <row r="1185" spans="1:26" x14ac:dyDescent="0.25">
      <c r="A1185" s="11" t="s">
        <v>1173</v>
      </c>
      <c r="B1185" s="11" t="s">
        <v>1174</v>
      </c>
      <c r="C1185" s="15">
        <v>90</v>
      </c>
      <c r="D1185" s="15">
        <v>90</v>
      </c>
      <c r="E1185" s="15">
        <v>90</v>
      </c>
      <c r="F1185" s="15">
        <v>90</v>
      </c>
      <c r="G1185" s="15">
        <v>90</v>
      </c>
      <c r="H1185" s="15">
        <v>90</v>
      </c>
      <c r="I1185" s="15">
        <v>90</v>
      </c>
      <c r="J1185" s="15">
        <v>90</v>
      </c>
      <c r="K1185" s="15">
        <v>90</v>
      </c>
      <c r="L1185" s="15">
        <v>90</v>
      </c>
      <c r="M1185" s="15">
        <v>90</v>
      </c>
      <c r="N1185" s="15">
        <v>90</v>
      </c>
      <c r="O1185" s="15">
        <v>90</v>
      </c>
      <c r="P1185" s="15">
        <v>90</v>
      </c>
      <c r="Q1185" s="15">
        <v>90</v>
      </c>
      <c r="R1185" s="15">
        <v>90</v>
      </c>
      <c r="S1185" s="15">
        <v>90</v>
      </c>
      <c r="T1185" s="15">
        <v>90</v>
      </c>
      <c r="U1185" s="15">
        <v>90</v>
      </c>
      <c r="V1185" s="15">
        <v>90</v>
      </c>
      <c r="W1185" s="138"/>
      <c r="X1185">
        <f ca="1">IF(V1185=0,0,OFFSET(CreditMetrics!$B$474,MATCH(RAND(),OFFSET(CreditMetrics!$C$474,1,MATCH(BDClientes!V1185,CreditMetrics!$B$475:$B$491,0),COUNT(CreditMetrics!$B$475:$B$491),1),1),0,1,1))</f>
        <v>90</v>
      </c>
      <c r="Z1185" s="79"/>
    </row>
    <row r="1186" spans="1:26" x14ac:dyDescent="0.25">
      <c r="A1186" s="11" t="s">
        <v>1173</v>
      </c>
      <c r="B1186" s="11" t="s">
        <v>1174</v>
      </c>
      <c r="C1186" s="15">
        <v>93</v>
      </c>
      <c r="D1186" s="15">
        <v>93</v>
      </c>
      <c r="E1186" s="15">
        <v>93</v>
      </c>
      <c r="F1186" s="15">
        <v>93</v>
      </c>
      <c r="G1186" s="15">
        <v>93</v>
      </c>
      <c r="H1186" s="15">
        <v>93</v>
      </c>
      <c r="I1186" s="15">
        <v>93</v>
      </c>
      <c r="J1186" s="15">
        <v>93</v>
      </c>
      <c r="K1186" s="15">
        <v>93</v>
      </c>
      <c r="L1186" s="15">
        <v>93</v>
      </c>
      <c r="M1186" s="15">
        <v>93</v>
      </c>
      <c r="N1186" s="15">
        <v>93</v>
      </c>
      <c r="O1186" s="15">
        <v>93</v>
      </c>
      <c r="P1186" s="15">
        <v>93</v>
      </c>
      <c r="Q1186" s="15">
        <v>93</v>
      </c>
      <c r="R1186" s="15">
        <v>93</v>
      </c>
      <c r="S1186" s="15">
        <v>93</v>
      </c>
      <c r="T1186" s="15">
        <v>93</v>
      </c>
      <c r="U1186" s="15">
        <v>93</v>
      </c>
      <c r="V1186" s="15">
        <v>93</v>
      </c>
      <c r="W1186" s="138"/>
      <c r="X1186">
        <f ca="1">IF(V1186=0,0,OFFSET(CreditMetrics!$B$474,MATCH(RAND(),OFFSET(CreditMetrics!$C$474,1,MATCH(BDClientes!V1186,CreditMetrics!$B$475:$B$491,0),COUNT(CreditMetrics!$B$475:$B$491),1),1),0,1,1))</f>
        <v>93</v>
      </c>
      <c r="Z1186" s="79"/>
    </row>
    <row r="1187" spans="1:26" x14ac:dyDescent="0.25">
      <c r="A1187" s="11" t="s">
        <v>1173</v>
      </c>
      <c r="B1187" s="11" t="s">
        <v>1174</v>
      </c>
      <c r="C1187" s="15">
        <v>95</v>
      </c>
      <c r="D1187" s="15">
        <v>95</v>
      </c>
      <c r="E1187" s="15">
        <v>95</v>
      </c>
      <c r="F1187" s="15">
        <v>95</v>
      </c>
      <c r="G1187" s="15">
        <v>95</v>
      </c>
      <c r="H1187" s="15">
        <v>95</v>
      </c>
      <c r="I1187" s="15">
        <v>95</v>
      </c>
      <c r="J1187" s="15">
        <v>95</v>
      </c>
      <c r="K1187" s="15">
        <v>95</v>
      </c>
      <c r="L1187" s="15">
        <v>95</v>
      </c>
      <c r="M1187" s="15">
        <v>95</v>
      </c>
      <c r="N1187" s="15">
        <v>95</v>
      </c>
      <c r="O1187" s="15">
        <v>95</v>
      </c>
      <c r="P1187" s="15">
        <v>95</v>
      </c>
      <c r="Q1187" s="15">
        <v>95</v>
      </c>
      <c r="R1187" s="15">
        <v>95</v>
      </c>
      <c r="S1187" s="15">
        <v>95</v>
      </c>
      <c r="T1187" s="15">
        <v>95</v>
      </c>
      <c r="U1187" s="15">
        <v>95</v>
      </c>
      <c r="V1187" s="15">
        <v>95</v>
      </c>
      <c r="W1187" s="138"/>
      <c r="X1187">
        <f ca="1">IF(V1187=0,0,OFFSET(CreditMetrics!$B$474,MATCH(RAND(),OFFSET(CreditMetrics!$C$474,1,MATCH(BDClientes!V1187,CreditMetrics!$B$475:$B$491,0),COUNT(CreditMetrics!$B$475:$B$491),1),1),0,1,1))</f>
        <v>95</v>
      </c>
      <c r="Z1187" s="79"/>
    </row>
    <row r="1188" spans="1:26" x14ac:dyDescent="0.25">
      <c r="A1188" s="11" t="s">
        <v>1173</v>
      </c>
      <c r="B1188" s="11" t="s">
        <v>1174</v>
      </c>
      <c r="C1188" s="15">
        <v>99</v>
      </c>
      <c r="D1188" s="15">
        <v>99</v>
      </c>
      <c r="E1188" s="15">
        <v>99</v>
      </c>
      <c r="F1188" s="15">
        <v>99</v>
      </c>
      <c r="G1188" s="15">
        <v>99</v>
      </c>
      <c r="H1188" s="15">
        <v>99</v>
      </c>
      <c r="I1188" s="15">
        <v>99</v>
      </c>
      <c r="J1188" s="15">
        <v>99</v>
      </c>
      <c r="K1188" s="15">
        <v>99</v>
      </c>
      <c r="L1188" s="15">
        <v>99</v>
      </c>
      <c r="M1188" s="15">
        <v>99</v>
      </c>
      <c r="N1188" s="15">
        <v>99</v>
      </c>
      <c r="O1188" s="15">
        <v>99</v>
      </c>
      <c r="P1188" s="15">
        <v>99</v>
      </c>
      <c r="Q1188" s="15">
        <v>99</v>
      </c>
      <c r="R1188" s="15">
        <v>99</v>
      </c>
      <c r="S1188" s="15">
        <v>99</v>
      </c>
      <c r="T1188" s="15">
        <v>99</v>
      </c>
      <c r="U1188" s="15">
        <v>99</v>
      </c>
      <c r="V1188" s="15">
        <v>99</v>
      </c>
      <c r="W1188" s="138"/>
      <c r="X1188">
        <f ca="1">IF(V1188=0,0,OFFSET(CreditMetrics!$B$474,MATCH(RAND(),OFFSET(CreditMetrics!$C$474,1,MATCH(BDClientes!V1188,CreditMetrics!$B$475:$B$491,0),COUNT(CreditMetrics!$B$475:$B$491),1),1),0,1,1))</f>
        <v>99</v>
      </c>
      <c r="Z1188" s="79"/>
    </row>
    <row r="1190" spans="1:26" x14ac:dyDescent="0.25">
      <c r="G1190" s="16"/>
    </row>
  </sheetData>
  <autoFilter ref="V1:V1190" xr:uid="{00000000-0009-0000-0000-000007000000}"/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B1:BB526"/>
  <sheetViews>
    <sheetView tabSelected="1" topLeftCell="A419" zoomScale="85" zoomScaleNormal="145" workbookViewId="0">
      <selection activeCell="F462" sqref="F462"/>
    </sheetView>
  </sheetViews>
  <sheetFormatPr defaultColWidth="6.140625" defaultRowHeight="15" x14ac:dyDescent="0.25"/>
  <cols>
    <col min="2" max="2" width="15.28515625" customWidth="1"/>
    <col min="3" max="3" width="21.85546875" customWidth="1"/>
    <col min="4" max="4" width="28" customWidth="1"/>
    <col min="5" max="5" width="21.28515625" customWidth="1"/>
    <col min="6" max="6" width="20.85546875" customWidth="1"/>
    <col min="7" max="7" width="16.7109375" customWidth="1"/>
    <col min="8" max="8" width="18.42578125" customWidth="1"/>
    <col min="9" max="9" width="15.7109375" customWidth="1"/>
    <col min="10" max="10" width="12.140625" customWidth="1"/>
    <col min="11" max="11" width="15.140625" customWidth="1"/>
    <col min="12" max="12" width="17.5703125" customWidth="1"/>
    <col min="13" max="13" width="12.140625" customWidth="1"/>
    <col min="14" max="14" width="23.7109375" customWidth="1"/>
    <col min="15" max="15" width="17.42578125" customWidth="1"/>
    <col min="16" max="18" width="12.140625" customWidth="1"/>
    <col min="19" max="19" width="11.28515625" customWidth="1"/>
    <col min="20" max="20" width="14.140625" customWidth="1"/>
    <col min="21" max="21" width="13.7109375" customWidth="1"/>
    <col min="22" max="22" width="19.140625" customWidth="1"/>
    <col min="23" max="23" width="9.28515625" customWidth="1"/>
    <col min="27" max="27" width="14.28515625" bestFit="1" customWidth="1"/>
  </cols>
  <sheetData>
    <row r="1" spans="2:20" x14ac:dyDescent="0.25">
      <c r="B1" s="17" t="s">
        <v>1175</v>
      </c>
      <c r="C1" s="17" t="s">
        <v>1178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</row>
    <row r="2" spans="2:20" x14ac:dyDescent="0.25">
      <c r="B2" s="17" t="s">
        <v>1176</v>
      </c>
      <c r="C2" s="17">
        <v>0</v>
      </c>
      <c r="D2" s="24">
        <v>22</v>
      </c>
      <c r="E2" s="23">
        <v>40</v>
      </c>
      <c r="F2" s="23">
        <v>60</v>
      </c>
      <c r="G2" s="23">
        <v>65</v>
      </c>
      <c r="H2" s="23">
        <v>70</v>
      </c>
      <c r="I2" s="23">
        <v>73</v>
      </c>
      <c r="J2" s="23">
        <v>75</v>
      </c>
      <c r="K2" s="23">
        <v>77</v>
      </c>
      <c r="L2" s="23">
        <v>80</v>
      </c>
      <c r="M2" s="23">
        <v>83</v>
      </c>
      <c r="N2" s="23">
        <v>85</v>
      </c>
      <c r="O2" s="23">
        <v>87</v>
      </c>
      <c r="P2" s="23">
        <v>90</v>
      </c>
      <c r="Q2" s="23">
        <v>93</v>
      </c>
      <c r="R2" s="23">
        <v>95</v>
      </c>
      <c r="S2" s="23">
        <v>99</v>
      </c>
      <c r="T2" s="20" t="s">
        <v>1177</v>
      </c>
    </row>
    <row r="3" spans="2:20" x14ac:dyDescent="0.25">
      <c r="B3" s="17">
        <v>0</v>
      </c>
      <c r="C3" s="33">
        <v>0.85970464135021096</v>
      </c>
      <c r="D3" s="34">
        <v>2.1097046413502108E-3</v>
      </c>
      <c r="E3" s="25">
        <v>2.1097046413502108E-3</v>
      </c>
      <c r="F3" s="25">
        <v>0</v>
      </c>
      <c r="G3" s="25">
        <v>2.1097046413502108E-3</v>
      </c>
      <c r="H3" s="25">
        <v>3.1645569620253164E-3</v>
      </c>
      <c r="I3" s="25">
        <v>7.3839662447257384E-3</v>
      </c>
      <c r="J3" s="25">
        <v>1.1603375527426161E-2</v>
      </c>
      <c r="K3" s="25">
        <v>1.3713080168776372E-2</v>
      </c>
      <c r="L3" s="25">
        <v>1.7932489451476793E-2</v>
      </c>
      <c r="M3" s="25">
        <v>3.5864978902953586E-2</v>
      </c>
      <c r="N3" s="25">
        <v>3.059071729957806E-2</v>
      </c>
      <c r="O3" s="25">
        <v>1.2658227848101266E-2</v>
      </c>
      <c r="P3" s="25">
        <v>1.0548523206751054E-3</v>
      </c>
      <c r="Q3" s="25">
        <v>0</v>
      </c>
      <c r="R3" s="25">
        <v>0</v>
      </c>
      <c r="S3" s="25">
        <v>0</v>
      </c>
      <c r="T3" s="26">
        <v>1</v>
      </c>
    </row>
    <row r="4" spans="2:20" x14ac:dyDescent="0.25">
      <c r="B4" s="22">
        <v>22</v>
      </c>
      <c r="C4" s="27">
        <v>0</v>
      </c>
      <c r="D4" s="35">
        <v>1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9">
        <v>1</v>
      </c>
    </row>
    <row r="5" spans="2:20" x14ac:dyDescent="0.25">
      <c r="B5" s="22">
        <v>40</v>
      </c>
      <c r="C5" s="27">
        <v>0.2</v>
      </c>
      <c r="D5" s="37">
        <v>0.2</v>
      </c>
      <c r="E5" s="28">
        <v>0.4</v>
      </c>
      <c r="F5" s="28">
        <v>0</v>
      </c>
      <c r="G5" s="28">
        <v>0</v>
      </c>
      <c r="H5" s="28">
        <v>0</v>
      </c>
      <c r="I5" s="28">
        <v>0</v>
      </c>
      <c r="J5" s="28">
        <v>0.2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9">
        <v>1</v>
      </c>
    </row>
    <row r="6" spans="2:20" x14ac:dyDescent="0.25">
      <c r="B6" s="22">
        <v>60</v>
      </c>
      <c r="C6" s="27">
        <v>8.3333333333333329E-2</v>
      </c>
      <c r="D6" s="35">
        <v>0.25</v>
      </c>
      <c r="E6" s="28">
        <v>0.16666666666666666</v>
      </c>
      <c r="F6" s="28">
        <v>0.25</v>
      </c>
      <c r="G6" s="28">
        <v>8.3333333333333329E-2</v>
      </c>
      <c r="H6" s="28">
        <v>0</v>
      </c>
      <c r="I6" s="28">
        <v>8.3333333333333329E-2</v>
      </c>
      <c r="J6" s="28">
        <v>8.3333333333333329E-2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9">
        <v>1</v>
      </c>
    </row>
    <row r="7" spans="2:20" x14ac:dyDescent="0.25">
      <c r="B7" s="22">
        <v>65</v>
      </c>
      <c r="C7" s="27">
        <v>0.375</v>
      </c>
      <c r="D7" s="35">
        <v>0.125</v>
      </c>
      <c r="E7" s="28">
        <v>0</v>
      </c>
      <c r="F7" s="28">
        <v>0.125</v>
      </c>
      <c r="G7" s="28">
        <v>0.125</v>
      </c>
      <c r="H7" s="28">
        <v>0</v>
      </c>
      <c r="I7" s="28">
        <v>0</v>
      </c>
      <c r="J7" s="28">
        <v>0.125</v>
      </c>
      <c r="K7" s="28">
        <v>0.125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9">
        <v>1</v>
      </c>
    </row>
    <row r="8" spans="2:20" x14ac:dyDescent="0.25">
      <c r="B8" s="22">
        <v>70</v>
      </c>
      <c r="C8" s="27">
        <v>0.33333333333333331</v>
      </c>
      <c r="D8" s="37">
        <v>0</v>
      </c>
      <c r="E8" s="28">
        <v>0</v>
      </c>
      <c r="F8" s="28">
        <v>0</v>
      </c>
      <c r="G8" s="28">
        <v>0.16666666666666666</v>
      </c>
      <c r="H8" s="28">
        <v>0.16666666666666666</v>
      </c>
      <c r="I8" s="28">
        <v>0.16666666666666666</v>
      </c>
      <c r="J8" s="28">
        <v>0</v>
      </c>
      <c r="K8" s="28">
        <v>0.16666666666666666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9">
        <v>1</v>
      </c>
    </row>
    <row r="9" spans="2:20" x14ac:dyDescent="0.25">
      <c r="B9" s="22">
        <v>73</v>
      </c>
      <c r="C9" s="27">
        <v>0.33333333333333331</v>
      </c>
      <c r="D9" s="35">
        <v>8.3333333333333329E-2</v>
      </c>
      <c r="E9" s="28">
        <v>0</v>
      </c>
      <c r="F9" s="28">
        <v>0</v>
      </c>
      <c r="G9" s="28">
        <v>0.16666666666666666</v>
      </c>
      <c r="H9" s="28">
        <v>8.3333333333333329E-2</v>
      </c>
      <c r="I9" s="28">
        <v>0.16666666666666666</v>
      </c>
      <c r="J9" s="28">
        <v>8.3333333333333329E-2</v>
      </c>
      <c r="K9" s="28">
        <v>8.3333333333333329E-2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9">
        <v>1</v>
      </c>
    </row>
    <row r="10" spans="2:20" x14ac:dyDescent="0.25">
      <c r="B10" s="22">
        <v>75</v>
      </c>
      <c r="C10" s="27">
        <v>0.2</v>
      </c>
      <c r="D10" s="37">
        <v>0</v>
      </c>
      <c r="E10" s="28">
        <v>0.1</v>
      </c>
      <c r="F10" s="28">
        <v>0</v>
      </c>
      <c r="G10" s="28">
        <v>0</v>
      </c>
      <c r="H10" s="28">
        <v>0.1</v>
      </c>
      <c r="I10" s="28">
        <v>0</v>
      </c>
      <c r="J10" s="28">
        <v>0.1</v>
      </c>
      <c r="K10" s="28">
        <v>0.1</v>
      </c>
      <c r="L10" s="28">
        <v>0.3</v>
      </c>
      <c r="M10" s="28">
        <v>0</v>
      </c>
      <c r="N10" s="28">
        <v>0</v>
      </c>
      <c r="O10" s="28">
        <v>0.1</v>
      </c>
      <c r="P10" s="28">
        <v>0</v>
      </c>
      <c r="Q10" s="28">
        <v>0</v>
      </c>
      <c r="R10" s="28">
        <v>0</v>
      </c>
      <c r="S10" s="28">
        <v>0</v>
      </c>
      <c r="T10" s="29">
        <v>1</v>
      </c>
    </row>
    <row r="11" spans="2:20" x14ac:dyDescent="0.25">
      <c r="B11" s="22">
        <v>77</v>
      </c>
      <c r="C11" s="27">
        <v>0.38095238095238093</v>
      </c>
      <c r="D11" s="37">
        <v>0</v>
      </c>
      <c r="E11" s="28">
        <v>0</v>
      </c>
      <c r="F11" s="28">
        <v>0</v>
      </c>
      <c r="G11" s="28">
        <v>4.7619047619047616E-2</v>
      </c>
      <c r="H11" s="28">
        <v>0</v>
      </c>
      <c r="I11" s="28">
        <v>9.5238095238095233E-2</v>
      </c>
      <c r="J11" s="28">
        <v>9.5238095238095233E-2</v>
      </c>
      <c r="K11" s="28">
        <v>0.14285714285714285</v>
      </c>
      <c r="L11" s="28">
        <v>0.19047619047619047</v>
      </c>
      <c r="M11" s="28">
        <v>4.7619047619047616E-2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9">
        <v>1</v>
      </c>
    </row>
    <row r="12" spans="2:20" x14ac:dyDescent="0.25">
      <c r="B12" s="22">
        <v>80</v>
      </c>
      <c r="C12" s="27">
        <v>0.22727272727272727</v>
      </c>
      <c r="D12" s="37">
        <v>0</v>
      </c>
      <c r="E12" s="28">
        <v>4.5454545454545456E-2</v>
      </c>
      <c r="F12" s="28">
        <v>0</v>
      </c>
      <c r="G12" s="28">
        <v>0</v>
      </c>
      <c r="H12" s="28">
        <v>9.0909090909090912E-2</v>
      </c>
      <c r="I12" s="28">
        <v>0</v>
      </c>
      <c r="J12" s="28">
        <v>0</v>
      </c>
      <c r="K12" s="28">
        <v>0.22727272727272727</v>
      </c>
      <c r="L12" s="28">
        <v>0.22727272727272727</v>
      </c>
      <c r="M12" s="28">
        <v>0.18181818181818182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9">
        <v>1</v>
      </c>
    </row>
    <row r="13" spans="2:20" x14ac:dyDescent="0.25">
      <c r="B13" s="22">
        <v>83</v>
      </c>
      <c r="C13" s="27">
        <v>0.16666666666666666</v>
      </c>
      <c r="D13" s="35">
        <v>2.7777777777777776E-2</v>
      </c>
      <c r="E13" s="28">
        <v>0</v>
      </c>
      <c r="F13" s="28">
        <v>0</v>
      </c>
      <c r="G13" s="28">
        <v>0</v>
      </c>
      <c r="H13" s="28">
        <v>2.7777777777777776E-2</v>
      </c>
      <c r="I13" s="28">
        <v>5.5555555555555552E-2</v>
      </c>
      <c r="J13" s="28">
        <v>5.5555555555555552E-2</v>
      </c>
      <c r="K13" s="28">
        <v>0.1388888888888889</v>
      </c>
      <c r="L13" s="28">
        <v>0.16666666666666666</v>
      </c>
      <c r="M13" s="28">
        <v>0.27777777777777779</v>
      </c>
      <c r="N13" s="28">
        <v>5.5555555555555552E-2</v>
      </c>
      <c r="O13" s="28">
        <v>2.7777777777777776E-2</v>
      </c>
      <c r="P13" s="28">
        <v>0</v>
      </c>
      <c r="Q13" s="28">
        <v>0</v>
      </c>
      <c r="R13" s="28">
        <v>0</v>
      </c>
      <c r="S13" s="28">
        <v>0</v>
      </c>
      <c r="T13" s="29">
        <v>1</v>
      </c>
    </row>
    <row r="14" spans="2:20" x14ac:dyDescent="0.25">
      <c r="B14" s="22">
        <v>85</v>
      </c>
      <c r="C14" s="27">
        <v>0.24390243902439024</v>
      </c>
      <c r="D14" s="37">
        <v>0</v>
      </c>
      <c r="E14" s="28">
        <v>0</v>
      </c>
      <c r="F14" s="28">
        <v>2.4390243902439025E-2</v>
      </c>
      <c r="G14" s="28">
        <v>2.4390243902439025E-2</v>
      </c>
      <c r="H14" s="28">
        <v>2.4390243902439025E-2</v>
      </c>
      <c r="I14" s="28">
        <v>0</v>
      </c>
      <c r="J14" s="28">
        <v>2.4390243902439025E-2</v>
      </c>
      <c r="K14" s="28">
        <v>7.3170731707317069E-2</v>
      </c>
      <c r="L14" s="28">
        <v>0.1951219512195122</v>
      </c>
      <c r="M14" s="28">
        <v>0.21951219512195122</v>
      </c>
      <c r="N14" s="28">
        <v>0.12195121951219512</v>
      </c>
      <c r="O14" s="28">
        <v>4.878048780487805E-2</v>
      </c>
      <c r="P14" s="28">
        <v>0</v>
      </c>
      <c r="Q14" s="28">
        <v>0</v>
      </c>
      <c r="R14" s="28">
        <v>0</v>
      </c>
      <c r="S14" s="28">
        <v>0</v>
      </c>
      <c r="T14" s="29">
        <v>1</v>
      </c>
    </row>
    <row r="15" spans="2:20" x14ac:dyDescent="0.25">
      <c r="B15" s="22">
        <v>87</v>
      </c>
      <c r="C15" s="27">
        <v>0.23076923076923078</v>
      </c>
      <c r="D15" s="37">
        <v>0</v>
      </c>
      <c r="E15" s="28">
        <v>0</v>
      </c>
      <c r="F15" s="28">
        <v>0</v>
      </c>
      <c r="G15" s="28">
        <v>0</v>
      </c>
      <c r="H15" s="28">
        <v>0</v>
      </c>
      <c r="I15" s="28">
        <v>2.564102564102564E-2</v>
      </c>
      <c r="J15" s="28">
        <v>2.564102564102564E-2</v>
      </c>
      <c r="K15" s="28">
        <v>0.12820512820512819</v>
      </c>
      <c r="L15" s="28">
        <v>0.17948717948717949</v>
      </c>
      <c r="M15" s="28">
        <v>7.6923076923076927E-2</v>
      </c>
      <c r="N15" s="28">
        <v>0.23076923076923078</v>
      </c>
      <c r="O15" s="28">
        <v>0.10256410256410256</v>
      </c>
      <c r="P15" s="28">
        <v>0</v>
      </c>
      <c r="Q15" s="28">
        <v>0</v>
      </c>
      <c r="R15" s="28">
        <v>0</v>
      </c>
      <c r="S15" s="28">
        <v>0</v>
      </c>
      <c r="T15" s="29">
        <v>1</v>
      </c>
    </row>
    <row r="16" spans="2:20" x14ac:dyDescent="0.25">
      <c r="B16" s="22">
        <v>90</v>
      </c>
      <c r="C16" s="27">
        <v>0.16666666666666666</v>
      </c>
      <c r="D16" s="37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8.3333333333333329E-2</v>
      </c>
      <c r="N16" s="28">
        <v>0.5</v>
      </c>
      <c r="O16" s="28">
        <v>0.16666666666666666</v>
      </c>
      <c r="P16" s="28">
        <v>8.3333333333333329E-2</v>
      </c>
      <c r="Q16" s="28">
        <v>0</v>
      </c>
      <c r="R16" s="28">
        <v>0</v>
      </c>
      <c r="S16" s="28">
        <v>0</v>
      </c>
      <c r="T16" s="29">
        <v>1</v>
      </c>
    </row>
    <row r="17" spans="2:20" x14ac:dyDescent="0.25">
      <c r="B17" s="22">
        <v>93</v>
      </c>
      <c r="C17" s="27">
        <v>0</v>
      </c>
      <c r="D17" s="37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1</v>
      </c>
      <c r="R17" s="28">
        <v>0</v>
      </c>
      <c r="S17" s="28">
        <v>0</v>
      </c>
      <c r="T17" s="29">
        <v>1</v>
      </c>
    </row>
    <row r="18" spans="2:20" x14ac:dyDescent="0.25">
      <c r="B18" s="22">
        <v>95</v>
      </c>
      <c r="C18" s="27">
        <v>0.33333333333333331</v>
      </c>
      <c r="D18" s="37">
        <v>0</v>
      </c>
      <c r="E18" s="28">
        <v>0</v>
      </c>
      <c r="F18" s="28">
        <v>0</v>
      </c>
      <c r="G18" s="28">
        <v>0.33333333333333331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0.33333333333333331</v>
      </c>
      <c r="S18" s="28">
        <v>0</v>
      </c>
      <c r="T18" s="29">
        <v>1</v>
      </c>
    </row>
    <row r="19" spans="2:20" x14ac:dyDescent="0.25">
      <c r="B19" s="22">
        <v>99</v>
      </c>
      <c r="C19" s="27">
        <v>0</v>
      </c>
      <c r="D19" s="37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  <c r="T19" s="29">
        <v>1</v>
      </c>
    </row>
    <row r="20" spans="2:20" x14ac:dyDescent="0.25">
      <c r="B20" s="21" t="s">
        <v>1177</v>
      </c>
      <c r="C20" s="30">
        <v>0.73209772535804551</v>
      </c>
      <c r="D20" s="36">
        <v>1.6006739679865205E-2</v>
      </c>
      <c r="E20" s="31">
        <v>6.7396798652064023E-3</v>
      </c>
      <c r="F20" s="31">
        <v>4.2122999157540014E-3</v>
      </c>
      <c r="G20" s="31">
        <v>8.4245998315080027E-3</v>
      </c>
      <c r="H20" s="31">
        <v>8.4245998315080027E-3</v>
      </c>
      <c r="I20" s="31">
        <v>1.3479359730412805E-2</v>
      </c>
      <c r="J20" s="31">
        <v>1.8534119629317607E-2</v>
      </c>
      <c r="K20" s="31">
        <v>3.201347935973041E-2</v>
      </c>
      <c r="L20" s="31">
        <v>4.2122999157540017E-2</v>
      </c>
      <c r="M20" s="31">
        <v>5.2232518955349617E-2</v>
      </c>
      <c r="N20" s="31">
        <v>4.2965459140690818E-2</v>
      </c>
      <c r="O20" s="31">
        <v>1.8534119629317607E-2</v>
      </c>
      <c r="P20" s="31">
        <v>1.6849199663016006E-3</v>
      </c>
      <c r="Q20" s="31">
        <v>8.4245998315080029E-4</v>
      </c>
      <c r="R20" s="31">
        <v>8.4245998315080029E-4</v>
      </c>
      <c r="S20" s="31">
        <v>8.4245998315080029E-4</v>
      </c>
      <c r="T20" s="32">
        <v>1</v>
      </c>
    </row>
    <row r="23" spans="2:20" x14ac:dyDescent="0.25">
      <c r="B23" s="17" t="s">
        <v>1175</v>
      </c>
      <c r="C23" s="17" t="s">
        <v>1180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9"/>
    </row>
    <row r="24" spans="2:20" x14ac:dyDescent="0.25">
      <c r="B24" s="17" t="s">
        <v>1179</v>
      </c>
      <c r="C24" s="17">
        <v>0</v>
      </c>
      <c r="D24" s="23">
        <v>22</v>
      </c>
      <c r="E24" s="23">
        <v>40</v>
      </c>
      <c r="F24" s="23">
        <v>60</v>
      </c>
      <c r="G24" s="23">
        <v>65</v>
      </c>
      <c r="H24" s="23">
        <v>70</v>
      </c>
      <c r="I24" s="23">
        <v>73</v>
      </c>
      <c r="J24" s="23">
        <v>75</v>
      </c>
      <c r="K24" s="23">
        <v>77</v>
      </c>
      <c r="L24" s="23">
        <v>80</v>
      </c>
      <c r="M24" s="23">
        <v>83</v>
      </c>
      <c r="N24" s="23">
        <v>85</v>
      </c>
      <c r="O24" s="23">
        <v>87</v>
      </c>
      <c r="P24" s="23">
        <v>90</v>
      </c>
      <c r="Q24" s="23">
        <v>93</v>
      </c>
      <c r="R24" s="23">
        <v>95</v>
      </c>
      <c r="S24" s="23">
        <v>99</v>
      </c>
      <c r="T24" s="20" t="s">
        <v>1177</v>
      </c>
    </row>
    <row r="25" spans="2:20" x14ac:dyDescent="0.25">
      <c r="B25" s="17">
        <v>0</v>
      </c>
      <c r="C25" s="38">
        <v>0.85048754062838572</v>
      </c>
      <c r="D25" s="25">
        <v>1.0834236186348862E-3</v>
      </c>
      <c r="E25" s="25">
        <v>0</v>
      </c>
      <c r="F25" s="25">
        <v>0</v>
      </c>
      <c r="G25" s="25">
        <v>0</v>
      </c>
      <c r="H25" s="25">
        <v>3.2502708559046588E-3</v>
      </c>
      <c r="I25" s="25">
        <v>8.6673889490790895E-3</v>
      </c>
      <c r="J25" s="25">
        <v>1.1917659804983749E-2</v>
      </c>
      <c r="K25" s="25">
        <v>1.0834236186348862E-2</v>
      </c>
      <c r="L25" s="25">
        <v>1.4084507042253521E-2</v>
      </c>
      <c r="M25" s="25">
        <v>3.9003250270855903E-2</v>
      </c>
      <c r="N25" s="25">
        <v>3.6836403033586131E-2</v>
      </c>
      <c r="O25" s="25">
        <v>2.0585048754062838E-2</v>
      </c>
      <c r="P25" s="25">
        <v>3.2502708559046588E-3</v>
      </c>
      <c r="Q25" s="25">
        <v>0</v>
      </c>
      <c r="R25" s="25">
        <v>0</v>
      </c>
      <c r="S25" s="25">
        <v>0</v>
      </c>
      <c r="T25" s="26">
        <v>1</v>
      </c>
    </row>
    <row r="26" spans="2:20" x14ac:dyDescent="0.25">
      <c r="B26" s="22">
        <v>22</v>
      </c>
      <c r="C26" s="27">
        <v>0</v>
      </c>
      <c r="D26" s="28">
        <v>1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9">
        <v>1</v>
      </c>
    </row>
    <row r="27" spans="2:20" x14ac:dyDescent="0.25">
      <c r="B27" s="22">
        <v>40</v>
      </c>
      <c r="C27" s="27">
        <v>0.14285714285714285</v>
      </c>
      <c r="D27" s="28">
        <v>0.42857142857142855</v>
      </c>
      <c r="E27" s="28">
        <v>0.2857142857142857</v>
      </c>
      <c r="F27" s="28">
        <v>0</v>
      </c>
      <c r="G27" s="28">
        <v>0</v>
      </c>
      <c r="H27" s="28">
        <v>0</v>
      </c>
      <c r="I27" s="28">
        <v>0</v>
      </c>
      <c r="J27" s="28">
        <v>0.14285714285714285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9">
        <v>1</v>
      </c>
    </row>
    <row r="28" spans="2:20" x14ac:dyDescent="0.25">
      <c r="B28" s="22">
        <v>60</v>
      </c>
      <c r="C28" s="27">
        <v>0.46666666666666667</v>
      </c>
      <c r="D28" s="28">
        <v>6.6666666666666666E-2</v>
      </c>
      <c r="E28" s="28">
        <v>0</v>
      </c>
      <c r="F28" s="28">
        <v>0.13333333333333333</v>
      </c>
      <c r="G28" s="28">
        <v>0.13333333333333333</v>
      </c>
      <c r="H28" s="28">
        <v>6.6666666666666666E-2</v>
      </c>
      <c r="I28" s="28">
        <v>6.6666666666666666E-2</v>
      </c>
      <c r="J28" s="28">
        <v>6.6666666666666666E-2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9">
        <v>1</v>
      </c>
    </row>
    <row r="29" spans="2:20" x14ac:dyDescent="0.25">
      <c r="B29" s="22">
        <v>65</v>
      </c>
      <c r="C29" s="27">
        <v>0.125</v>
      </c>
      <c r="D29" s="28">
        <v>0.25</v>
      </c>
      <c r="E29" s="28">
        <v>0</v>
      </c>
      <c r="F29" s="28">
        <v>0</v>
      </c>
      <c r="G29" s="28">
        <v>0.25</v>
      </c>
      <c r="H29" s="28">
        <v>0.125</v>
      </c>
      <c r="I29" s="28">
        <v>0</v>
      </c>
      <c r="J29" s="28">
        <v>0</v>
      </c>
      <c r="K29" s="28">
        <v>0</v>
      </c>
      <c r="L29" s="28">
        <v>0</v>
      </c>
      <c r="M29" s="28">
        <v>0.125</v>
      </c>
      <c r="N29" s="28">
        <v>0.125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9">
        <v>1</v>
      </c>
    </row>
    <row r="30" spans="2:20" x14ac:dyDescent="0.25">
      <c r="B30" s="22">
        <v>70</v>
      </c>
      <c r="C30" s="27">
        <v>0.44444444444444442</v>
      </c>
      <c r="D30" s="28">
        <v>0</v>
      </c>
      <c r="E30" s="28">
        <v>0</v>
      </c>
      <c r="F30" s="28">
        <v>0</v>
      </c>
      <c r="G30" s="28">
        <v>0.22222222222222221</v>
      </c>
      <c r="H30" s="28">
        <v>0.22222222222222221</v>
      </c>
      <c r="I30" s="28">
        <v>0.1111111111111111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9">
        <v>1</v>
      </c>
    </row>
    <row r="31" spans="2:20" x14ac:dyDescent="0.25">
      <c r="B31" s="22">
        <v>73</v>
      </c>
      <c r="C31" s="27">
        <v>0.36363636363636365</v>
      </c>
      <c r="D31" s="28">
        <v>0</v>
      </c>
      <c r="E31" s="28">
        <v>9.0909090909090912E-2</v>
      </c>
      <c r="F31" s="28">
        <v>0</v>
      </c>
      <c r="G31" s="28">
        <v>9.0909090909090912E-2</v>
      </c>
      <c r="H31" s="28">
        <v>0</v>
      </c>
      <c r="I31" s="28">
        <v>0.45454545454545453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9">
        <v>1</v>
      </c>
    </row>
    <row r="32" spans="2:20" x14ac:dyDescent="0.25">
      <c r="B32" s="22">
        <v>75</v>
      </c>
      <c r="C32" s="27">
        <v>0.5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0.125</v>
      </c>
      <c r="K32" s="28">
        <v>0</v>
      </c>
      <c r="L32" s="28">
        <v>0.125</v>
      </c>
      <c r="M32" s="28">
        <v>0.125</v>
      </c>
      <c r="N32" s="28">
        <v>0.125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9">
        <v>1</v>
      </c>
    </row>
    <row r="33" spans="2:20" x14ac:dyDescent="0.25">
      <c r="B33" s="22">
        <v>77</v>
      </c>
      <c r="C33" s="27">
        <v>0.125</v>
      </c>
      <c r="D33" s="28">
        <v>6.25E-2</v>
      </c>
      <c r="E33" s="28">
        <v>0</v>
      </c>
      <c r="F33" s="28">
        <v>0</v>
      </c>
      <c r="G33" s="28">
        <v>0</v>
      </c>
      <c r="H33" s="28">
        <v>6.25E-2</v>
      </c>
      <c r="I33" s="28">
        <v>6.25E-2</v>
      </c>
      <c r="J33" s="28">
        <v>0</v>
      </c>
      <c r="K33" s="28">
        <v>0.25</v>
      </c>
      <c r="L33" s="28">
        <v>6.25E-2</v>
      </c>
      <c r="M33" s="28">
        <v>0.3125</v>
      </c>
      <c r="N33" s="28">
        <v>6.25E-2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9">
        <v>1</v>
      </c>
    </row>
    <row r="34" spans="2:20" x14ac:dyDescent="0.25">
      <c r="B34" s="22">
        <v>80</v>
      </c>
      <c r="C34" s="27">
        <v>0.34482758620689657</v>
      </c>
      <c r="D34" s="28">
        <v>0</v>
      </c>
      <c r="E34" s="28">
        <v>0</v>
      </c>
      <c r="F34" s="28">
        <v>0</v>
      </c>
      <c r="G34" s="28">
        <v>0</v>
      </c>
      <c r="H34" s="28">
        <v>3.4482758620689655E-2</v>
      </c>
      <c r="I34" s="28">
        <v>3.4482758620689655E-2</v>
      </c>
      <c r="J34" s="28">
        <v>3.4482758620689655E-2</v>
      </c>
      <c r="K34" s="28">
        <v>0.13793103448275862</v>
      </c>
      <c r="L34" s="28">
        <v>0.17241379310344829</v>
      </c>
      <c r="M34" s="28">
        <v>0.13793103448275862</v>
      </c>
      <c r="N34" s="28">
        <v>6.8965517241379309E-2</v>
      </c>
      <c r="O34" s="28">
        <v>3.4482758620689655E-2</v>
      </c>
      <c r="P34" s="28">
        <v>0</v>
      </c>
      <c r="Q34" s="28">
        <v>0</v>
      </c>
      <c r="R34" s="28">
        <v>0</v>
      </c>
      <c r="S34" s="28">
        <v>0</v>
      </c>
      <c r="T34" s="29">
        <v>1</v>
      </c>
    </row>
    <row r="35" spans="2:20" x14ac:dyDescent="0.25">
      <c r="B35" s="22">
        <v>83</v>
      </c>
      <c r="C35" s="27">
        <v>0.22448979591836735</v>
      </c>
      <c r="D35" s="28">
        <v>2.0408163265306121E-2</v>
      </c>
      <c r="E35" s="28">
        <v>2.0408163265306121E-2</v>
      </c>
      <c r="F35" s="28">
        <v>0</v>
      </c>
      <c r="G35" s="28">
        <v>0</v>
      </c>
      <c r="H35" s="28">
        <v>2.0408163265306121E-2</v>
      </c>
      <c r="I35" s="28">
        <v>0</v>
      </c>
      <c r="J35" s="28">
        <v>0</v>
      </c>
      <c r="K35" s="28">
        <v>2.0408163265306121E-2</v>
      </c>
      <c r="L35" s="28">
        <v>0.12244897959183673</v>
      </c>
      <c r="M35" s="28">
        <v>0.26530612244897961</v>
      </c>
      <c r="N35" s="28">
        <v>0.24489795918367346</v>
      </c>
      <c r="O35" s="28">
        <v>4.0816326530612242E-2</v>
      </c>
      <c r="P35" s="28">
        <v>2.0408163265306121E-2</v>
      </c>
      <c r="Q35" s="28">
        <v>0</v>
      </c>
      <c r="R35" s="28">
        <v>0</v>
      </c>
      <c r="S35" s="28">
        <v>0</v>
      </c>
      <c r="T35" s="29">
        <v>1</v>
      </c>
    </row>
    <row r="36" spans="2:20" x14ac:dyDescent="0.25">
      <c r="B36" s="22">
        <v>85</v>
      </c>
      <c r="C36" s="27">
        <v>0.25454545454545452</v>
      </c>
      <c r="D36" s="28">
        <v>0</v>
      </c>
      <c r="E36" s="28">
        <v>0</v>
      </c>
      <c r="F36" s="28">
        <v>0</v>
      </c>
      <c r="G36" s="28">
        <v>0</v>
      </c>
      <c r="H36" s="28">
        <v>1.8181818181818181E-2</v>
      </c>
      <c r="I36" s="28">
        <v>0</v>
      </c>
      <c r="J36" s="28">
        <v>5.4545454545454543E-2</v>
      </c>
      <c r="K36" s="28">
        <v>3.6363636363636362E-2</v>
      </c>
      <c r="L36" s="28">
        <v>5.4545454545454543E-2</v>
      </c>
      <c r="M36" s="28">
        <v>0.27272727272727271</v>
      </c>
      <c r="N36" s="28">
        <v>0.21818181818181817</v>
      </c>
      <c r="O36" s="28">
        <v>9.0909090909090912E-2</v>
      </c>
      <c r="P36" s="28">
        <v>0</v>
      </c>
      <c r="Q36" s="28">
        <v>0</v>
      </c>
      <c r="R36" s="28">
        <v>0</v>
      </c>
      <c r="S36" s="28">
        <v>0</v>
      </c>
      <c r="T36" s="29">
        <v>1</v>
      </c>
    </row>
    <row r="37" spans="2:20" x14ac:dyDescent="0.25">
      <c r="B37" s="22">
        <v>87</v>
      </c>
      <c r="C37" s="27">
        <v>0.27777777777777779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2.7777777777777776E-2</v>
      </c>
      <c r="J37" s="28">
        <v>0</v>
      </c>
      <c r="K37" s="28">
        <v>0</v>
      </c>
      <c r="L37" s="28">
        <v>8.3333333333333329E-2</v>
      </c>
      <c r="M37" s="28">
        <v>5.5555555555555552E-2</v>
      </c>
      <c r="N37" s="28">
        <v>0.27777777777777779</v>
      </c>
      <c r="O37" s="28">
        <v>0.27777777777777779</v>
      </c>
      <c r="P37" s="28">
        <v>0</v>
      </c>
      <c r="Q37" s="28">
        <v>0</v>
      </c>
      <c r="R37" s="28">
        <v>0</v>
      </c>
      <c r="S37" s="28">
        <v>0</v>
      </c>
      <c r="T37" s="29">
        <v>1</v>
      </c>
    </row>
    <row r="38" spans="2:20" x14ac:dyDescent="0.25">
      <c r="B38" s="22">
        <v>90</v>
      </c>
      <c r="C38" s="27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0.2</v>
      </c>
      <c r="M38" s="28">
        <v>0.2</v>
      </c>
      <c r="N38" s="28">
        <v>0.2</v>
      </c>
      <c r="O38" s="28">
        <v>0.2</v>
      </c>
      <c r="P38" s="28">
        <v>0.2</v>
      </c>
      <c r="Q38" s="28">
        <v>0</v>
      </c>
      <c r="R38" s="28">
        <v>0</v>
      </c>
      <c r="S38" s="28">
        <v>0</v>
      </c>
      <c r="T38" s="29">
        <v>1</v>
      </c>
    </row>
    <row r="39" spans="2:20" x14ac:dyDescent="0.25">
      <c r="B39" s="22">
        <v>93</v>
      </c>
      <c r="C39" s="27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1</v>
      </c>
      <c r="R39" s="28">
        <v>0</v>
      </c>
      <c r="S39" s="28">
        <v>0</v>
      </c>
      <c r="T39" s="29">
        <v>1</v>
      </c>
    </row>
    <row r="40" spans="2:20" x14ac:dyDescent="0.25">
      <c r="B40" s="22">
        <v>95</v>
      </c>
      <c r="C40" s="27">
        <v>0.5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0.5</v>
      </c>
      <c r="S40" s="28">
        <v>0</v>
      </c>
      <c r="T40" s="29">
        <v>1</v>
      </c>
    </row>
    <row r="41" spans="2:20" x14ac:dyDescent="0.25">
      <c r="B41" s="22">
        <v>99</v>
      </c>
      <c r="C41" s="27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  <c r="T41" s="29">
        <v>1</v>
      </c>
    </row>
    <row r="42" spans="2:20" x14ac:dyDescent="0.25">
      <c r="B42" s="21" t="s">
        <v>1177</v>
      </c>
      <c r="C42" s="30">
        <v>0.71946082561078351</v>
      </c>
      <c r="D42" s="31">
        <v>1.7691659646166806E-2</v>
      </c>
      <c r="E42" s="31">
        <v>3.3698399326032012E-3</v>
      </c>
      <c r="F42" s="31">
        <v>1.6849199663016006E-3</v>
      </c>
      <c r="G42" s="31">
        <v>5.8972198820556026E-3</v>
      </c>
      <c r="H42" s="31">
        <v>9.2670598146588033E-3</v>
      </c>
      <c r="I42" s="31">
        <v>1.5164279696714406E-2</v>
      </c>
      <c r="J42" s="31">
        <v>1.5164279696714406E-2</v>
      </c>
      <c r="K42" s="31">
        <v>1.7691659646166806E-2</v>
      </c>
      <c r="L42" s="31">
        <v>2.780117944397641E-2</v>
      </c>
      <c r="M42" s="31">
        <v>6.571187868576242E-2</v>
      </c>
      <c r="N42" s="31">
        <v>6.2342038753159225E-2</v>
      </c>
      <c r="O42" s="31">
        <v>3.201347935973041E-2</v>
      </c>
      <c r="P42" s="31">
        <v>4.2122999157540014E-3</v>
      </c>
      <c r="Q42" s="31">
        <v>8.4245998315080029E-4</v>
      </c>
      <c r="R42" s="31">
        <v>8.4245998315080029E-4</v>
      </c>
      <c r="S42" s="31">
        <v>8.4245998315080029E-4</v>
      </c>
      <c r="T42" s="32">
        <v>1</v>
      </c>
    </row>
    <row r="45" spans="2:20" x14ac:dyDescent="0.25">
      <c r="B45" t="s">
        <v>1175</v>
      </c>
      <c r="C45" t="s">
        <v>1183</v>
      </c>
    </row>
    <row r="46" spans="2:20" x14ac:dyDescent="0.25">
      <c r="B46" t="s">
        <v>1181</v>
      </c>
      <c r="C46">
        <v>0</v>
      </c>
      <c r="D46">
        <v>22</v>
      </c>
      <c r="E46">
        <v>40</v>
      </c>
      <c r="F46">
        <v>60</v>
      </c>
      <c r="G46">
        <v>65</v>
      </c>
      <c r="H46">
        <v>70</v>
      </c>
      <c r="I46">
        <v>73</v>
      </c>
      <c r="J46">
        <v>75</v>
      </c>
      <c r="K46">
        <v>77</v>
      </c>
      <c r="L46">
        <v>80</v>
      </c>
      <c r="M46">
        <v>83</v>
      </c>
      <c r="N46">
        <v>85</v>
      </c>
      <c r="O46">
        <v>87</v>
      </c>
      <c r="P46">
        <v>90</v>
      </c>
      <c r="Q46">
        <v>93</v>
      </c>
      <c r="R46">
        <v>95</v>
      </c>
      <c r="S46">
        <v>99</v>
      </c>
      <c r="T46" t="s">
        <v>1177</v>
      </c>
    </row>
    <row r="47" spans="2:20" x14ac:dyDescent="0.25">
      <c r="B47">
        <v>0</v>
      </c>
      <c r="C47">
        <v>0.85521885521885521</v>
      </c>
      <c r="D47">
        <v>1.1223344556677891E-3</v>
      </c>
      <c r="E47">
        <v>0</v>
      </c>
      <c r="F47">
        <v>0</v>
      </c>
      <c r="G47">
        <v>1.1223344556677891E-3</v>
      </c>
      <c r="H47">
        <v>1.1223344556677891E-3</v>
      </c>
      <c r="I47">
        <v>5.6116722783389446E-3</v>
      </c>
      <c r="J47">
        <v>7.8563411896745237E-3</v>
      </c>
      <c r="K47">
        <v>6.7340067340067337E-3</v>
      </c>
      <c r="L47">
        <v>2.0202020202020204E-2</v>
      </c>
      <c r="M47">
        <v>3.8159371492704826E-2</v>
      </c>
      <c r="N47">
        <v>4.4893378226711557E-2</v>
      </c>
      <c r="O47">
        <v>1.5712682379349047E-2</v>
      </c>
      <c r="P47">
        <v>2.2446689113355782E-3</v>
      </c>
      <c r="Q47">
        <v>0</v>
      </c>
      <c r="R47">
        <v>0</v>
      </c>
      <c r="S47">
        <v>0</v>
      </c>
      <c r="T47">
        <v>1</v>
      </c>
    </row>
    <row r="48" spans="2:20" x14ac:dyDescent="0.25">
      <c r="B48">
        <v>22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</row>
    <row r="49" spans="2:20" x14ac:dyDescent="0.25">
      <c r="B49">
        <v>40</v>
      </c>
      <c r="C49">
        <v>0.27272727272727271</v>
      </c>
      <c r="D49">
        <v>0.27272727272727271</v>
      </c>
      <c r="E49">
        <v>9.0909090909090912E-2</v>
      </c>
      <c r="F49">
        <v>9.0909090909090912E-2</v>
      </c>
      <c r="G49">
        <v>0.18181818181818182</v>
      </c>
      <c r="H49">
        <v>0</v>
      </c>
      <c r="I49">
        <v>0</v>
      </c>
      <c r="J49">
        <v>0</v>
      </c>
      <c r="K49">
        <v>0</v>
      </c>
      <c r="L49">
        <v>0</v>
      </c>
      <c r="M49">
        <v>9.0909090909090912E-2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</row>
    <row r="50" spans="2:20" x14ac:dyDescent="0.25">
      <c r="B50">
        <v>60</v>
      </c>
      <c r="C50">
        <v>0.7142857142857143</v>
      </c>
      <c r="D50">
        <v>0</v>
      </c>
      <c r="E50">
        <v>0</v>
      </c>
      <c r="F50">
        <v>0.14285714285714285</v>
      </c>
      <c r="G50">
        <v>0</v>
      </c>
      <c r="H50">
        <v>0.14285714285714285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</row>
    <row r="51" spans="2:20" x14ac:dyDescent="0.25">
      <c r="B51">
        <v>65</v>
      </c>
      <c r="C51">
        <v>0.5</v>
      </c>
      <c r="D51">
        <v>0</v>
      </c>
      <c r="E51">
        <v>0</v>
      </c>
      <c r="F51">
        <v>0</v>
      </c>
      <c r="G51">
        <v>0.375</v>
      </c>
      <c r="H51">
        <v>0.125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</row>
    <row r="52" spans="2:20" x14ac:dyDescent="0.25">
      <c r="B52">
        <v>70</v>
      </c>
      <c r="C52">
        <v>0.5</v>
      </c>
      <c r="D52">
        <v>0.125</v>
      </c>
      <c r="E52">
        <v>0</v>
      </c>
      <c r="F52">
        <v>0</v>
      </c>
      <c r="G52">
        <v>0</v>
      </c>
      <c r="H52">
        <v>0.125</v>
      </c>
      <c r="I52">
        <v>0.125</v>
      </c>
      <c r="J52">
        <v>0</v>
      </c>
      <c r="K52">
        <v>0.125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</row>
    <row r="53" spans="2:20" x14ac:dyDescent="0.25">
      <c r="B53">
        <v>73</v>
      </c>
      <c r="C53">
        <v>0.38461538461538464</v>
      </c>
      <c r="D53">
        <v>3.8461538461538464E-2</v>
      </c>
      <c r="E53">
        <v>0</v>
      </c>
      <c r="F53">
        <v>0</v>
      </c>
      <c r="G53">
        <v>7.6923076923076927E-2</v>
      </c>
      <c r="H53">
        <v>0</v>
      </c>
      <c r="I53">
        <v>0.26923076923076922</v>
      </c>
      <c r="J53">
        <v>7.6923076923076927E-2</v>
      </c>
      <c r="K53">
        <v>0.11538461538461539</v>
      </c>
      <c r="L53">
        <v>3.8461538461538464E-2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</row>
    <row r="54" spans="2:20" x14ac:dyDescent="0.25">
      <c r="B54">
        <v>75</v>
      </c>
      <c r="C54">
        <v>0.44444444444444442</v>
      </c>
      <c r="D54">
        <v>5.5555555555555552E-2</v>
      </c>
      <c r="E54">
        <v>0</v>
      </c>
      <c r="F54">
        <v>5.5555555555555552E-2</v>
      </c>
      <c r="G54">
        <v>0</v>
      </c>
      <c r="H54">
        <v>5.5555555555555552E-2</v>
      </c>
      <c r="I54">
        <v>0.1111111111111111</v>
      </c>
      <c r="J54">
        <v>0.1111111111111111</v>
      </c>
      <c r="K54">
        <v>5.5555555555555552E-2</v>
      </c>
      <c r="L54">
        <v>0</v>
      </c>
      <c r="M54">
        <v>5.5555555555555552E-2</v>
      </c>
      <c r="N54">
        <v>5.5555555555555552E-2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</row>
    <row r="55" spans="2:20" x14ac:dyDescent="0.25">
      <c r="B55">
        <v>77</v>
      </c>
      <c r="C55">
        <v>0.20689655172413793</v>
      </c>
      <c r="D55">
        <v>3.4482758620689655E-2</v>
      </c>
      <c r="E55">
        <v>0</v>
      </c>
      <c r="F55">
        <v>0</v>
      </c>
      <c r="G55">
        <v>0</v>
      </c>
      <c r="H55">
        <v>0</v>
      </c>
      <c r="I55">
        <v>6.8965517241379309E-2</v>
      </c>
      <c r="J55">
        <v>6.8965517241379309E-2</v>
      </c>
      <c r="K55">
        <v>0.10344827586206896</v>
      </c>
      <c r="L55">
        <v>0.2413793103448276</v>
      </c>
      <c r="M55">
        <v>0.20689655172413793</v>
      </c>
      <c r="N55">
        <v>6.8965517241379309E-2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</row>
    <row r="56" spans="2:20" x14ac:dyDescent="0.25">
      <c r="B56">
        <v>80</v>
      </c>
      <c r="C56">
        <v>0.3902439024390244</v>
      </c>
      <c r="D56">
        <v>0</v>
      </c>
      <c r="E56">
        <v>2.4390243902439025E-2</v>
      </c>
      <c r="F56">
        <v>0</v>
      </c>
      <c r="G56">
        <v>2.4390243902439025E-2</v>
      </c>
      <c r="H56">
        <v>0</v>
      </c>
      <c r="I56">
        <v>2.4390243902439025E-2</v>
      </c>
      <c r="J56">
        <v>4.878048780487805E-2</v>
      </c>
      <c r="K56">
        <v>7.3170731707317069E-2</v>
      </c>
      <c r="L56">
        <v>0.17073170731707318</v>
      </c>
      <c r="M56">
        <v>0.17073170731707318</v>
      </c>
      <c r="N56">
        <v>2.4390243902439025E-2</v>
      </c>
      <c r="O56">
        <v>4.878048780487805E-2</v>
      </c>
      <c r="P56">
        <v>0</v>
      </c>
      <c r="Q56">
        <v>0</v>
      </c>
      <c r="R56">
        <v>0</v>
      </c>
      <c r="S56">
        <v>0</v>
      </c>
      <c r="T56">
        <v>1</v>
      </c>
    </row>
    <row r="57" spans="2:20" x14ac:dyDescent="0.25">
      <c r="B57">
        <v>83</v>
      </c>
      <c r="C57">
        <v>0.21212121212121213</v>
      </c>
      <c r="D57">
        <v>0</v>
      </c>
      <c r="E57">
        <v>0</v>
      </c>
      <c r="F57">
        <v>0</v>
      </c>
      <c r="G57">
        <v>0</v>
      </c>
      <c r="H57">
        <v>3.0303030303030304E-2</v>
      </c>
      <c r="I57">
        <v>0</v>
      </c>
      <c r="J57">
        <v>0</v>
      </c>
      <c r="K57">
        <v>3.0303030303030304E-2</v>
      </c>
      <c r="L57">
        <v>9.0909090909090912E-2</v>
      </c>
      <c r="M57">
        <v>0.30303030303030304</v>
      </c>
      <c r="N57">
        <v>0.25757575757575757</v>
      </c>
      <c r="O57">
        <v>7.575757575757576E-2</v>
      </c>
      <c r="P57">
        <v>0</v>
      </c>
      <c r="Q57">
        <v>0</v>
      </c>
      <c r="R57">
        <v>0</v>
      </c>
      <c r="S57">
        <v>0</v>
      </c>
      <c r="T57">
        <v>1</v>
      </c>
    </row>
    <row r="58" spans="2:20" x14ac:dyDescent="0.25">
      <c r="B58">
        <v>85</v>
      </c>
      <c r="C58">
        <v>0.21739130434782608</v>
      </c>
      <c r="D58">
        <v>2.1739130434782608E-2</v>
      </c>
      <c r="E58">
        <v>0</v>
      </c>
      <c r="F58">
        <v>0</v>
      </c>
      <c r="G58">
        <v>0</v>
      </c>
      <c r="H58">
        <v>2.1739130434782608E-2</v>
      </c>
      <c r="I58">
        <v>2.1739130434782608E-2</v>
      </c>
      <c r="J58">
        <v>0</v>
      </c>
      <c r="K58">
        <v>0</v>
      </c>
      <c r="L58">
        <v>8.6956521739130432E-2</v>
      </c>
      <c r="M58">
        <v>0.15217391304347827</v>
      </c>
      <c r="N58">
        <v>0.32608695652173914</v>
      </c>
      <c r="O58">
        <v>0.13043478260869565</v>
      </c>
      <c r="P58">
        <v>2.1739130434782608E-2</v>
      </c>
      <c r="Q58">
        <v>0</v>
      </c>
      <c r="R58">
        <v>0</v>
      </c>
      <c r="S58">
        <v>0</v>
      </c>
      <c r="T58">
        <v>1</v>
      </c>
    </row>
    <row r="59" spans="2:20" x14ac:dyDescent="0.25">
      <c r="B59">
        <v>87</v>
      </c>
      <c r="C59">
        <v>0.2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6.6666666666666666E-2</v>
      </c>
      <c r="M59">
        <v>6.6666666666666666E-2</v>
      </c>
      <c r="N59">
        <v>0.26666666666666666</v>
      </c>
      <c r="O59">
        <v>0.26666666666666666</v>
      </c>
      <c r="P59">
        <v>0.13333333333333333</v>
      </c>
      <c r="Q59">
        <v>0</v>
      </c>
      <c r="R59">
        <v>0</v>
      </c>
      <c r="S59">
        <v>0</v>
      </c>
      <c r="T59">
        <v>1</v>
      </c>
    </row>
    <row r="60" spans="2:20" x14ac:dyDescent="0.25">
      <c r="B60">
        <v>90</v>
      </c>
      <c r="C60">
        <v>0.66666666666666663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0.33333333333333331</v>
      </c>
      <c r="Q60">
        <v>0</v>
      </c>
      <c r="R60">
        <v>0</v>
      </c>
      <c r="S60">
        <v>0</v>
      </c>
      <c r="T60">
        <v>1</v>
      </c>
    </row>
    <row r="61" spans="2:20" x14ac:dyDescent="0.25">
      <c r="B61">
        <v>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1</v>
      </c>
    </row>
    <row r="62" spans="2:20" x14ac:dyDescent="0.25">
      <c r="B62">
        <v>95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0.5</v>
      </c>
      <c r="Q62">
        <v>0</v>
      </c>
      <c r="R62">
        <v>0.5</v>
      </c>
      <c r="S62">
        <v>0</v>
      </c>
      <c r="T62">
        <v>1</v>
      </c>
    </row>
    <row r="63" spans="2:20" x14ac:dyDescent="0.25">
      <c r="B63">
        <v>99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1</v>
      </c>
    </row>
    <row r="64" spans="2:20" x14ac:dyDescent="0.25">
      <c r="B64" t="s">
        <v>1177</v>
      </c>
      <c r="C64">
        <v>0.7135636057287279</v>
      </c>
      <c r="D64">
        <v>1.9376579612468407E-2</v>
      </c>
      <c r="E64">
        <v>1.6849199663016006E-3</v>
      </c>
      <c r="F64">
        <v>2.527379949452401E-3</v>
      </c>
      <c r="G64">
        <v>7.582139848357203E-3</v>
      </c>
      <c r="H64">
        <v>6.7396798652064023E-3</v>
      </c>
      <c r="I64">
        <v>1.6006739679865205E-2</v>
      </c>
      <c r="J64">
        <v>1.2636899747262006E-2</v>
      </c>
      <c r="K64">
        <v>1.6006739679865205E-2</v>
      </c>
      <c r="L64">
        <v>3.7068239258635213E-2</v>
      </c>
      <c r="M64">
        <v>6.486941870261162E-2</v>
      </c>
      <c r="N64">
        <v>6.7396798652064022E-2</v>
      </c>
      <c r="O64">
        <v>2.6116259477674809E-2</v>
      </c>
      <c r="P64">
        <v>5.8972198820556026E-3</v>
      </c>
      <c r="Q64">
        <v>8.4245998315080029E-4</v>
      </c>
      <c r="R64">
        <v>8.4245998315080029E-4</v>
      </c>
      <c r="S64">
        <v>8.4245998315080029E-4</v>
      </c>
      <c r="T64">
        <v>1</v>
      </c>
    </row>
    <row r="66" spans="2:20" x14ac:dyDescent="0.25">
      <c r="B66" t="s">
        <v>1175</v>
      </c>
      <c r="C66" t="s">
        <v>1184</v>
      </c>
    </row>
    <row r="67" spans="2:20" x14ac:dyDescent="0.25">
      <c r="B67" t="s">
        <v>1182</v>
      </c>
      <c r="C67">
        <v>0</v>
      </c>
      <c r="D67">
        <v>22</v>
      </c>
      <c r="E67">
        <v>40</v>
      </c>
      <c r="F67">
        <v>60</v>
      </c>
      <c r="G67">
        <v>65</v>
      </c>
      <c r="H67">
        <v>70</v>
      </c>
      <c r="I67">
        <v>73</v>
      </c>
      <c r="J67">
        <v>75</v>
      </c>
      <c r="K67">
        <v>77</v>
      </c>
      <c r="L67">
        <v>80</v>
      </c>
      <c r="M67">
        <v>83</v>
      </c>
      <c r="N67">
        <v>85</v>
      </c>
      <c r="O67">
        <v>87</v>
      </c>
      <c r="P67">
        <v>90</v>
      </c>
      <c r="Q67">
        <v>93</v>
      </c>
      <c r="R67">
        <v>95</v>
      </c>
      <c r="S67">
        <v>99</v>
      </c>
      <c r="T67" t="s">
        <v>1177</v>
      </c>
    </row>
    <row r="68" spans="2:20" x14ac:dyDescent="0.25">
      <c r="B68">
        <v>0</v>
      </c>
      <c r="C68">
        <v>0.83815028901734101</v>
      </c>
      <c r="D68">
        <v>1.1560693641618498E-3</v>
      </c>
      <c r="E68">
        <v>0</v>
      </c>
      <c r="F68">
        <v>0</v>
      </c>
      <c r="G68">
        <v>1.1560693641618498E-3</v>
      </c>
      <c r="H68">
        <v>3.4682080924855491E-3</v>
      </c>
      <c r="I68">
        <v>3.4682080924855491E-3</v>
      </c>
      <c r="J68">
        <v>4.6242774566473991E-3</v>
      </c>
      <c r="K68">
        <v>1.1560693641618497E-2</v>
      </c>
      <c r="L68">
        <v>2.5433526011560695E-2</v>
      </c>
      <c r="M68">
        <v>4.2774566473988439E-2</v>
      </c>
      <c r="N68">
        <v>5.3179190751445088E-2</v>
      </c>
      <c r="O68">
        <v>1.2716763005780347E-2</v>
      </c>
      <c r="P68">
        <v>2.3121387283236996E-3</v>
      </c>
      <c r="Q68">
        <v>0</v>
      </c>
      <c r="R68">
        <v>0</v>
      </c>
      <c r="S68">
        <v>0</v>
      </c>
      <c r="T68">
        <v>1</v>
      </c>
    </row>
    <row r="69" spans="2:20" x14ac:dyDescent="0.25">
      <c r="B69">
        <v>22</v>
      </c>
      <c r="C69">
        <v>0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</row>
    <row r="70" spans="2:20" x14ac:dyDescent="0.25">
      <c r="B70">
        <v>40</v>
      </c>
      <c r="C70">
        <v>0.1111111111111111</v>
      </c>
      <c r="D70">
        <v>0.33333333333333331</v>
      </c>
      <c r="E70">
        <v>0.1111111111111111</v>
      </c>
      <c r="F70">
        <v>0.1111111111111111</v>
      </c>
      <c r="G70">
        <v>0.22222222222222221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0.1111111111111111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</row>
    <row r="71" spans="2:20" x14ac:dyDescent="0.25">
      <c r="B71">
        <v>60</v>
      </c>
      <c r="C71">
        <v>0.42857142857142855</v>
      </c>
      <c r="D71">
        <v>0</v>
      </c>
      <c r="E71">
        <v>0.14285714285714285</v>
      </c>
      <c r="F71">
        <v>0.2857142857142857</v>
      </c>
      <c r="G71">
        <v>0.14285714285714285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</row>
    <row r="72" spans="2:20" x14ac:dyDescent="0.25">
      <c r="B72">
        <v>65</v>
      </c>
      <c r="C72">
        <v>0.36363636363636365</v>
      </c>
      <c r="D72">
        <v>9.0909090909090912E-2</v>
      </c>
      <c r="E72">
        <v>0</v>
      </c>
      <c r="F72">
        <v>0</v>
      </c>
      <c r="G72">
        <v>0.27272727272727271</v>
      </c>
      <c r="H72">
        <v>9.0909090909090912E-2</v>
      </c>
      <c r="I72">
        <v>9.0909090909090912E-2</v>
      </c>
      <c r="J72">
        <v>0</v>
      </c>
      <c r="K72">
        <v>9.0909090909090912E-2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</row>
    <row r="73" spans="2:20" x14ac:dyDescent="0.25">
      <c r="B73">
        <v>70</v>
      </c>
      <c r="C73">
        <v>0.5</v>
      </c>
      <c r="D73">
        <v>0</v>
      </c>
      <c r="E73">
        <v>0</v>
      </c>
      <c r="F73">
        <v>0</v>
      </c>
      <c r="G73">
        <v>0</v>
      </c>
      <c r="H73">
        <v>0.33333333333333331</v>
      </c>
      <c r="I73">
        <v>0</v>
      </c>
      <c r="J73">
        <v>0</v>
      </c>
      <c r="K73">
        <v>0.16666666666666666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</row>
    <row r="74" spans="2:20" x14ac:dyDescent="0.25">
      <c r="B74">
        <v>73</v>
      </c>
      <c r="C74">
        <v>0.22727272727272727</v>
      </c>
      <c r="D74">
        <v>4.5454545454545456E-2</v>
      </c>
      <c r="E74">
        <v>0</v>
      </c>
      <c r="F74">
        <v>0</v>
      </c>
      <c r="G74">
        <v>0.13636363636363635</v>
      </c>
      <c r="H74">
        <v>0</v>
      </c>
      <c r="I74">
        <v>0.31818181818181818</v>
      </c>
      <c r="J74">
        <v>4.5454545454545456E-2</v>
      </c>
      <c r="K74">
        <v>0.18181818181818182</v>
      </c>
      <c r="L74">
        <v>0</v>
      </c>
      <c r="M74">
        <v>4.5454545454545456E-2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</row>
    <row r="75" spans="2:20" x14ac:dyDescent="0.25">
      <c r="B75">
        <v>75</v>
      </c>
      <c r="C75">
        <v>0.4</v>
      </c>
      <c r="D75">
        <v>0.1</v>
      </c>
      <c r="E75">
        <v>0</v>
      </c>
      <c r="F75">
        <v>0</v>
      </c>
      <c r="G75">
        <v>0.1</v>
      </c>
      <c r="H75">
        <v>0.1</v>
      </c>
      <c r="I75">
        <v>0.1</v>
      </c>
      <c r="J75">
        <v>0.1</v>
      </c>
      <c r="K75">
        <v>0</v>
      </c>
      <c r="L75">
        <v>0</v>
      </c>
      <c r="M75">
        <v>0</v>
      </c>
      <c r="N75">
        <v>0.1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</row>
    <row r="76" spans="2:20" x14ac:dyDescent="0.25">
      <c r="B76">
        <v>77</v>
      </c>
      <c r="C76">
        <v>0.26666666666666666</v>
      </c>
      <c r="D76">
        <v>3.3333333333333333E-2</v>
      </c>
      <c r="E76">
        <v>0</v>
      </c>
      <c r="F76">
        <v>0</v>
      </c>
      <c r="G76">
        <v>0</v>
      </c>
      <c r="H76">
        <v>0</v>
      </c>
      <c r="I76">
        <v>6.6666666666666666E-2</v>
      </c>
      <c r="J76">
        <v>3.3333333333333333E-2</v>
      </c>
      <c r="K76">
        <v>0.1</v>
      </c>
      <c r="L76">
        <v>0.2</v>
      </c>
      <c r="M76">
        <v>0.2</v>
      </c>
      <c r="N76">
        <v>6.6666666666666666E-2</v>
      </c>
      <c r="O76">
        <v>3.3333333333333333E-2</v>
      </c>
      <c r="P76">
        <v>0</v>
      </c>
      <c r="Q76">
        <v>0</v>
      </c>
      <c r="R76">
        <v>0</v>
      </c>
      <c r="S76">
        <v>0</v>
      </c>
      <c r="T76">
        <v>1</v>
      </c>
    </row>
    <row r="77" spans="2:20" x14ac:dyDescent="0.25">
      <c r="B77">
        <v>80</v>
      </c>
      <c r="C77">
        <v>0.42857142857142855</v>
      </c>
      <c r="D77">
        <v>0</v>
      </c>
      <c r="E77">
        <v>0</v>
      </c>
      <c r="F77">
        <v>0</v>
      </c>
      <c r="G77">
        <v>0</v>
      </c>
      <c r="H77">
        <v>0</v>
      </c>
      <c r="I77">
        <v>4.7619047619047616E-2</v>
      </c>
      <c r="J77">
        <v>4.7619047619047616E-2</v>
      </c>
      <c r="K77">
        <v>0.11904761904761904</v>
      </c>
      <c r="L77">
        <v>0.11904761904761904</v>
      </c>
      <c r="M77">
        <v>0.21428571428571427</v>
      </c>
      <c r="N77">
        <v>2.3809523809523808E-2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2:20" x14ac:dyDescent="0.25">
      <c r="B78">
        <v>83</v>
      </c>
      <c r="C78">
        <v>0.17721518987341772</v>
      </c>
      <c r="D78">
        <v>0</v>
      </c>
      <c r="E78">
        <v>0</v>
      </c>
      <c r="F78">
        <v>0</v>
      </c>
      <c r="G78">
        <v>1.2658227848101266E-2</v>
      </c>
      <c r="H78">
        <v>2.5316455696202531E-2</v>
      </c>
      <c r="I78">
        <v>2.5316455696202531E-2</v>
      </c>
      <c r="J78">
        <v>3.7974683544303799E-2</v>
      </c>
      <c r="K78">
        <v>5.0632911392405063E-2</v>
      </c>
      <c r="L78">
        <v>8.8607594936708861E-2</v>
      </c>
      <c r="M78">
        <v>0.29113924050632911</v>
      </c>
      <c r="N78">
        <v>0.189873417721519</v>
      </c>
      <c r="O78">
        <v>8.8607594936708861E-2</v>
      </c>
      <c r="P78">
        <v>1.2658227848101266E-2</v>
      </c>
      <c r="Q78">
        <v>0</v>
      </c>
      <c r="R78">
        <v>0</v>
      </c>
      <c r="S78">
        <v>0</v>
      </c>
      <c r="T78">
        <v>1</v>
      </c>
    </row>
    <row r="79" spans="2:20" x14ac:dyDescent="0.25">
      <c r="B79">
        <v>85</v>
      </c>
      <c r="C79">
        <v>0.33333333333333331</v>
      </c>
      <c r="D79">
        <v>1.8518518518518517E-2</v>
      </c>
      <c r="E79">
        <v>0</v>
      </c>
      <c r="F79">
        <v>0</v>
      </c>
      <c r="G79">
        <v>0</v>
      </c>
      <c r="H79">
        <v>1.8518518518518517E-2</v>
      </c>
      <c r="I79">
        <v>0</v>
      </c>
      <c r="J79">
        <v>1.8518518518518517E-2</v>
      </c>
      <c r="K79">
        <v>0</v>
      </c>
      <c r="L79">
        <v>9.2592592592592587E-2</v>
      </c>
      <c r="M79">
        <v>9.2592592592592587E-2</v>
      </c>
      <c r="N79">
        <v>0.29629629629629628</v>
      </c>
      <c r="O79">
        <v>0.1111111111111111</v>
      </c>
      <c r="P79">
        <v>1.8518518518518517E-2</v>
      </c>
      <c r="Q79">
        <v>0</v>
      </c>
      <c r="R79">
        <v>0</v>
      </c>
      <c r="S79">
        <v>0</v>
      </c>
      <c r="T79">
        <v>1</v>
      </c>
    </row>
    <row r="80" spans="2:20" x14ac:dyDescent="0.25">
      <c r="B80">
        <v>87</v>
      </c>
      <c r="C80">
        <v>0.2857142857142857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4.7619047619047616E-2</v>
      </c>
      <c r="L80">
        <v>9.5238095238095233E-2</v>
      </c>
      <c r="M80">
        <v>9.5238095238095233E-2</v>
      </c>
      <c r="N80">
        <v>0.19047619047619047</v>
      </c>
      <c r="O80">
        <v>0.14285714285714285</v>
      </c>
      <c r="P80">
        <v>0.14285714285714285</v>
      </c>
      <c r="Q80">
        <v>0</v>
      </c>
      <c r="R80">
        <v>0</v>
      </c>
      <c r="S80">
        <v>0</v>
      </c>
      <c r="T80">
        <v>1</v>
      </c>
    </row>
    <row r="81" spans="2:20" x14ac:dyDescent="0.25">
      <c r="B81">
        <v>90</v>
      </c>
      <c r="C81">
        <v>0.66666666666666663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0.33333333333333331</v>
      </c>
      <c r="Q81">
        <v>0</v>
      </c>
      <c r="R81">
        <v>0</v>
      </c>
      <c r="S81">
        <v>0</v>
      </c>
      <c r="T81">
        <v>1</v>
      </c>
    </row>
    <row r="82" spans="2:20" x14ac:dyDescent="0.25">
      <c r="B82">
        <v>93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1</v>
      </c>
    </row>
    <row r="83" spans="2:20" x14ac:dyDescent="0.25">
      <c r="B83">
        <v>95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0.5</v>
      </c>
      <c r="Q83">
        <v>0</v>
      </c>
      <c r="R83">
        <v>0.5</v>
      </c>
      <c r="S83">
        <v>0</v>
      </c>
      <c r="T83">
        <v>1</v>
      </c>
    </row>
    <row r="84" spans="2:20" x14ac:dyDescent="0.25">
      <c r="B84">
        <v>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>
        <v>1</v>
      </c>
    </row>
    <row r="85" spans="2:20" x14ac:dyDescent="0.25">
      <c r="B85" t="s">
        <v>1177</v>
      </c>
      <c r="C85">
        <v>0.68660488626790228</v>
      </c>
      <c r="D85">
        <v>2.0219039595619208E-2</v>
      </c>
      <c r="E85">
        <v>1.6849199663016006E-3</v>
      </c>
      <c r="F85">
        <v>2.527379949452401E-3</v>
      </c>
      <c r="G85">
        <v>1.0951979780960405E-2</v>
      </c>
      <c r="H85">
        <v>9.2670598146588033E-3</v>
      </c>
      <c r="I85">
        <v>1.6006739679865205E-2</v>
      </c>
      <c r="J85">
        <v>1.1794439764111205E-2</v>
      </c>
      <c r="K85">
        <v>2.4431339511373211E-2</v>
      </c>
      <c r="L85">
        <v>3.9595619208087615E-2</v>
      </c>
      <c r="M85">
        <v>6.9924178601516424E-2</v>
      </c>
      <c r="N85">
        <v>7.3294018534119626E-2</v>
      </c>
      <c r="O85">
        <v>2.358887952822241E-2</v>
      </c>
      <c r="P85">
        <v>7.582139848357203E-3</v>
      </c>
      <c r="Q85">
        <v>8.4245998315080029E-4</v>
      </c>
      <c r="R85">
        <v>8.4245998315080029E-4</v>
      </c>
      <c r="S85">
        <v>8.4245998315080029E-4</v>
      </c>
      <c r="T85">
        <v>1</v>
      </c>
    </row>
    <row r="88" spans="2:20" x14ac:dyDescent="0.25">
      <c r="B88" t="s">
        <v>1175</v>
      </c>
      <c r="C88" t="s">
        <v>1185</v>
      </c>
    </row>
    <row r="89" spans="2:20" x14ac:dyDescent="0.25">
      <c r="B89" t="s">
        <v>1178</v>
      </c>
      <c r="C89">
        <v>0</v>
      </c>
      <c r="D89">
        <v>22</v>
      </c>
      <c r="E89">
        <v>40</v>
      </c>
      <c r="F89">
        <v>60</v>
      </c>
      <c r="G89">
        <v>65</v>
      </c>
      <c r="H89">
        <v>70</v>
      </c>
      <c r="I89">
        <v>73</v>
      </c>
      <c r="J89">
        <v>75</v>
      </c>
      <c r="K89">
        <v>77</v>
      </c>
      <c r="L89">
        <v>80</v>
      </c>
      <c r="M89">
        <v>83</v>
      </c>
      <c r="N89">
        <v>85</v>
      </c>
      <c r="O89">
        <v>87</v>
      </c>
      <c r="P89">
        <v>90</v>
      </c>
      <c r="Q89">
        <v>93</v>
      </c>
      <c r="R89">
        <v>95</v>
      </c>
      <c r="S89">
        <v>99</v>
      </c>
      <c r="T89" t="s">
        <v>1177</v>
      </c>
    </row>
    <row r="90" spans="2:20" x14ac:dyDescent="0.25">
      <c r="B90">
        <v>0</v>
      </c>
      <c r="C90">
        <v>0.85155350978135791</v>
      </c>
      <c r="D90">
        <v>1.1507479861910242E-3</v>
      </c>
      <c r="E90">
        <v>1.1507479861910242E-3</v>
      </c>
      <c r="F90">
        <v>0</v>
      </c>
      <c r="G90">
        <v>2.3014959723820483E-3</v>
      </c>
      <c r="H90">
        <v>3.4522439585730723E-3</v>
      </c>
      <c r="I90">
        <v>5.7537399309551211E-3</v>
      </c>
      <c r="J90">
        <v>9.2059838895281933E-3</v>
      </c>
      <c r="K90">
        <v>4.6029919447640967E-3</v>
      </c>
      <c r="L90">
        <v>1.611047180667434E-2</v>
      </c>
      <c r="M90">
        <v>3.7974683544303799E-2</v>
      </c>
      <c r="N90">
        <v>4.6029919447640968E-2</v>
      </c>
      <c r="O90">
        <v>1.7261219792865361E-2</v>
      </c>
      <c r="P90">
        <v>3.4522439585730723E-3</v>
      </c>
      <c r="Q90">
        <v>0</v>
      </c>
      <c r="R90">
        <v>0</v>
      </c>
      <c r="S90">
        <v>0</v>
      </c>
      <c r="T90">
        <v>1</v>
      </c>
    </row>
    <row r="91" spans="2:20" x14ac:dyDescent="0.25">
      <c r="B91">
        <v>22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</row>
    <row r="92" spans="2:20" x14ac:dyDescent="0.25">
      <c r="B92">
        <v>40</v>
      </c>
      <c r="C92">
        <v>0.375</v>
      </c>
      <c r="D92">
        <v>0.125</v>
      </c>
      <c r="E92">
        <v>0.25</v>
      </c>
      <c r="F92">
        <v>0</v>
      </c>
      <c r="G92">
        <v>0</v>
      </c>
      <c r="H92">
        <v>0.25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</row>
    <row r="93" spans="2:20" x14ac:dyDescent="0.25">
      <c r="B93">
        <v>60</v>
      </c>
      <c r="C93">
        <v>0.2</v>
      </c>
      <c r="D93">
        <v>0.2</v>
      </c>
      <c r="E93">
        <v>0</v>
      </c>
      <c r="F93">
        <v>0.2</v>
      </c>
      <c r="G93">
        <v>0.2</v>
      </c>
      <c r="H93">
        <v>0.2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</row>
    <row r="94" spans="2:20" x14ac:dyDescent="0.25">
      <c r="B94">
        <v>65</v>
      </c>
      <c r="C94">
        <v>0.4</v>
      </c>
      <c r="D94">
        <v>0</v>
      </c>
      <c r="E94">
        <v>0</v>
      </c>
      <c r="F94">
        <v>0</v>
      </c>
      <c r="G94">
        <v>0.3</v>
      </c>
      <c r="H94">
        <v>0.1</v>
      </c>
      <c r="I94">
        <v>0</v>
      </c>
      <c r="J94">
        <v>0</v>
      </c>
      <c r="K94">
        <v>0.1</v>
      </c>
      <c r="L94">
        <v>0</v>
      </c>
      <c r="M94">
        <v>0.1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</row>
    <row r="95" spans="2:20" x14ac:dyDescent="0.25">
      <c r="B95">
        <v>70</v>
      </c>
      <c r="C95">
        <v>0.4</v>
      </c>
      <c r="D95">
        <v>0</v>
      </c>
      <c r="E95">
        <v>0</v>
      </c>
      <c r="F95">
        <v>0.1</v>
      </c>
      <c r="G95">
        <v>0</v>
      </c>
      <c r="H95">
        <v>0.1</v>
      </c>
      <c r="I95">
        <v>0.2</v>
      </c>
      <c r="J95">
        <v>0</v>
      </c>
      <c r="K95">
        <v>0.2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</row>
    <row r="96" spans="2:20" x14ac:dyDescent="0.25">
      <c r="B96">
        <v>73</v>
      </c>
      <c r="C96">
        <v>0.3125</v>
      </c>
      <c r="D96">
        <v>0</v>
      </c>
      <c r="E96">
        <v>0</v>
      </c>
      <c r="F96">
        <v>0</v>
      </c>
      <c r="G96">
        <v>0</v>
      </c>
      <c r="H96">
        <v>0.125</v>
      </c>
      <c r="I96">
        <v>0.25</v>
      </c>
      <c r="J96">
        <v>6.25E-2</v>
      </c>
      <c r="K96">
        <v>0.125</v>
      </c>
      <c r="L96">
        <v>0</v>
      </c>
      <c r="M96">
        <v>0.125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</row>
    <row r="97" spans="2:20" x14ac:dyDescent="0.25">
      <c r="B97">
        <v>75</v>
      </c>
      <c r="C97">
        <v>0.31818181818181818</v>
      </c>
      <c r="D97">
        <v>0.13636363636363635</v>
      </c>
      <c r="E97">
        <v>0</v>
      </c>
      <c r="F97">
        <v>0</v>
      </c>
      <c r="G97">
        <v>0</v>
      </c>
      <c r="H97">
        <v>4.5454545454545456E-2</v>
      </c>
      <c r="I97">
        <v>9.0909090909090912E-2</v>
      </c>
      <c r="J97">
        <v>9.0909090909090912E-2</v>
      </c>
      <c r="K97">
        <v>4.5454545454545456E-2</v>
      </c>
      <c r="L97">
        <v>9.0909090909090912E-2</v>
      </c>
      <c r="M97">
        <v>4.5454545454545456E-2</v>
      </c>
      <c r="N97">
        <v>0.13636363636363635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</row>
    <row r="98" spans="2:20" x14ac:dyDescent="0.25">
      <c r="B98">
        <v>77</v>
      </c>
      <c r="C98">
        <v>0.18421052631578946</v>
      </c>
      <c r="D98">
        <v>2.6315789473684209E-2</v>
      </c>
      <c r="E98">
        <v>0</v>
      </c>
      <c r="F98">
        <v>0</v>
      </c>
      <c r="G98">
        <v>5.2631578947368418E-2</v>
      </c>
      <c r="H98">
        <v>0</v>
      </c>
      <c r="I98">
        <v>5.2631578947368418E-2</v>
      </c>
      <c r="J98">
        <v>0.10526315789473684</v>
      </c>
      <c r="K98">
        <v>0.10526315789473684</v>
      </c>
      <c r="L98">
        <v>0.23684210526315788</v>
      </c>
      <c r="M98">
        <v>0.10526315789473684</v>
      </c>
      <c r="N98">
        <v>0.13157894736842105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</row>
    <row r="99" spans="2:20" x14ac:dyDescent="0.25">
      <c r="B99">
        <v>80</v>
      </c>
      <c r="C99">
        <v>0.22</v>
      </c>
      <c r="D99">
        <v>0</v>
      </c>
      <c r="E99">
        <v>0</v>
      </c>
      <c r="F99">
        <v>0</v>
      </c>
      <c r="G99">
        <v>0</v>
      </c>
      <c r="H99">
        <v>0.02</v>
      </c>
      <c r="I99">
        <v>0</v>
      </c>
      <c r="J99">
        <v>0.04</v>
      </c>
      <c r="K99">
        <v>0.08</v>
      </c>
      <c r="L99">
        <v>0.24</v>
      </c>
      <c r="M99">
        <v>0.26</v>
      </c>
      <c r="N99">
        <v>0.08</v>
      </c>
      <c r="O99">
        <v>0.06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2:20" x14ac:dyDescent="0.25">
      <c r="B100">
        <v>83</v>
      </c>
      <c r="C100">
        <v>0.29032258064516131</v>
      </c>
      <c r="D100">
        <v>0</v>
      </c>
      <c r="E100">
        <v>0</v>
      </c>
      <c r="F100">
        <v>0</v>
      </c>
      <c r="G100">
        <v>1.6129032258064516E-2</v>
      </c>
      <c r="H100">
        <v>3.2258064516129031E-2</v>
      </c>
      <c r="I100">
        <v>0</v>
      </c>
      <c r="J100">
        <v>3.2258064516129031E-2</v>
      </c>
      <c r="K100">
        <v>1.6129032258064516E-2</v>
      </c>
      <c r="L100">
        <v>6.4516129032258063E-2</v>
      </c>
      <c r="M100">
        <v>0.27419354838709675</v>
      </c>
      <c r="N100">
        <v>0.19354838709677419</v>
      </c>
      <c r="O100">
        <v>6.4516129032258063E-2</v>
      </c>
      <c r="P100">
        <v>1.6129032258064516E-2</v>
      </c>
      <c r="Q100">
        <v>0</v>
      </c>
      <c r="R100">
        <v>0</v>
      </c>
      <c r="S100">
        <v>0</v>
      </c>
      <c r="T100">
        <v>1</v>
      </c>
    </row>
    <row r="101" spans="2:20" x14ac:dyDescent="0.25">
      <c r="B101">
        <v>85</v>
      </c>
      <c r="C101">
        <v>0.31372549019607843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1.9607843137254902E-2</v>
      </c>
      <c r="K101">
        <v>0</v>
      </c>
      <c r="L101">
        <v>9.8039215686274508E-2</v>
      </c>
      <c r="M101">
        <v>0.11764705882352941</v>
      </c>
      <c r="N101">
        <v>0.21568627450980393</v>
      </c>
      <c r="O101">
        <v>0.23529411764705882</v>
      </c>
      <c r="P101">
        <v>0</v>
      </c>
      <c r="Q101">
        <v>0</v>
      </c>
      <c r="R101">
        <v>0</v>
      </c>
      <c r="S101">
        <v>0</v>
      </c>
      <c r="T101">
        <v>1</v>
      </c>
    </row>
    <row r="102" spans="2:20" x14ac:dyDescent="0.25">
      <c r="B102">
        <v>87</v>
      </c>
      <c r="C102">
        <v>0.54545454545454541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4.5454545454545456E-2</v>
      </c>
      <c r="N102">
        <v>9.0909090909090912E-2</v>
      </c>
      <c r="O102">
        <v>0.27272727272727271</v>
      </c>
      <c r="P102">
        <v>4.5454545454545456E-2</v>
      </c>
      <c r="Q102">
        <v>0</v>
      </c>
      <c r="R102">
        <v>0</v>
      </c>
      <c r="S102">
        <v>0</v>
      </c>
      <c r="T102">
        <v>1</v>
      </c>
    </row>
    <row r="103" spans="2:20" x14ac:dyDescent="0.25">
      <c r="B103">
        <v>90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1</v>
      </c>
    </row>
    <row r="104" spans="2:20" x14ac:dyDescent="0.25">
      <c r="B104">
        <v>93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1</v>
      </c>
    </row>
    <row r="105" spans="2:20" x14ac:dyDescent="0.25">
      <c r="B105">
        <v>95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1</v>
      </c>
    </row>
    <row r="106" spans="2:20" x14ac:dyDescent="0.25">
      <c r="B106">
        <v>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1</v>
      </c>
    </row>
    <row r="107" spans="2:20" x14ac:dyDescent="0.25">
      <c r="B107" t="s">
        <v>1177</v>
      </c>
      <c r="C107">
        <v>0.69755686604886269</v>
      </c>
      <c r="D107">
        <v>2.1903959561920809E-2</v>
      </c>
      <c r="E107">
        <v>2.527379949452401E-3</v>
      </c>
      <c r="F107">
        <v>1.6849199663016006E-3</v>
      </c>
      <c r="G107">
        <v>7.582139848357203E-3</v>
      </c>
      <c r="H107">
        <v>1.1794439764111205E-2</v>
      </c>
      <c r="I107">
        <v>1.2636899747262006E-2</v>
      </c>
      <c r="J107">
        <v>1.6849199663016005E-2</v>
      </c>
      <c r="K107">
        <v>1.6006739679865205E-2</v>
      </c>
      <c r="L107">
        <v>3.8753159224936815E-2</v>
      </c>
      <c r="M107">
        <v>6.571187868576242E-2</v>
      </c>
      <c r="N107">
        <v>6.486941870261162E-2</v>
      </c>
      <c r="O107">
        <v>3.3698399326032011E-2</v>
      </c>
      <c r="P107">
        <v>5.8972198820556026E-3</v>
      </c>
      <c r="Q107">
        <v>8.4245998315080029E-4</v>
      </c>
      <c r="R107">
        <v>8.4245998315080029E-4</v>
      </c>
      <c r="S107">
        <v>8.4245998315080029E-4</v>
      </c>
      <c r="T107">
        <v>1</v>
      </c>
    </row>
    <row r="112" spans="2:20" x14ac:dyDescent="0.25">
      <c r="B112" t="s">
        <v>1175</v>
      </c>
      <c r="C112" t="s">
        <v>1186</v>
      </c>
    </row>
    <row r="113" spans="2:20" x14ac:dyDescent="0.25">
      <c r="B113" t="s">
        <v>1180</v>
      </c>
      <c r="C113">
        <v>0</v>
      </c>
      <c r="D113">
        <v>22</v>
      </c>
      <c r="E113">
        <v>40</v>
      </c>
      <c r="F113">
        <v>60</v>
      </c>
      <c r="G113">
        <v>65</v>
      </c>
      <c r="H113">
        <v>70</v>
      </c>
      <c r="I113">
        <v>73</v>
      </c>
      <c r="J113">
        <v>75</v>
      </c>
      <c r="K113">
        <v>77</v>
      </c>
      <c r="L113">
        <v>80</v>
      </c>
      <c r="M113">
        <v>83</v>
      </c>
      <c r="N113">
        <v>85</v>
      </c>
      <c r="O113">
        <v>87</v>
      </c>
      <c r="P113">
        <v>90</v>
      </c>
      <c r="Q113">
        <v>93</v>
      </c>
      <c r="R113">
        <v>95</v>
      </c>
      <c r="S113">
        <v>99</v>
      </c>
      <c r="T113" t="s">
        <v>1177</v>
      </c>
    </row>
    <row r="114" spans="2:20" x14ac:dyDescent="0.25">
      <c r="B114">
        <v>0</v>
      </c>
      <c r="C114">
        <v>0.76229508196721307</v>
      </c>
      <c r="D114">
        <v>6.4402810304449651E-2</v>
      </c>
      <c r="E114">
        <v>1.17096018735363E-3</v>
      </c>
      <c r="F114">
        <v>1.17096018735363E-3</v>
      </c>
      <c r="G114">
        <v>3.5128805620608899E-3</v>
      </c>
      <c r="H114">
        <v>7.0257611241217799E-3</v>
      </c>
      <c r="I114">
        <v>8.1967213114754103E-3</v>
      </c>
      <c r="J114">
        <v>1.5222482435597189E-2</v>
      </c>
      <c r="K114">
        <v>9.3676814988290398E-3</v>
      </c>
      <c r="L114">
        <v>2.6932084309133488E-2</v>
      </c>
      <c r="M114">
        <v>3.5128805620608897E-2</v>
      </c>
      <c r="N114">
        <v>3.9812646370023422E-2</v>
      </c>
      <c r="O114">
        <v>2.3419203747072601E-2</v>
      </c>
      <c r="P114">
        <v>2.34192037470726E-3</v>
      </c>
      <c r="Q114">
        <v>0</v>
      </c>
      <c r="R114">
        <v>0</v>
      </c>
      <c r="S114">
        <v>0</v>
      </c>
      <c r="T114">
        <v>1</v>
      </c>
    </row>
    <row r="115" spans="2:20" x14ac:dyDescent="0.25">
      <c r="B115">
        <v>22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</row>
    <row r="116" spans="2:20" x14ac:dyDescent="0.25">
      <c r="B116">
        <v>40</v>
      </c>
      <c r="C116">
        <v>0.5</v>
      </c>
      <c r="D116">
        <v>0</v>
      </c>
      <c r="E116">
        <v>0.25</v>
      </c>
      <c r="F116">
        <v>0</v>
      </c>
      <c r="G116">
        <v>0</v>
      </c>
      <c r="H116">
        <v>0.25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</row>
    <row r="117" spans="2:20" x14ac:dyDescent="0.25">
      <c r="B117">
        <v>60</v>
      </c>
      <c r="C117">
        <v>0</v>
      </c>
      <c r="D117">
        <v>0</v>
      </c>
      <c r="E117">
        <v>0</v>
      </c>
      <c r="F117">
        <v>0.5</v>
      </c>
      <c r="G117">
        <v>0.5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</row>
    <row r="118" spans="2:20" x14ac:dyDescent="0.25">
      <c r="B118">
        <v>65</v>
      </c>
      <c r="C118">
        <v>0.2857142857142857</v>
      </c>
      <c r="D118">
        <v>0</v>
      </c>
      <c r="E118">
        <v>0</v>
      </c>
      <c r="F118">
        <v>0.14285714285714285</v>
      </c>
      <c r="G118">
        <v>0.2857142857142857</v>
      </c>
      <c r="H118">
        <v>0.2857142857142857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</row>
    <row r="119" spans="2:20" x14ac:dyDescent="0.25">
      <c r="B119">
        <v>70</v>
      </c>
      <c r="C119">
        <v>0.18181818181818182</v>
      </c>
      <c r="D119">
        <v>0.18181818181818182</v>
      </c>
      <c r="E119">
        <v>0</v>
      </c>
      <c r="F119">
        <v>0</v>
      </c>
      <c r="G119">
        <v>0.18181818181818182</v>
      </c>
      <c r="H119">
        <v>0.18181818181818182</v>
      </c>
      <c r="I119">
        <v>9.0909090909090912E-2</v>
      </c>
      <c r="J119">
        <v>9.0909090909090912E-2</v>
      </c>
      <c r="K119">
        <v>0</v>
      </c>
      <c r="L119">
        <v>9.0909090909090912E-2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</row>
    <row r="120" spans="2:20" x14ac:dyDescent="0.25">
      <c r="B120">
        <v>73</v>
      </c>
      <c r="C120">
        <v>0.1111111111111111</v>
      </c>
      <c r="D120">
        <v>0.1111111111111111</v>
      </c>
      <c r="E120">
        <v>0</v>
      </c>
      <c r="F120">
        <v>0</v>
      </c>
      <c r="G120">
        <v>0.1111111111111111</v>
      </c>
      <c r="H120">
        <v>5.5555555555555552E-2</v>
      </c>
      <c r="I120">
        <v>0.33333333333333331</v>
      </c>
      <c r="J120">
        <v>0</v>
      </c>
      <c r="K120">
        <v>0.16666666666666666</v>
      </c>
      <c r="L120">
        <v>5.5555555555555552E-2</v>
      </c>
      <c r="M120">
        <v>5.5555555555555552E-2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</row>
    <row r="121" spans="2:20" x14ac:dyDescent="0.25">
      <c r="B121">
        <v>75</v>
      </c>
      <c r="C121">
        <v>0.27777777777777779</v>
      </c>
      <c r="D121">
        <v>0</v>
      </c>
      <c r="E121">
        <v>0</v>
      </c>
      <c r="F121">
        <v>0</v>
      </c>
      <c r="G121">
        <v>5.5555555555555552E-2</v>
      </c>
      <c r="H121">
        <v>5.5555555555555552E-2</v>
      </c>
      <c r="I121">
        <v>0.1111111111111111</v>
      </c>
      <c r="J121">
        <v>0.1111111111111111</v>
      </c>
      <c r="K121">
        <v>5.5555555555555552E-2</v>
      </c>
      <c r="L121">
        <v>0.27777777777777779</v>
      </c>
      <c r="M121">
        <v>5.5555555555555552E-2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</row>
    <row r="122" spans="2:20" x14ac:dyDescent="0.25">
      <c r="B122">
        <v>77</v>
      </c>
      <c r="C122">
        <v>0.19047619047619047</v>
      </c>
      <c r="D122">
        <v>4.7619047619047616E-2</v>
      </c>
      <c r="E122">
        <v>4.7619047619047616E-2</v>
      </c>
      <c r="F122">
        <v>0</v>
      </c>
      <c r="G122">
        <v>0</v>
      </c>
      <c r="H122">
        <v>9.5238095238095233E-2</v>
      </c>
      <c r="I122">
        <v>4.7619047619047616E-2</v>
      </c>
      <c r="J122">
        <v>9.5238095238095233E-2</v>
      </c>
      <c r="K122">
        <v>9.5238095238095233E-2</v>
      </c>
      <c r="L122">
        <v>0.23809523809523808</v>
      </c>
      <c r="M122">
        <v>4.7619047619047616E-2</v>
      </c>
      <c r="N122">
        <v>9.5238095238095233E-2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2:20" x14ac:dyDescent="0.25">
      <c r="B123">
        <v>80</v>
      </c>
      <c r="C123">
        <v>0.30303030303030304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9.0909090909090912E-2</v>
      </c>
      <c r="J123">
        <v>0</v>
      </c>
      <c r="K123">
        <v>9.0909090909090912E-2</v>
      </c>
      <c r="L123">
        <v>0.24242424242424243</v>
      </c>
      <c r="M123">
        <v>0.18181818181818182</v>
      </c>
      <c r="N123">
        <v>6.0606060606060608E-2</v>
      </c>
      <c r="O123">
        <v>3.0303030303030304E-2</v>
      </c>
      <c r="P123">
        <v>0</v>
      </c>
      <c r="Q123">
        <v>0</v>
      </c>
      <c r="R123">
        <v>0</v>
      </c>
      <c r="S123">
        <v>0</v>
      </c>
      <c r="T123">
        <v>1</v>
      </c>
    </row>
    <row r="124" spans="2:20" x14ac:dyDescent="0.25">
      <c r="B124">
        <v>83</v>
      </c>
      <c r="C124">
        <v>0.20512820512820512</v>
      </c>
      <c r="D124">
        <v>0</v>
      </c>
      <c r="E124">
        <v>0</v>
      </c>
      <c r="F124">
        <v>0</v>
      </c>
      <c r="G124">
        <v>2.564102564102564E-2</v>
      </c>
      <c r="H124">
        <v>2.564102564102564E-2</v>
      </c>
      <c r="I124">
        <v>1.282051282051282E-2</v>
      </c>
      <c r="J124">
        <v>3.8461538461538464E-2</v>
      </c>
      <c r="K124">
        <v>6.4102564102564097E-2</v>
      </c>
      <c r="L124">
        <v>0.12820512820512819</v>
      </c>
      <c r="M124">
        <v>0.19230769230769232</v>
      </c>
      <c r="N124">
        <v>0.24358974358974358</v>
      </c>
      <c r="O124">
        <v>6.4102564102564097E-2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2:20" x14ac:dyDescent="0.25">
      <c r="B125">
        <v>85</v>
      </c>
      <c r="C125">
        <v>0.24324324324324326</v>
      </c>
      <c r="D125">
        <v>0</v>
      </c>
      <c r="E125">
        <v>0</v>
      </c>
      <c r="F125">
        <v>0</v>
      </c>
      <c r="G125">
        <v>0</v>
      </c>
      <c r="H125">
        <v>1.3513513513513514E-2</v>
      </c>
      <c r="I125">
        <v>0</v>
      </c>
      <c r="J125">
        <v>2.7027027027027029E-2</v>
      </c>
      <c r="K125">
        <v>4.0540540540540543E-2</v>
      </c>
      <c r="L125">
        <v>8.1081081081081086E-2</v>
      </c>
      <c r="M125">
        <v>0.16216216216216217</v>
      </c>
      <c r="N125">
        <v>0.32432432432432434</v>
      </c>
      <c r="O125">
        <v>0.10810810810810811</v>
      </c>
      <c r="P125">
        <v>0</v>
      </c>
      <c r="Q125">
        <v>0</v>
      </c>
      <c r="R125">
        <v>0</v>
      </c>
      <c r="S125">
        <v>0</v>
      </c>
      <c r="T125">
        <v>1</v>
      </c>
    </row>
    <row r="126" spans="2:20" x14ac:dyDescent="0.25">
      <c r="B126">
        <v>87</v>
      </c>
      <c r="C126">
        <v>0.36842105263157893</v>
      </c>
      <c r="D126">
        <v>0</v>
      </c>
      <c r="E126">
        <v>0</v>
      </c>
      <c r="F126">
        <v>0</v>
      </c>
      <c r="G126">
        <v>0</v>
      </c>
      <c r="H126">
        <v>2.6315789473684209E-2</v>
      </c>
      <c r="I126">
        <v>0</v>
      </c>
      <c r="J126">
        <v>0</v>
      </c>
      <c r="K126">
        <v>0</v>
      </c>
      <c r="L126">
        <v>0.10526315789473684</v>
      </c>
      <c r="M126">
        <v>5.2631578947368418E-2</v>
      </c>
      <c r="N126">
        <v>0.21052631578947367</v>
      </c>
      <c r="O126">
        <v>0.18421052631578946</v>
      </c>
      <c r="P126">
        <v>5.2631578947368418E-2</v>
      </c>
      <c r="Q126">
        <v>0</v>
      </c>
      <c r="R126">
        <v>0</v>
      </c>
      <c r="S126">
        <v>0</v>
      </c>
      <c r="T126">
        <v>1</v>
      </c>
    </row>
    <row r="127" spans="2:20" x14ac:dyDescent="0.25">
      <c r="B127">
        <v>90</v>
      </c>
      <c r="C127">
        <v>0.4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0.2</v>
      </c>
      <c r="L127">
        <v>0.2</v>
      </c>
      <c r="M127">
        <v>0</v>
      </c>
      <c r="N127">
        <v>0</v>
      </c>
      <c r="O127">
        <v>0</v>
      </c>
      <c r="P127">
        <v>0.2</v>
      </c>
      <c r="Q127">
        <v>0</v>
      </c>
      <c r="R127">
        <v>0</v>
      </c>
      <c r="S127">
        <v>0</v>
      </c>
      <c r="T127">
        <v>1</v>
      </c>
    </row>
    <row r="128" spans="2:20" x14ac:dyDescent="0.25">
      <c r="B128">
        <v>93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</row>
    <row r="129" spans="2:20" x14ac:dyDescent="0.25">
      <c r="B129">
        <v>95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1</v>
      </c>
    </row>
    <row r="130" spans="2:20" x14ac:dyDescent="0.25">
      <c r="B130">
        <v>99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1</v>
      </c>
    </row>
    <row r="131" spans="2:20" x14ac:dyDescent="0.25">
      <c r="B131" t="s">
        <v>1177</v>
      </c>
      <c r="C131">
        <v>0.61331086773378263</v>
      </c>
      <c r="D131">
        <v>6.8239258635214822E-2</v>
      </c>
      <c r="E131">
        <v>2.527379949452401E-3</v>
      </c>
      <c r="F131">
        <v>2.527379949452401E-3</v>
      </c>
      <c r="G131">
        <v>1.0951979780960405E-2</v>
      </c>
      <c r="H131">
        <v>1.6006739679865205E-2</v>
      </c>
      <c r="I131">
        <v>1.7691659646166806E-2</v>
      </c>
      <c r="J131">
        <v>1.9376579612468407E-2</v>
      </c>
      <c r="K131">
        <v>2.1903959561920809E-2</v>
      </c>
      <c r="L131">
        <v>5.3917438921651219E-2</v>
      </c>
      <c r="M131">
        <v>5.7287278854254421E-2</v>
      </c>
      <c r="N131">
        <v>7.4978938500421227E-2</v>
      </c>
      <c r="O131">
        <v>3.4540859309182811E-2</v>
      </c>
      <c r="P131">
        <v>4.2122999157540014E-3</v>
      </c>
      <c r="Q131">
        <v>8.4245998315080029E-4</v>
      </c>
      <c r="R131">
        <v>8.4245998315080029E-4</v>
      </c>
      <c r="S131">
        <v>8.4245998315080029E-4</v>
      </c>
      <c r="T131">
        <v>1</v>
      </c>
    </row>
    <row r="134" spans="2:20" x14ac:dyDescent="0.25">
      <c r="B134" t="s">
        <v>1175</v>
      </c>
      <c r="C134" t="s">
        <v>1187</v>
      </c>
    </row>
    <row r="135" spans="2:20" x14ac:dyDescent="0.25">
      <c r="B135" t="s">
        <v>1183</v>
      </c>
      <c r="C135">
        <v>0</v>
      </c>
      <c r="D135">
        <v>22</v>
      </c>
      <c r="E135">
        <v>40</v>
      </c>
      <c r="F135">
        <v>60</v>
      </c>
      <c r="G135">
        <v>65</v>
      </c>
      <c r="H135">
        <v>70</v>
      </c>
      <c r="I135">
        <v>73</v>
      </c>
      <c r="J135">
        <v>75</v>
      </c>
      <c r="K135">
        <v>77</v>
      </c>
      <c r="L135">
        <v>80</v>
      </c>
      <c r="M135">
        <v>83</v>
      </c>
      <c r="N135">
        <v>85</v>
      </c>
      <c r="O135">
        <v>87</v>
      </c>
      <c r="P135">
        <v>90</v>
      </c>
      <c r="Q135">
        <v>93</v>
      </c>
      <c r="R135">
        <v>95</v>
      </c>
      <c r="S135">
        <v>99</v>
      </c>
      <c r="T135" t="s">
        <v>1177</v>
      </c>
    </row>
    <row r="136" spans="2:20" x14ac:dyDescent="0.25">
      <c r="B136">
        <v>0</v>
      </c>
      <c r="C136">
        <v>0.76387249114521838</v>
      </c>
      <c r="D136">
        <v>6.4935064935064929E-2</v>
      </c>
      <c r="E136">
        <v>0</v>
      </c>
      <c r="F136">
        <v>1.1806375442739079E-3</v>
      </c>
      <c r="G136">
        <v>7.0838252656434475E-3</v>
      </c>
      <c r="H136">
        <v>7.0838252656434475E-3</v>
      </c>
      <c r="I136">
        <v>8.2644628099173556E-3</v>
      </c>
      <c r="J136">
        <v>1.4167650531286895E-2</v>
      </c>
      <c r="K136">
        <v>1.1806375442739079E-2</v>
      </c>
      <c r="L136">
        <v>2.1251475796930343E-2</v>
      </c>
      <c r="M136">
        <v>3.896103896103896E-2</v>
      </c>
      <c r="N136">
        <v>4.3683589138134596E-2</v>
      </c>
      <c r="O136">
        <v>1.4167650531286895E-2</v>
      </c>
      <c r="P136">
        <v>3.5419126328217238E-3</v>
      </c>
      <c r="Q136">
        <v>0</v>
      </c>
      <c r="R136">
        <v>0</v>
      </c>
      <c r="S136">
        <v>0</v>
      </c>
      <c r="T136">
        <v>1</v>
      </c>
    </row>
    <row r="137" spans="2:20" x14ac:dyDescent="0.25">
      <c r="B137">
        <v>22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</row>
    <row r="138" spans="2:20" x14ac:dyDescent="0.25">
      <c r="B138">
        <v>40</v>
      </c>
      <c r="C138">
        <v>0</v>
      </c>
      <c r="D138">
        <v>0.5</v>
      </c>
      <c r="E138">
        <v>0.5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2:20" x14ac:dyDescent="0.25">
      <c r="B139">
        <v>60</v>
      </c>
      <c r="C139">
        <v>0</v>
      </c>
      <c r="D139">
        <v>0</v>
      </c>
      <c r="E139">
        <v>0.33333333333333331</v>
      </c>
      <c r="F139">
        <v>0.33333333333333331</v>
      </c>
      <c r="G139">
        <v>0</v>
      </c>
      <c r="H139">
        <v>0.33333333333333331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2:20" x14ac:dyDescent="0.25">
      <c r="B140">
        <v>65</v>
      </c>
      <c r="C140">
        <v>0.33333333333333331</v>
      </c>
      <c r="D140">
        <v>0.1111111111111111</v>
      </c>
      <c r="E140">
        <v>0</v>
      </c>
      <c r="F140">
        <v>0.1111111111111111</v>
      </c>
      <c r="G140">
        <v>0.22222222222222221</v>
      </c>
      <c r="H140">
        <v>0.1111111111111111</v>
      </c>
      <c r="I140">
        <v>0</v>
      </c>
      <c r="J140">
        <v>0</v>
      </c>
      <c r="K140">
        <v>0.1111111111111111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</row>
    <row r="141" spans="2:20" x14ac:dyDescent="0.25">
      <c r="B141">
        <v>70</v>
      </c>
      <c r="C141">
        <v>0.125</v>
      </c>
      <c r="D141">
        <v>0</v>
      </c>
      <c r="E141">
        <v>0.125</v>
      </c>
      <c r="F141">
        <v>0.125</v>
      </c>
      <c r="G141">
        <v>0.125</v>
      </c>
      <c r="H141">
        <v>0.25</v>
      </c>
      <c r="I141">
        <v>0.125</v>
      </c>
      <c r="J141">
        <v>0</v>
      </c>
      <c r="K141">
        <v>0</v>
      </c>
      <c r="L141">
        <v>0</v>
      </c>
      <c r="M141">
        <v>0</v>
      </c>
      <c r="N141">
        <v>0.125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</row>
    <row r="142" spans="2:20" x14ac:dyDescent="0.25">
      <c r="B142">
        <v>73</v>
      </c>
      <c r="C142">
        <v>0.10526315789473684</v>
      </c>
      <c r="D142">
        <v>5.2631578947368418E-2</v>
      </c>
      <c r="E142">
        <v>0</v>
      </c>
      <c r="F142">
        <v>0</v>
      </c>
      <c r="G142">
        <v>0.10526315789473684</v>
      </c>
      <c r="H142">
        <v>0.21052631578947367</v>
      </c>
      <c r="I142">
        <v>0.21052631578947367</v>
      </c>
      <c r="J142">
        <v>0.15789473684210525</v>
      </c>
      <c r="K142">
        <v>0.10526315789473684</v>
      </c>
      <c r="L142">
        <v>5.2631578947368418E-2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</row>
    <row r="143" spans="2:20" x14ac:dyDescent="0.25">
      <c r="B143">
        <v>75</v>
      </c>
      <c r="C143">
        <v>0.33333333333333331</v>
      </c>
      <c r="D143">
        <v>6.6666666666666666E-2</v>
      </c>
      <c r="E143">
        <v>0</v>
      </c>
      <c r="F143">
        <v>0</v>
      </c>
      <c r="G143">
        <v>0</v>
      </c>
      <c r="H143">
        <v>6.6666666666666666E-2</v>
      </c>
      <c r="I143">
        <v>6.6666666666666666E-2</v>
      </c>
      <c r="J143">
        <v>0.13333333333333333</v>
      </c>
      <c r="K143">
        <v>0</v>
      </c>
      <c r="L143">
        <v>0.13333333333333333</v>
      </c>
      <c r="M143">
        <v>0.2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</row>
    <row r="144" spans="2:20" x14ac:dyDescent="0.25">
      <c r="B144">
        <v>77</v>
      </c>
      <c r="C144">
        <v>0.26315789473684209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0.10526315789473684</v>
      </c>
      <c r="J144">
        <v>5.2631578947368418E-2</v>
      </c>
      <c r="K144">
        <v>0.10526315789473684</v>
      </c>
      <c r="L144">
        <v>0.21052631578947367</v>
      </c>
      <c r="M144">
        <v>0.21052631578947367</v>
      </c>
      <c r="N144">
        <v>5.2631578947368418E-2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</row>
    <row r="145" spans="2:20" x14ac:dyDescent="0.25">
      <c r="B145">
        <v>80</v>
      </c>
      <c r="C145">
        <v>0.20454545454545456</v>
      </c>
      <c r="D145">
        <v>0</v>
      </c>
      <c r="E145">
        <v>0</v>
      </c>
      <c r="F145">
        <v>2.2727272727272728E-2</v>
      </c>
      <c r="G145">
        <v>2.2727272727272728E-2</v>
      </c>
      <c r="H145">
        <v>2.2727272727272728E-2</v>
      </c>
      <c r="I145">
        <v>2.2727272727272728E-2</v>
      </c>
      <c r="J145">
        <v>6.8181818181818177E-2</v>
      </c>
      <c r="K145">
        <v>0.15909090909090909</v>
      </c>
      <c r="L145">
        <v>0.15909090909090909</v>
      </c>
      <c r="M145">
        <v>0.20454545454545456</v>
      </c>
      <c r="N145">
        <v>9.0909090909090912E-2</v>
      </c>
      <c r="O145">
        <v>2.2727272727272728E-2</v>
      </c>
      <c r="P145">
        <v>0</v>
      </c>
      <c r="Q145">
        <v>0</v>
      </c>
      <c r="R145">
        <v>0</v>
      </c>
      <c r="S145">
        <v>0</v>
      </c>
      <c r="T145">
        <v>1</v>
      </c>
    </row>
    <row r="146" spans="2:20" x14ac:dyDescent="0.25">
      <c r="B146">
        <v>83</v>
      </c>
      <c r="C146">
        <v>0.24675324675324675</v>
      </c>
      <c r="D146">
        <v>0</v>
      </c>
      <c r="E146">
        <v>0</v>
      </c>
      <c r="F146">
        <v>0</v>
      </c>
      <c r="G146">
        <v>1.2987012987012988E-2</v>
      </c>
      <c r="H146">
        <v>5.1948051948051951E-2</v>
      </c>
      <c r="I146">
        <v>1.2987012987012988E-2</v>
      </c>
      <c r="J146">
        <v>2.5974025974025976E-2</v>
      </c>
      <c r="K146">
        <v>7.792207792207792E-2</v>
      </c>
      <c r="L146">
        <v>0.11688311688311688</v>
      </c>
      <c r="M146">
        <v>0.23376623376623376</v>
      </c>
      <c r="N146">
        <v>0.22077922077922077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</row>
    <row r="147" spans="2:20" x14ac:dyDescent="0.25">
      <c r="B147">
        <v>85</v>
      </c>
      <c r="C147">
        <v>0.25</v>
      </c>
      <c r="D147">
        <v>0</v>
      </c>
      <c r="E147">
        <v>0</v>
      </c>
      <c r="F147">
        <v>0</v>
      </c>
      <c r="G147">
        <v>0</v>
      </c>
      <c r="H147">
        <v>3.7499999999999999E-2</v>
      </c>
      <c r="I147">
        <v>1.2500000000000001E-2</v>
      </c>
      <c r="J147">
        <v>0.05</v>
      </c>
      <c r="K147">
        <v>3.7499999999999999E-2</v>
      </c>
      <c r="L147">
        <v>8.7499999999999994E-2</v>
      </c>
      <c r="M147">
        <v>0.17499999999999999</v>
      </c>
      <c r="N147">
        <v>0.2</v>
      </c>
      <c r="O147">
        <v>0.15</v>
      </c>
      <c r="P147">
        <v>0</v>
      </c>
      <c r="Q147">
        <v>0</v>
      </c>
      <c r="R147">
        <v>0</v>
      </c>
      <c r="S147">
        <v>0</v>
      </c>
      <c r="T147">
        <v>1</v>
      </c>
    </row>
    <row r="148" spans="2:20" x14ac:dyDescent="0.25">
      <c r="B148">
        <v>87</v>
      </c>
      <c r="C148">
        <v>0.25806451612903225</v>
      </c>
      <c r="D148">
        <v>0</v>
      </c>
      <c r="E148">
        <v>3.2258064516129031E-2</v>
      </c>
      <c r="F148">
        <v>0</v>
      </c>
      <c r="G148">
        <v>0</v>
      </c>
      <c r="H148">
        <v>0</v>
      </c>
      <c r="I148">
        <v>0</v>
      </c>
      <c r="J148">
        <v>6.4516129032258063E-2</v>
      </c>
      <c r="K148">
        <v>3.2258064516129031E-2</v>
      </c>
      <c r="L148">
        <v>9.6774193548387094E-2</v>
      </c>
      <c r="M148">
        <v>6.4516129032258063E-2</v>
      </c>
      <c r="N148">
        <v>0.19354838709677419</v>
      </c>
      <c r="O148">
        <v>0.22580645161290322</v>
      </c>
      <c r="P148">
        <v>3.2258064516129031E-2</v>
      </c>
      <c r="Q148">
        <v>0</v>
      </c>
      <c r="R148">
        <v>0</v>
      </c>
      <c r="S148">
        <v>0</v>
      </c>
      <c r="T148">
        <v>1</v>
      </c>
    </row>
    <row r="149" spans="2:20" x14ac:dyDescent="0.25">
      <c r="B149">
        <v>90</v>
      </c>
      <c r="C149">
        <v>0.2857142857142857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0.14285714285714285</v>
      </c>
      <c r="K149">
        <v>0</v>
      </c>
      <c r="L149">
        <v>0.14285714285714285</v>
      </c>
      <c r="M149">
        <v>0</v>
      </c>
      <c r="N149">
        <v>0.14285714285714285</v>
      </c>
      <c r="O149">
        <v>0</v>
      </c>
      <c r="P149">
        <v>0.2857142857142857</v>
      </c>
      <c r="Q149">
        <v>0</v>
      </c>
      <c r="R149">
        <v>0</v>
      </c>
      <c r="S149">
        <v>0</v>
      </c>
      <c r="T149">
        <v>1</v>
      </c>
    </row>
    <row r="150" spans="2:20" x14ac:dyDescent="0.25">
      <c r="B150">
        <v>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1</v>
      </c>
    </row>
    <row r="151" spans="2:20" x14ac:dyDescent="0.25">
      <c r="B151">
        <v>95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1</v>
      </c>
    </row>
    <row r="152" spans="2:20" x14ac:dyDescent="0.25">
      <c r="B152">
        <v>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1</v>
      </c>
      <c r="T152">
        <v>1</v>
      </c>
    </row>
    <row r="153" spans="2:20" x14ac:dyDescent="0.25">
      <c r="B153" t="s">
        <v>1177</v>
      </c>
      <c r="C153">
        <v>0.60741364785172702</v>
      </c>
      <c r="D153">
        <v>6.9081718618365623E-2</v>
      </c>
      <c r="E153">
        <v>3.3698399326032012E-3</v>
      </c>
      <c r="F153">
        <v>4.2122999157540014E-3</v>
      </c>
      <c r="G153">
        <v>1.0951979780960405E-2</v>
      </c>
      <c r="H153">
        <v>1.9376579612468407E-2</v>
      </c>
      <c r="I153">
        <v>1.5164279696714406E-2</v>
      </c>
      <c r="J153">
        <v>2.5273799494524012E-2</v>
      </c>
      <c r="K153">
        <v>2.6958719460825609E-2</v>
      </c>
      <c r="L153">
        <v>4.3807919123841618E-2</v>
      </c>
      <c r="M153">
        <v>6.9924178601516424E-2</v>
      </c>
      <c r="N153">
        <v>6.9924178601516424E-2</v>
      </c>
      <c r="O153">
        <v>2.6958719460825609E-2</v>
      </c>
      <c r="P153">
        <v>5.054759898904802E-3</v>
      </c>
      <c r="Q153">
        <v>8.4245998315080029E-4</v>
      </c>
      <c r="R153">
        <v>8.4245998315080029E-4</v>
      </c>
      <c r="S153">
        <v>8.4245998315080029E-4</v>
      </c>
      <c r="T153">
        <v>1</v>
      </c>
    </row>
    <row r="158" spans="2:20" x14ac:dyDescent="0.25">
      <c r="B158" t="s">
        <v>1175</v>
      </c>
      <c r="C158" t="s">
        <v>1188</v>
      </c>
    </row>
    <row r="159" spans="2:20" x14ac:dyDescent="0.25">
      <c r="B159" t="s">
        <v>1184</v>
      </c>
      <c r="C159">
        <v>0</v>
      </c>
      <c r="D159">
        <v>22</v>
      </c>
      <c r="E159">
        <v>40</v>
      </c>
      <c r="F159">
        <v>60</v>
      </c>
      <c r="G159">
        <v>65</v>
      </c>
      <c r="H159">
        <v>70</v>
      </c>
      <c r="I159">
        <v>73</v>
      </c>
      <c r="J159">
        <v>75</v>
      </c>
      <c r="K159">
        <v>77</v>
      </c>
      <c r="L159">
        <v>80</v>
      </c>
      <c r="M159">
        <v>83</v>
      </c>
      <c r="N159">
        <v>85</v>
      </c>
      <c r="O159">
        <v>87</v>
      </c>
      <c r="P159">
        <v>90</v>
      </c>
      <c r="Q159">
        <v>93</v>
      </c>
      <c r="R159">
        <v>95</v>
      </c>
      <c r="S159">
        <v>99</v>
      </c>
      <c r="T159" t="s">
        <v>1177</v>
      </c>
    </row>
    <row r="160" spans="2:20" x14ac:dyDescent="0.25">
      <c r="B160">
        <v>0</v>
      </c>
      <c r="C160">
        <v>0.76196319018404912</v>
      </c>
      <c r="D160">
        <v>6.6257668711656448E-2</v>
      </c>
      <c r="E160">
        <v>0</v>
      </c>
      <c r="F160">
        <v>1.2269938650306749E-3</v>
      </c>
      <c r="G160">
        <v>4.9079754601226997E-3</v>
      </c>
      <c r="H160">
        <v>2.4539877300613498E-3</v>
      </c>
      <c r="I160">
        <v>7.3619631901840491E-3</v>
      </c>
      <c r="J160">
        <v>1.1042944785276074E-2</v>
      </c>
      <c r="K160">
        <v>1.2269938650306749E-2</v>
      </c>
      <c r="L160">
        <v>2.2085889570552148E-2</v>
      </c>
      <c r="M160">
        <v>4.785276073619632E-2</v>
      </c>
      <c r="N160">
        <v>4.4171779141104296E-2</v>
      </c>
      <c r="O160">
        <v>1.5950920245398775E-2</v>
      </c>
      <c r="P160">
        <v>2.4539877300613498E-3</v>
      </c>
      <c r="Q160">
        <v>0</v>
      </c>
      <c r="R160">
        <v>0</v>
      </c>
      <c r="S160">
        <v>0</v>
      </c>
      <c r="T160">
        <v>1</v>
      </c>
    </row>
    <row r="161" spans="2:20" x14ac:dyDescent="0.25">
      <c r="B161">
        <v>22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</row>
    <row r="162" spans="2:20" x14ac:dyDescent="0.25">
      <c r="B162">
        <v>40</v>
      </c>
      <c r="C162">
        <v>0.5</v>
      </c>
      <c r="D162">
        <v>0</v>
      </c>
      <c r="E162">
        <v>0.5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</row>
    <row r="163" spans="2:20" x14ac:dyDescent="0.25">
      <c r="B163">
        <v>60</v>
      </c>
      <c r="C163">
        <v>0</v>
      </c>
      <c r="D163">
        <v>0</v>
      </c>
      <c r="E163">
        <v>0</v>
      </c>
      <c r="F163">
        <v>0.66666666666666663</v>
      </c>
      <c r="G163">
        <v>0.33333333333333331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</row>
    <row r="164" spans="2:20" x14ac:dyDescent="0.25">
      <c r="B164">
        <v>65</v>
      </c>
      <c r="C164">
        <v>0.30769230769230771</v>
      </c>
      <c r="D164">
        <v>0.15384615384615385</v>
      </c>
      <c r="E164">
        <v>0</v>
      </c>
      <c r="F164">
        <v>0</v>
      </c>
      <c r="G164">
        <v>0.23076923076923078</v>
      </c>
      <c r="H164">
        <v>0.23076923076923078</v>
      </c>
      <c r="I164">
        <v>0</v>
      </c>
      <c r="J164">
        <v>0</v>
      </c>
      <c r="K164">
        <v>7.6923076923076927E-2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</row>
    <row r="165" spans="2:20" x14ac:dyDescent="0.25">
      <c r="B165">
        <v>70</v>
      </c>
      <c r="C165">
        <v>0.27272727272727271</v>
      </c>
      <c r="D165">
        <v>9.0909090909090912E-2</v>
      </c>
      <c r="E165">
        <v>0</v>
      </c>
      <c r="F165">
        <v>0</v>
      </c>
      <c r="G165">
        <v>0</v>
      </c>
      <c r="H165">
        <v>0.27272727272727271</v>
      </c>
      <c r="I165">
        <v>0.27272727272727271</v>
      </c>
      <c r="J165">
        <v>0</v>
      </c>
      <c r="K165">
        <v>9.0909090909090912E-2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</row>
    <row r="166" spans="2:20" x14ac:dyDescent="0.25">
      <c r="B166">
        <v>73</v>
      </c>
      <c r="C166">
        <v>0.15789473684210525</v>
      </c>
      <c r="D166">
        <v>5.2631578947368418E-2</v>
      </c>
      <c r="E166">
        <v>0</v>
      </c>
      <c r="F166">
        <v>5.2631578947368418E-2</v>
      </c>
      <c r="G166">
        <v>5.2631578947368418E-2</v>
      </c>
      <c r="H166">
        <v>0.15789473684210525</v>
      </c>
      <c r="I166">
        <v>0.36842105263157893</v>
      </c>
      <c r="J166">
        <v>0</v>
      </c>
      <c r="K166">
        <v>0.10526315789473684</v>
      </c>
      <c r="L166">
        <v>0</v>
      </c>
      <c r="M166">
        <v>5.2631578947368418E-2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</row>
    <row r="167" spans="2:20" x14ac:dyDescent="0.25">
      <c r="B167">
        <v>75</v>
      </c>
      <c r="C167">
        <v>0.21428571428571427</v>
      </c>
      <c r="D167">
        <v>7.1428571428571425E-2</v>
      </c>
      <c r="E167">
        <v>0</v>
      </c>
      <c r="F167">
        <v>7.1428571428571425E-2</v>
      </c>
      <c r="G167">
        <v>0</v>
      </c>
      <c r="H167">
        <v>0</v>
      </c>
      <c r="I167">
        <v>0</v>
      </c>
      <c r="J167">
        <v>0.21428571428571427</v>
      </c>
      <c r="K167">
        <v>7.1428571428571425E-2</v>
      </c>
      <c r="L167">
        <v>0.14285714285714285</v>
      </c>
      <c r="M167">
        <v>0.14285714285714285</v>
      </c>
      <c r="N167">
        <v>7.1428571428571425E-2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</row>
    <row r="168" spans="2:20" x14ac:dyDescent="0.25">
      <c r="B168">
        <v>77</v>
      </c>
      <c r="C168">
        <v>0.44827586206896552</v>
      </c>
      <c r="D168">
        <v>3.4482758620689655E-2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6.8965517241379309E-2</v>
      </c>
      <c r="K168">
        <v>0.10344827586206896</v>
      </c>
      <c r="L168">
        <v>0.17241379310344829</v>
      </c>
      <c r="M168">
        <v>0.17241379310344829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</row>
    <row r="169" spans="2:20" x14ac:dyDescent="0.25">
      <c r="B169">
        <v>80</v>
      </c>
      <c r="C169">
        <v>0.1702127659574468</v>
      </c>
      <c r="D169">
        <v>0</v>
      </c>
      <c r="E169">
        <v>0</v>
      </c>
      <c r="F169">
        <v>0</v>
      </c>
      <c r="G169">
        <v>6.3829787234042548E-2</v>
      </c>
      <c r="H169">
        <v>2.1276595744680851E-2</v>
      </c>
      <c r="I169">
        <v>4.2553191489361701E-2</v>
      </c>
      <c r="J169">
        <v>0.14893617021276595</v>
      </c>
      <c r="K169">
        <v>6.3829787234042548E-2</v>
      </c>
      <c r="L169">
        <v>0.19148936170212766</v>
      </c>
      <c r="M169">
        <v>0.25531914893617019</v>
      </c>
      <c r="N169">
        <v>4.2553191489361701E-2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</row>
    <row r="170" spans="2:20" x14ac:dyDescent="0.25">
      <c r="B170">
        <v>83</v>
      </c>
      <c r="C170">
        <v>0.18072289156626506</v>
      </c>
      <c r="D170">
        <v>0</v>
      </c>
      <c r="E170">
        <v>0</v>
      </c>
      <c r="F170">
        <v>0</v>
      </c>
      <c r="G170">
        <v>0</v>
      </c>
      <c r="H170">
        <v>1.2048192771084338E-2</v>
      </c>
      <c r="I170">
        <v>1.2048192771084338E-2</v>
      </c>
      <c r="J170">
        <v>7.2289156626506021E-2</v>
      </c>
      <c r="K170">
        <v>7.2289156626506021E-2</v>
      </c>
      <c r="L170">
        <v>0.19277108433734941</v>
      </c>
      <c r="M170">
        <v>0.25301204819277107</v>
      </c>
      <c r="N170">
        <v>0.19277108433734941</v>
      </c>
      <c r="O170">
        <v>1.2048192771084338E-2</v>
      </c>
      <c r="P170">
        <v>0</v>
      </c>
      <c r="Q170">
        <v>0</v>
      </c>
      <c r="R170">
        <v>0</v>
      </c>
      <c r="S170">
        <v>0</v>
      </c>
      <c r="T170">
        <v>1</v>
      </c>
    </row>
    <row r="171" spans="2:20" x14ac:dyDescent="0.25">
      <c r="B171">
        <v>85</v>
      </c>
      <c r="C171">
        <v>0.18390804597701149</v>
      </c>
      <c r="D171">
        <v>0</v>
      </c>
      <c r="E171">
        <v>0</v>
      </c>
      <c r="F171">
        <v>0</v>
      </c>
      <c r="G171">
        <v>0</v>
      </c>
      <c r="H171">
        <v>1.1494252873563218E-2</v>
      </c>
      <c r="I171">
        <v>2.2988505747126436E-2</v>
      </c>
      <c r="J171">
        <v>1.1494252873563218E-2</v>
      </c>
      <c r="K171">
        <v>4.5977011494252873E-2</v>
      </c>
      <c r="L171">
        <v>6.8965517241379309E-2</v>
      </c>
      <c r="M171">
        <v>0.2413793103448276</v>
      </c>
      <c r="N171">
        <v>0.28735632183908044</v>
      </c>
      <c r="O171">
        <v>0.12643678160919541</v>
      </c>
      <c r="P171">
        <v>0</v>
      </c>
      <c r="Q171">
        <v>0</v>
      </c>
      <c r="R171">
        <v>0</v>
      </c>
      <c r="S171">
        <v>0</v>
      </c>
      <c r="T171">
        <v>1</v>
      </c>
    </row>
    <row r="172" spans="2:20" x14ac:dyDescent="0.25">
      <c r="B172">
        <v>87</v>
      </c>
      <c r="C172">
        <v>0.14285714285714285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0.10714285714285714</v>
      </c>
      <c r="L172">
        <v>7.1428571428571425E-2</v>
      </c>
      <c r="M172">
        <v>0.17857142857142858</v>
      </c>
      <c r="N172">
        <v>0.32142857142857145</v>
      </c>
      <c r="O172">
        <v>0.14285714285714285</v>
      </c>
      <c r="P172">
        <v>3.5714285714285712E-2</v>
      </c>
      <c r="Q172">
        <v>0</v>
      </c>
      <c r="R172">
        <v>0</v>
      </c>
      <c r="S172">
        <v>0</v>
      </c>
      <c r="T172">
        <v>1</v>
      </c>
    </row>
    <row r="173" spans="2:20" x14ac:dyDescent="0.25">
      <c r="B173">
        <v>90</v>
      </c>
      <c r="C173">
        <v>0.22222222222222221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0.1111111111111111</v>
      </c>
      <c r="L173">
        <v>0</v>
      </c>
      <c r="M173">
        <v>0</v>
      </c>
      <c r="N173">
        <v>0.33333333333333331</v>
      </c>
      <c r="O173">
        <v>0.22222222222222221</v>
      </c>
      <c r="P173">
        <v>0.1111111111111111</v>
      </c>
      <c r="Q173">
        <v>0</v>
      </c>
      <c r="R173">
        <v>0</v>
      </c>
      <c r="S173">
        <v>0</v>
      </c>
      <c r="T173">
        <v>1</v>
      </c>
    </row>
    <row r="174" spans="2:20" x14ac:dyDescent="0.25">
      <c r="B174">
        <v>93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1</v>
      </c>
    </row>
    <row r="175" spans="2:20" x14ac:dyDescent="0.25">
      <c r="B175">
        <v>95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1</v>
      </c>
    </row>
    <row r="176" spans="2:20" x14ac:dyDescent="0.25">
      <c r="B176">
        <v>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</v>
      </c>
      <c r="T176">
        <v>1</v>
      </c>
    </row>
    <row r="177" spans="2:20" x14ac:dyDescent="0.25">
      <c r="B177" t="s">
        <v>1177</v>
      </c>
      <c r="C177">
        <v>0.58382476832350461</v>
      </c>
      <c r="D177">
        <v>7.0766638584667224E-2</v>
      </c>
      <c r="E177">
        <v>8.4245998315080029E-4</v>
      </c>
      <c r="F177">
        <v>4.2122999157540014E-3</v>
      </c>
      <c r="G177">
        <v>1.0109519797809604E-2</v>
      </c>
      <c r="H177">
        <v>1.1794439764111205E-2</v>
      </c>
      <c r="I177">
        <v>1.7691659646166806E-2</v>
      </c>
      <c r="J177">
        <v>2.358887952822241E-2</v>
      </c>
      <c r="K177">
        <v>2.9486099410278011E-2</v>
      </c>
      <c r="L177">
        <v>4.8862679022746422E-2</v>
      </c>
      <c r="M177">
        <v>8.9300758213984838E-2</v>
      </c>
      <c r="N177">
        <v>7.7506318449873629E-2</v>
      </c>
      <c r="O177">
        <v>2.6116259477674809E-2</v>
      </c>
      <c r="P177">
        <v>3.3698399326032012E-3</v>
      </c>
      <c r="Q177">
        <v>8.4245998315080029E-4</v>
      </c>
      <c r="R177">
        <v>8.4245998315080029E-4</v>
      </c>
      <c r="S177">
        <v>8.4245998315080029E-4</v>
      </c>
      <c r="T177">
        <v>1</v>
      </c>
    </row>
    <row r="182" spans="2:20" x14ac:dyDescent="0.25">
      <c r="B182" t="s">
        <v>1175</v>
      </c>
      <c r="C182" t="s">
        <v>1189</v>
      </c>
    </row>
    <row r="183" spans="2:20" x14ac:dyDescent="0.25">
      <c r="B183" t="s">
        <v>1185</v>
      </c>
      <c r="C183">
        <v>0</v>
      </c>
      <c r="D183">
        <v>22</v>
      </c>
      <c r="E183">
        <v>40</v>
      </c>
      <c r="F183">
        <v>60</v>
      </c>
      <c r="G183">
        <v>65</v>
      </c>
      <c r="H183">
        <v>70</v>
      </c>
      <c r="I183">
        <v>73</v>
      </c>
      <c r="J183">
        <v>75</v>
      </c>
      <c r="K183">
        <v>77</v>
      </c>
      <c r="L183">
        <v>80</v>
      </c>
      <c r="M183">
        <v>83</v>
      </c>
      <c r="N183">
        <v>85</v>
      </c>
      <c r="O183">
        <v>87</v>
      </c>
      <c r="P183">
        <v>90</v>
      </c>
      <c r="Q183">
        <v>93</v>
      </c>
      <c r="R183">
        <v>95</v>
      </c>
      <c r="S183">
        <v>99</v>
      </c>
      <c r="T183" t="s">
        <v>1177</v>
      </c>
    </row>
    <row r="184" spans="2:20" x14ac:dyDescent="0.25">
      <c r="B184">
        <v>0</v>
      </c>
      <c r="C184">
        <v>0.79951690821256038</v>
      </c>
      <c r="D184">
        <v>6.5217391304347824E-2</v>
      </c>
      <c r="E184">
        <v>1.2077294685990338E-3</v>
      </c>
      <c r="F184">
        <v>0</v>
      </c>
      <c r="G184">
        <v>6.038647342995169E-3</v>
      </c>
      <c r="H184">
        <v>6.038647342995169E-3</v>
      </c>
      <c r="I184">
        <v>3.6231884057971015E-3</v>
      </c>
      <c r="J184">
        <v>3.6231884057971015E-3</v>
      </c>
      <c r="K184">
        <v>1.0869565217391304E-2</v>
      </c>
      <c r="L184">
        <v>2.0531400966183576E-2</v>
      </c>
      <c r="M184">
        <v>3.5024154589371984E-2</v>
      </c>
      <c r="N184">
        <v>3.9855072463768113E-2</v>
      </c>
      <c r="O184">
        <v>6.038647342995169E-3</v>
      </c>
      <c r="P184">
        <v>2.4154589371980675E-3</v>
      </c>
      <c r="Q184">
        <v>0</v>
      </c>
      <c r="R184">
        <v>0</v>
      </c>
      <c r="S184">
        <v>0</v>
      </c>
      <c r="T184">
        <v>1</v>
      </c>
    </row>
    <row r="185" spans="2:20" x14ac:dyDescent="0.25">
      <c r="B185">
        <v>22</v>
      </c>
      <c r="C185">
        <v>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</row>
    <row r="186" spans="2:20" x14ac:dyDescent="0.25">
      <c r="B186">
        <v>40</v>
      </c>
      <c r="C186">
        <v>0.33333333333333331</v>
      </c>
      <c r="D186">
        <v>0</v>
      </c>
      <c r="E186">
        <v>0.33333333333333331</v>
      </c>
      <c r="F186">
        <v>0</v>
      </c>
      <c r="G186">
        <v>0.33333333333333331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</row>
    <row r="187" spans="2:20" x14ac:dyDescent="0.25">
      <c r="B187">
        <v>60</v>
      </c>
      <c r="C187">
        <v>0.5</v>
      </c>
      <c r="D187">
        <v>0</v>
      </c>
      <c r="E187">
        <v>0</v>
      </c>
      <c r="F187">
        <v>0.5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</row>
    <row r="188" spans="2:20" x14ac:dyDescent="0.25">
      <c r="B188">
        <v>65</v>
      </c>
      <c r="C188">
        <v>0.22222222222222221</v>
      </c>
      <c r="D188">
        <v>0.22222222222222221</v>
      </c>
      <c r="E188">
        <v>0</v>
      </c>
      <c r="F188">
        <v>0.22222222222222221</v>
      </c>
      <c r="G188">
        <v>0.1111111111111111</v>
      </c>
      <c r="H188">
        <v>0</v>
      </c>
      <c r="I188">
        <v>0</v>
      </c>
      <c r="J188">
        <v>0.1111111111111111</v>
      </c>
      <c r="K188">
        <v>0</v>
      </c>
      <c r="L188">
        <v>0.1111111111111111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</row>
    <row r="189" spans="2:20" x14ac:dyDescent="0.25">
      <c r="B189">
        <v>70</v>
      </c>
      <c r="C189">
        <v>0.2857142857142857</v>
      </c>
      <c r="D189">
        <v>7.1428571428571425E-2</v>
      </c>
      <c r="E189">
        <v>0</v>
      </c>
      <c r="F189">
        <v>7.1428571428571425E-2</v>
      </c>
      <c r="G189">
        <v>0.21428571428571427</v>
      </c>
      <c r="H189">
        <v>0.35714285714285715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</row>
    <row r="190" spans="2:20" x14ac:dyDescent="0.25">
      <c r="B190">
        <v>73</v>
      </c>
      <c r="C190">
        <v>0.13333333333333333</v>
      </c>
      <c r="D190">
        <v>0</v>
      </c>
      <c r="E190">
        <v>0</v>
      </c>
      <c r="F190">
        <v>0</v>
      </c>
      <c r="G190">
        <v>0.2</v>
      </c>
      <c r="H190">
        <v>6.6666666666666666E-2</v>
      </c>
      <c r="I190">
        <v>0.13333333333333333</v>
      </c>
      <c r="J190">
        <v>0.33333333333333331</v>
      </c>
      <c r="K190">
        <v>0.13333333333333333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</row>
    <row r="191" spans="2:20" x14ac:dyDescent="0.25">
      <c r="B191">
        <v>75</v>
      </c>
      <c r="C191">
        <v>0.15</v>
      </c>
      <c r="D191">
        <v>0.05</v>
      </c>
      <c r="E191">
        <v>0</v>
      </c>
      <c r="F191">
        <v>0</v>
      </c>
      <c r="G191">
        <v>0.05</v>
      </c>
      <c r="H191">
        <v>0.1</v>
      </c>
      <c r="I191">
        <v>0.05</v>
      </c>
      <c r="J191">
        <v>0.25</v>
      </c>
      <c r="K191">
        <v>0.25</v>
      </c>
      <c r="L191">
        <v>0.1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</row>
    <row r="192" spans="2:20" x14ac:dyDescent="0.25">
      <c r="B192">
        <v>77</v>
      </c>
      <c r="C192">
        <v>0.36842105263157893</v>
      </c>
      <c r="D192">
        <v>0</v>
      </c>
      <c r="E192">
        <v>0</v>
      </c>
      <c r="F192">
        <v>0</v>
      </c>
      <c r="G192">
        <v>0</v>
      </c>
      <c r="H192">
        <v>5.2631578947368418E-2</v>
      </c>
      <c r="I192">
        <v>5.2631578947368418E-2</v>
      </c>
      <c r="J192">
        <v>5.2631578947368418E-2</v>
      </c>
      <c r="K192">
        <v>0.15789473684210525</v>
      </c>
      <c r="L192">
        <v>0.10526315789473684</v>
      </c>
      <c r="M192">
        <v>0.21052631578947367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</row>
    <row r="193" spans="2:20" x14ac:dyDescent="0.25">
      <c r="B193">
        <v>80</v>
      </c>
      <c r="C193">
        <v>0.10869565217391304</v>
      </c>
      <c r="D193">
        <v>0</v>
      </c>
      <c r="E193">
        <v>0</v>
      </c>
      <c r="F193">
        <v>0</v>
      </c>
      <c r="G193">
        <v>4.3478260869565216E-2</v>
      </c>
      <c r="H193">
        <v>2.1739130434782608E-2</v>
      </c>
      <c r="I193">
        <v>4.3478260869565216E-2</v>
      </c>
      <c r="J193">
        <v>4.3478260869565216E-2</v>
      </c>
      <c r="K193">
        <v>6.5217391304347824E-2</v>
      </c>
      <c r="L193">
        <v>0.30434782608695654</v>
      </c>
      <c r="M193">
        <v>0.2608695652173913</v>
      </c>
      <c r="N193">
        <v>0.10869565217391304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</row>
    <row r="194" spans="2:20" x14ac:dyDescent="0.25">
      <c r="B194">
        <v>83</v>
      </c>
      <c r="C194">
        <v>0.17948717948717949</v>
      </c>
      <c r="D194">
        <v>0</v>
      </c>
      <c r="E194">
        <v>0</v>
      </c>
      <c r="F194">
        <v>0</v>
      </c>
      <c r="G194">
        <v>2.564102564102564E-2</v>
      </c>
      <c r="H194">
        <v>2.564102564102564E-2</v>
      </c>
      <c r="I194">
        <v>5.128205128205128E-2</v>
      </c>
      <c r="J194">
        <v>6.4102564102564097E-2</v>
      </c>
      <c r="K194">
        <v>7.6923076923076927E-2</v>
      </c>
      <c r="L194">
        <v>0.19230769230769232</v>
      </c>
      <c r="M194">
        <v>0.24358974358974358</v>
      </c>
      <c r="N194">
        <v>0.12820512820512819</v>
      </c>
      <c r="O194">
        <v>1.282051282051282E-2</v>
      </c>
      <c r="P194">
        <v>0</v>
      </c>
      <c r="Q194">
        <v>0</v>
      </c>
      <c r="R194">
        <v>0</v>
      </c>
      <c r="S194">
        <v>0</v>
      </c>
      <c r="T194">
        <v>1</v>
      </c>
    </row>
    <row r="195" spans="2:20" x14ac:dyDescent="0.25">
      <c r="B195">
        <v>85</v>
      </c>
      <c r="C195">
        <v>0.16883116883116883</v>
      </c>
      <c r="D195">
        <v>0</v>
      </c>
      <c r="E195">
        <v>0</v>
      </c>
      <c r="F195">
        <v>1.2987012987012988E-2</v>
      </c>
      <c r="G195">
        <v>1.2987012987012988E-2</v>
      </c>
      <c r="H195">
        <v>0</v>
      </c>
      <c r="I195">
        <v>2.5974025974025976E-2</v>
      </c>
      <c r="J195">
        <v>0</v>
      </c>
      <c r="K195">
        <v>3.896103896103896E-2</v>
      </c>
      <c r="L195">
        <v>3.896103896103896E-2</v>
      </c>
      <c r="M195">
        <v>0.25974025974025972</v>
      </c>
      <c r="N195">
        <v>0.37662337662337664</v>
      </c>
      <c r="O195">
        <v>5.1948051948051951E-2</v>
      </c>
      <c r="P195">
        <v>0</v>
      </c>
      <c r="Q195">
        <v>0</v>
      </c>
      <c r="R195">
        <v>0</v>
      </c>
      <c r="S195">
        <v>1.2987012987012988E-2</v>
      </c>
      <c r="T195">
        <v>1</v>
      </c>
    </row>
    <row r="196" spans="2:20" x14ac:dyDescent="0.25">
      <c r="B196">
        <v>87</v>
      </c>
      <c r="C196">
        <v>0.1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2.5000000000000001E-2</v>
      </c>
      <c r="J196">
        <v>0</v>
      </c>
      <c r="K196">
        <v>2.5000000000000001E-2</v>
      </c>
      <c r="L196">
        <v>0.1</v>
      </c>
      <c r="M196">
        <v>0.17499999999999999</v>
      </c>
      <c r="N196">
        <v>0.22500000000000001</v>
      </c>
      <c r="O196">
        <v>0.32500000000000001</v>
      </c>
      <c r="P196">
        <v>2.5000000000000001E-2</v>
      </c>
      <c r="Q196">
        <v>0</v>
      </c>
      <c r="R196">
        <v>0</v>
      </c>
      <c r="S196">
        <v>0</v>
      </c>
      <c r="T196">
        <v>1</v>
      </c>
    </row>
    <row r="197" spans="2:20" x14ac:dyDescent="0.25">
      <c r="B197">
        <v>90</v>
      </c>
      <c r="C197">
        <v>0.2857142857142857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0.2857142857142857</v>
      </c>
      <c r="O197">
        <v>0.2857142857142857</v>
      </c>
      <c r="P197">
        <v>0.14285714285714285</v>
      </c>
      <c r="Q197">
        <v>0</v>
      </c>
      <c r="R197">
        <v>0</v>
      </c>
      <c r="S197">
        <v>0</v>
      </c>
      <c r="T197">
        <v>1</v>
      </c>
    </row>
    <row r="198" spans="2:20" x14ac:dyDescent="0.25">
      <c r="B198">
        <v>93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1</v>
      </c>
    </row>
    <row r="199" spans="2:20" x14ac:dyDescent="0.25">
      <c r="B199">
        <v>95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1</v>
      </c>
    </row>
    <row r="200" spans="2:20" x14ac:dyDescent="0.25">
      <c r="B200">
        <v>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1</v>
      </c>
    </row>
    <row r="201" spans="2:20" x14ac:dyDescent="0.25">
      <c r="B201" t="s">
        <v>1177</v>
      </c>
      <c r="C201">
        <v>0.60657118786857622</v>
      </c>
      <c r="D201">
        <v>7.0766638584667224E-2</v>
      </c>
      <c r="E201">
        <v>1.6849199663016006E-3</v>
      </c>
      <c r="F201">
        <v>4.2122999157540014E-3</v>
      </c>
      <c r="G201">
        <v>1.6006739679865205E-2</v>
      </c>
      <c r="H201">
        <v>1.4321819713563605E-2</v>
      </c>
      <c r="I201">
        <v>1.3479359730412805E-2</v>
      </c>
      <c r="J201">
        <v>1.8534119629317607E-2</v>
      </c>
      <c r="K201">
        <v>2.6958719460825609E-2</v>
      </c>
      <c r="L201">
        <v>4.8862679022746422E-2</v>
      </c>
      <c r="M201">
        <v>7.6663858466722828E-2</v>
      </c>
      <c r="N201">
        <v>7.4136478517270427E-2</v>
      </c>
      <c r="O201">
        <v>2.1061499578770009E-2</v>
      </c>
      <c r="P201">
        <v>3.3698399326032012E-3</v>
      </c>
      <c r="Q201">
        <v>8.4245998315080029E-4</v>
      </c>
      <c r="R201">
        <v>8.4245998315080029E-4</v>
      </c>
      <c r="S201">
        <v>1.6849199663016006E-3</v>
      </c>
      <c r="T201">
        <v>1</v>
      </c>
    </row>
    <row r="206" spans="2:20" x14ac:dyDescent="0.25">
      <c r="B206" t="s">
        <v>1175</v>
      </c>
      <c r="C206" t="s">
        <v>1190</v>
      </c>
    </row>
    <row r="207" spans="2:20" x14ac:dyDescent="0.25">
      <c r="B207" t="s">
        <v>1186</v>
      </c>
      <c r="C207">
        <v>0</v>
      </c>
      <c r="D207">
        <v>22</v>
      </c>
      <c r="E207">
        <v>40</v>
      </c>
      <c r="F207">
        <v>60</v>
      </c>
      <c r="G207">
        <v>65</v>
      </c>
      <c r="H207">
        <v>70</v>
      </c>
      <c r="I207">
        <v>73</v>
      </c>
      <c r="J207">
        <v>75</v>
      </c>
      <c r="K207">
        <v>77</v>
      </c>
      <c r="L207">
        <v>80</v>
      </c>
      <c r="M207">
        <v>83</v>
      </c>
      <c r="N207">
        <v>85</v>
      </c>
      <c r="O207">
        <v>87</v>
      </c>
      <c r="P207">
        <v>90</v>
      </c>
      <c r="Q207">
        <v>93</v>
      </c>
      <c r="R207">
        <v>95</v>
      </c>
      <c r="S207">
        <v>99</v>
      </c>
      <c r="T207" t="s">
        <v>1177</v>
      </c>
    </row>
    <row r="208" spans="2:20" x14ac:dyDescent="0.25">
      <c r="B208">
        <v>0</v>
      </c>
      <c r="C208">
        <v>0.89697802197802201</v>
      </c>
      <c r="D208">
        <v>2.7472527472527475E-3</v>
      </c>
      <c r="E208">
        <v>2.7472527472527475E-3</v>
      </c>
      <c r="F208">
        <v>0</v>
      </c>
      <c r="G208">
        <v>0</v>
      </c>
      <c r="H208">
        <v>1.3736263736263737E-3</v>
      </c>
      <c r="I208">
        <v>1.3736263736263737E-3</v>
      </c>
      <c r="J208">
        <v>6.868131868131868E-3</v>
      </c>
      <c r="K208">
        <v>6.868131868131868E-3</v>
      </c>
      <c r="L208">
        <v>6.868131868131868E-3</v>
      </c>
      <c r="M208">
        <v>2.60989010989011E-2</v>
      </c>
      <c r="N208">
        <v>3.8461538461538464E-2</v>
      </c>
      <c r="O208">
        <v>8.241758241758242E-3</v>
      </c>
      <c r="P208">
        <v>1.3736263736263737E-3</v>
      </c>
      <c r="Q208">
        <v>0</v>
      </c>
      <c r="R208">
        <v>0</v>
      </c>
      <c r="S208">
        <v>0</v>
      </c>
      <c r="T208">
        <v>1</v>
      </c>
    </row>
    <row r="209" spans="2:20" x14ac:dyDescent="0.25">
      <c r="B209">
        <v>22</v>
      </c>
      <c r="C209">
        <v>0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</row>
    <row r="210" spans="2:20" x14ac:dyDescent="0.25">
      <c r="B210">
        <v>40</v>
      </c>
      <c r="C210">
        <v>0.33333333333333331</v>
      </c>
      <c r="D210">
        <v>0</v>
      </c>
      <c r="E210">
        <v>0.33333333333333331</v>
      </c>
      <c r="F210">
        <v>0.33333333333333331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</row>
    <row r="211" spans="2:20" x14ac:dyDescent="0.25">
      <c r="B211">
        <v>60</v>
      </c>
      <c r="C211">
        <v>0.33333333333333331</v>
      </c>
      <c r="D211">
        <v>0</v>
      </c>
      <c r="E211">
        <v>0</v>
      </c>
      <c r="F211">
        <v>0.33333333333333331</v>
      </c>
      <c r="G211">
        <v>0.33333333333333331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</row>
    <row r="212" spans="2:20" x14ac:dyDescent="0.25">
      <c r="B212">
        <v>65</v>
      </c>
      <c r="C212">
        <v>0.53846153846153844</v>
      </c>
      <c r="D212">
        <v>0.15384615384615385</v>
      </c>
      <c r="E212">
        <v>0</v>
      </c>
      <c r="F212">
        <v>0</v>
      </c>
      <c r="G212">
        <v>7.6923076923076927E-2</v>
      </c>
      <c r="H212">
        <v>0.15384615384615385</v>
      </c>
      <c r="I212">
        <v>0</v>
      </c>
      <c r="J212">
        <v>7.6923076923076927E-2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</row>
    <row r="213" spans="2:20" x14ac:dyDescent="0.25">
      <c r="B213">
        <v>70</v>
      </c>
      <c r="C213">
        <v>5.2631578947368418E-2</v>
      </c>
      <c r="D213">
        <v>5.2631578947368418E-2</v>
      </c>
      <c r="E213">
        <v>0</v>
      </c>
      <c r="F213">
        <v>0</v>
      </c>
      <c r="G213">
        <v>0.26315789473684209</v>
      </c>
      <c r="H213">
        <v>0.26315789473684209</v>
      </c>
      <c r="I213">
        <v>0.10526315789473684</v>
      </c>
      <c r="J213">
        <v>5.2631578947368418E-2</v>
      </c>
      <c r="K213">
        <v>5.2631578947368418E-2</v>
      </c>
      <c r="L213">
        <v>0.10526315789473684</v>
      </c>
      <c r="M213">
        <v>5.2631578947368418E-2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</row>
    <row r="214" spans="2:20" x14ac:dyDescent="0.25">
      <c r="B214">
        <v>73</v>
      </c>
      <c r="C214">
        <v>0.2857142857142857</v>
      </c>
      <c r="D214">
        <v>0</v>
      </c>
      <c r="E214">
        <v>0</v>
      </c>
      <c r="F214">
        <v>0</v>
      </c>
      <c r="G214">
        <v>9.5238095238095233E-2</v>
      </c>
      <c r="H214">
        <v>9.5238095238095233E-2</v>
      </c>
      <c r="I214">
        <v>0.14285714285714285</v>
      </c>
      <c r="J214">
        <v>0.14285714285714285</v>
      </c>
      <c r="K214">
        <v>0.19047619047619047</v>
      </c>
      <c r="L214">
        <v>4.7619047619047616E-2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</row>
    <row r="215" spans="2:20" x14ac:dyDescent="0.25">
      <c r="B215">
        <v>75</v>
      </c>
      <c r="C215">
        <v>0.30434782608695654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4.3478260869565216E-2</v>
      </c>
      <c r="J215">
        <v>0.17391304347826086</v>
      </c>
      <c r="K215">
        <v>0.13043478260869565</v>
      </c>
      <c r="L215">
        <v>8.6956521739130432E-2</v>
      </c>
      <c r="M215">
        <v>0.17391304347826086</v>
      </c>
      <c r="N215">
        <v>4.3478260869565216E-2</v>
      </c>
      <c r="O215">
        <v>4.3478260869565216E-2</v>
      </c>
      <c r="P215">
        <v>0</v>
      </c>
      <c r="Q215">
        <v>0</v>
      </c>
      <c r="R215">
        <v>0</v>
      </c>
      <c r="S215">
        <v>0</v>
      </c>
      <c r="T215">
        <v>1</v>
      </c>
    </row>
    <row r="216" spans="2:20" x14ac:dyDescent="0.25">
      <c r="B216">
        <v>77</v>
      </c>
      <c r="C216">
        <v>0.15384615384615385</v>
      </c>
      <c r="D216">
        <v>3.8461538461538464E-2</v>
      </c>
      <c r="E216">
        <v>0</v>
      </c>
      <c r="F216">
        <v>0</v>
      </c>
      <c r="G216">
        <v>0</v>
      </c>
      <c r="H216">
        <v>3.8461538461538464E-2</v>
      </c>
      <c r="I216">
        <v>3.8461538461538464E-2</v>
      </c>
      <c r="J216">
        <v>7.6923076923076927E-2</v>
      </c>
      <c r="K216">
        <v>0.26923076923076922</v>
      </c>
      <c r="L216">
        <v>0.23076923076923078</v>
      </c>
      <c r="M216">
        <v>0.11538461538461539</v>
      </c>
      <c r="N216">
        <v>3.8461538461538464E-2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</row>
    <row r="217" spans="2:20" x14ac:dyDescent="0.25">
      <c r="B217">
        <v>80</v>
      </c>
      <c r="C217">
        <v>0.3125</v>
      </c>
      <c r="D217">
        <v>0</v>
      </c>
      <c r="E217">
        <v>0</v>
      </c>
      <c r="F217">
        <v>0</v>
      </c>
      <c r="G217">
        <v>1.5625E-2</v>
      </c>
      <c r="H217">
        <v>6.25E-2</v>
      </c>
      <c r="I217">
        <v>0</v>
      </c>
      <c r="J217">
        <v>3.125E-2</v>
      </c>
      <c r="K217">
        <v>4.6875E-2</v>
      </c>
      <c r="L217">
        <v>0.234375</v>
      </c>
      <c r="M217">
        <v>0.203125</v>
      </c>
      <c r="N217">
        <v>4.6875E-2</v>
      </c>
      <c r="O217">
        <v>4.6875E-2</v>
      </c>
      <c r="P217">
        <v>0</v>
      </c>
      <c r="Q217">
        <v>0</v>
      </c>
      <c r="R217">
        <v>0</v>
      </c>
      <c r="S217">
        <v>0</v>
      </c>
      <c r="T217">
        <v>1</v>
      </c>
    </row>
    <row r="218" spans="2:20" x14ac:dyDescent="0.25">
      <c r="B218">
        <v>83</v>
      </c>
      <c r="C218">
        <v>0.16176470588235295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8.8235294117647065E-2</v>
      </c>
      <c r="K218">
        <v>4.4117647058823532E-2</v>
      </c>
      <c r="L218">
        <v>0.19117647058823528</v>
      </c>
      <c r="M218">
        <v>0.27941176470588236</v>
      </c>
      <c r="N218">
        <v>0.17647058823529413</v>
      </c>
      <c r="O218">
        <v>5.8823529411764705E-2</v>
      </c>
      <c r="P218">
        <v>0</v>
      </c>
      <c r="Q218">
        <v>0</v>
      </c>
      <c r="R218">
        <v>0</v>
      </c>
      <c r="S218">
        <v>0</v>
      </c>
      <c r="T218">
        <v>1</v>
      </c>
    </row>
    <row r="219" spans="2:20" x14ac:dyDescent="0.25">
      <c r="B219">
        <v>85</v>
      </c>
      <c r="C219">
        <v>0.21348314606741572</v>
      </c>
      <c r="D219">
        <v>1.1235955056179775E-2</v>
      </c>
      <c r="E219">
        <v>0</v>
      </c>
      <c r="F219">
        <v>0</v>
      </c>
      <c r="G219">
        <v>0</v>
      </c>
      <c r="H219">
        <v>0</v>
      </c>
      <c r="I219">
        <v>1.1235955056179775E-2</v>
      </c>
      <c r="J219">
        <v>1.1235955056179775E-2</v>
      </c>
      <c r="K219">
        <v>2.247191011235955E-2</v>
      </c>
      <c r="L219">
        <v>6.741573033707865E-2</v>
      </c>
      <c r="M219">
        <v>0.2808988764044944</v>
      </c>
      <c r="N219">
        <v>0.2696629213483146</v>
      </c>
      <c r="O219">
        <v>0.11235955056179775</v>
      </c>
      <c r="P219">
        <v>0</v>
      </c>
      <c r="Q219">
        <v>0</v>
      </c>
      <c r="R219">
        <v>0</v>
      </c>
      <c r="S219">
        <v>0</v>
      </c>
      <c r="T219">
        <v>1</v>
      </c>
    </row>
    <row r="220" spans="2:20" x14ac:dyDescent="0.25">
      <c r="B220">
        <v>87</v>
      </c>
      <c r="C220">
        <v>0.24390243902439024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2.4390243902439025E-2</v>
      </c>
      <c r="J220">
        <v>0</v>
      </c>
      <c r="K220">
        <v>0</v>
      </c>
      <c r="L220">
        <v>0</v>
      </c>
      <c r="M220">
        <v>4.878048780487805E-2</v>
      </c>
      <c r="N220">
        <v>0.29268292682926828</v>
      </c>
      <c r="O220">
        <v>0.31707317073170732</v>
      </c>
      <c r="P220">
        <v>7.3170731707317069E-2</v>
      </c>
      <c r="Q220">
        <v>0</v>
      </c>
      <c r="R220">
        <v>0</v>
      </c>
      <c r="S220">
        <v>0</v>
      </c>
      <c r="T220">
        <v>1</v>
      </c>
    </row>
    <row r="221" spans="2:20" x14ac:dyDescent="0.25">
      <c r="B221">
        <v>90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0.6</v>
      </c>
      <c r="P221">
        <v>0.4</v>
      </c>
      <c r="Q221">
        <v>0</v>
      </c>
      <c r="R221">
        <v>0</v>
      </c>
      <c r="S221">
        <v>0</v>
      </c>
      <c r="T221">
        <v>1</v>
      </c>
    </row>
    <row r="222" spans="2:20" x14ac:dyDescent="0.25">
      <c r="B222">
        <v>93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1</v>
      </c>
    </row>
    <row r="223" spans="2:20" x14ac:dyDescent="0.25">
      <c r="B223">
        <v>95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1</v>
      </c>
    </row>
    <row r="224" spans="2:20" x14ac:dyDescent="0.25">
      <c r="B224">
        <v>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1</v>
      </c>
    </row>
    <row r="225" spans="2:20" x14ac:dyDescent="0.25">
      <c r="B225" t="s">
        <v>1177</v>
      </c>
      <c r="C225">
        <v>0.62342038753159223</v>
      </c>
      <c r="D225">
        <v>7.4136478517270427E-2</v>
      </c>
      <c r="E225">
        <v>2.527379949452401E-3</v>
      </c>
      <c r="F225">
        <v>1.6849199663016006E-3</v>
      </c>
      <c r="G225">
        <v>8.4245998315080027E-3</v>
      </c>
      <c r="H225">
        <v>1.2636899747262006E-2</v>
      </c>
      <c r="I225">
        <v>8.4245998315080027E-3</v>
      </c>
      <c r="J225">
        <v>2.1061499578770009E-2</v>
      </c>
      <c r="K225">
        <v>2.358887952822241E-2</v>
      </c>
      <c r="L225">
        <v>4.2122999157540017E-2</v>
      </c>
      <c r="M225">
        <v>7.2451558550968825E-2</v>
      </c>
      <c r="N225">
        <v>6.8239258635214822E-2</v>
      </c>
      <c r="O225">
        <v>3.3698399326032011E-2</v>
      </c>
      <c r="P225">
        <v>5.054759898904802E-3</v>
      </c>
      <c r="Q225">
        <v>8.4245998315080029E-4</v>
      </c>
      <c r="R225">
        <v>8.4245998315080029E-4</v>
      </c>
      <c r="S225">
        <v>8.4245998315080029E-4</v>
      </c>
      <c r="T225">
        <v>1</v>
      </c>
    </row>
    <row r="230" spans="2:20" x14ac:dyDescent="0.25">
      <c r="B230" t="s">
        <v>1175</v>
      </c>
      <c r="C230" t="s">
        <v>1191</v>
      </c>
    </row>
    <row r="231" spans="2:20" x14ac:dyDescent="0.25">
      <c r="B231" t="s">
        <v>1187</v>
      </c>
      <c r="C231">
        <v>0</v>
      </c>
      <c r="D231">
        <v>22</v>
      </c>
      <c r="E231">
        <v>40</v>
      </c>
      <c r="F231">
        <v>60</v>
      </c>
      <c r="G231">
        <v>65</v>
      </c>
      <c r="H231">
        <v>70</v>
      </c>
      <c r="I231">
        <v>73</v>
      </c>
      <c r="J231">
        <v>75</v>
      </c>
      <c r="K231">
        <v>77</v>
      </c>
      <c r="L231">
        <v>80</v>
      </c>
      <c r="M231">
        <v>83</v>
      </c>
      <c r="N231">
        <v>85</v>
      </c>
      <c r="O231">
        <v>87</v>
      </c>
      <c r="P231">
        <v>90</v>
      </c>
      <c r="Q231">
        <v>93</v>
      </c>
      <c r="R231">
        <v>95</v>
      </c>
      <c r="S231">
        <v>99</v>
      </c>
      <c r="T231" t="s">
        <v>1177</v>
      </c>
    </row>
    <row r="232" spans="2:20" x14ac:dyDescent="0.25">
      <c r="B232">
        <v>0</v>
      </c>
      <c r="C232">
        <v>0.93203883495145634</v>
      </c>
      <c r="D232">
        <v>2.7739251040221915E-3</v>
      </c>
      <c r="E232">
        <v>1.3869625520110957E-3</v>
      </c>
      <c r="F232">
        <v>1.3869625520110957E-3</v>
      </c>
      <c r="G232">
        <v>0</v>
      </c>
      <c r="H232">
        <v>1.3869625520110957E-3</v>
      </c>
      <c r="I232">
        <v>0</v>
      </c>
      <c r="J232">
        <v>0</v>
      </c>
      <c r="K232">
        <v>6.9348127600554789E-3</v>
      </c>
      <c r="L232">
        <v>8.321775312066574E-3</v>
      </c>
      <c r="M232">
        <v>1.3869625520110958E-2</v>
      </c>
      <c r="N232">
        <v>2.9126213592233011E-2</v>
      </c>
      <c r="O232">
        <v>2.7739251040221915E-3</v>
      </c>
      <c r="P232">
        <v>0</v>
      </c>
      <c r="Q232">
        <v>0</v>
      </c>
      <c r="R232">
        <v>0</v>
      </c>
      <c r="S232">
        <v>0</v>
      </c>
      <c r="T232">
        <v>1</v>
      </c>
    </row>
    <row r="233" spans="2:20" x14ac:dyDescent="0.25">
      <c r="B233">
        <v>22</v>
      </c>
      <c r="C233">
        <v>0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</row>
    <row r="234" spans="2:20" x14ac:dyDescent="0.25">
      <c r="B234">
        <v>40</v>
      </c>
      <c r="C234">
        <v>0.25</v>
      </c>
      <c r="D234">
        <v>0.25</v>
      </c>
      <c r="E234">
        <v>0.25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</row>
    <row r="235" spans="2:20" x14ac:dyDescent="0.25">
      <c r="B235">
        <v>60</v>
      </c>
      <c r="C235">
        <v>0.2</v>
      </c>
      <c r="D235">
        <v>0.2</v>
      </c>
      <c r="E235">
        <v>0</v>
      </c>
      <c r="F235">
        <v>0.4</v>
      </c>
      <c r="G235">
        <v>0.2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</row>
    <row r="236" spans="2:20" x14ac:dyDescent="0.25">
      <c r="B236">
        <v>65</v>
      </c>
      <c r="C236">
        <v>0.69230769230769229</v>
      </c>
      <c r="D236">
        <v>0</v>
      </c>
      <c r="E236">
        <v>0</v>
      </c>
      <c r="F236">
        <v>0</v>
      </c>
      <c r="G236">
        <v>0.23076923076923078</v>
      </c>
      <c r="H236">
        <v>7.6923076923076927E-2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</row>
    <row r="237" spans="2:20" x14ac:dyDescent="0.25">
      <c r="B237">
        <v>70</v>
      </c>
      <c r="C237">
        <v>4.3478260869565216E-2</v>
      </c>
      <c r="D237">
        <v>8.6956521739130432E-2</v>
      </c>
      <c r="E237">
        <v>0</v>
      </c>
      <c r="F237">
        <v>0</v>
      </c>
      <c r="G237">
        <v>0.17391304347826086</v>
      </c>
      <c r="H237">
        <v>0.21739130434782608</v>
      </c>
      <c r="I237">
        <v>0.17391304347826086</v>
      </c>
      <c r="J237">
        <v>8.6956521739130432E-2</v>
      </c>
      <c r="K237">
        <v>4.3478260869565216E-2</v>
      </c>
      <c r="L237">
        <v>8.6956521739130432E-2</v>
      </c>
      <c r="M237">
        <v>4.3478260869565216E-2</v>
      </c>
      <c r="N237">
        <v>4.3478260869565216E-2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</row>
    <row r="238" spans="2:20" x14ac:dyDescent="0.25">
      <c r="B238">
        <v>73</v>
      </c>
      <c r="C238">
        <v>0.3888888888888889</v>
      </c>
      <c r="D238">
        <v>0</v>
      </c>
      <c r="E238">
        <v>0</v>
      </c>
      <c r="F238">
        <v>0</v>
      </c>
      <c r="G238">
        <v>0</v>
      </c>
      <c r="H238">
        <v>0.16666666666666666</v>
      </c>
      <c r="I238">
        <v>0.22222222222222221</v>
      </c>
      <c r="J238">
        <v>5.5555555555555552E-2</v>
      </c>
      <c r="K238">
        <v>0.1111111111111111</v>
      </c>
      <c r="L238">
        <v>5.5555555555555552E-2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2:20" x14ac:dyDescent="0.25">
      <c r="B239">
        <v>75</v>
      </c>
      <c r="C239">
        <v>0.23333333333333334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0.16666666666666666</v>
      </c>
      <c r="K239">
        <v>0.13333333333333333</v>
      </c>
      <c r="L239">
        <v>0.3</v>
      </c>
      <c r="M239">
        <v>6.6666666666666666E-2</v>
      </c>
      <c r="N239">
        <v>6.6666666666666666E-2</v>
      </c>
      <c r="O239">
        <v>3.3333333333333333E-2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2:20" x14ac:dyDescent="0.25">
      <c r="B240">
        <v>77</v>
      </c>
      <c r="C240">
        <v>0.21875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3.125E-2</v>
      </c>
      <c r="J240">
        <v>9.375E-2</v>
      </c>
      <c r="K240">
        <v>0.21875</v>
      </c>
      <c r="L240">
        <v>0.21875</v>
      </c>
      <c r="M240">
        <v>0.1875</v>
      </c>
      <c r="N240">
        <v>3.125E-2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</row>
    <row r="241" spans="2:20" x14ac:dyDescent="0.25">
      <c r="B241">
        <v>80</v>
      </c>
      <c r="C241">
        <v>0.26923076923076922</v>
      </c>
      <c r="D241">
        <v>0</v>
      </c>
      <c r="E241">
        <v>0</v>
      </c>
      <c r="F241">
        <v>0</v>
      </c>
      <c r="G241">
        <v>0</v>
      </c>
      <c r="H241">
        <v>1.9230769230769232E-2</v>
      </c>
      <c r="I241">
        <v>1.9230769230769232E-2</v>
      </c>
      <c r="J241">
        <v>3.8461538461538464E-2</v>
      </c>
      <c r="K241">
        <v>5.7692307692307696E-2</v>
      </c>
      <c r="L241">
        <v>0.25</v>
      </c>
      <c r="M241">
        <v>0.25</v>
      </c>
      <c r="N241">
        <v>7.6923076923076927E-2</v>
      </c>
      <c r="O241">
        <v>1.9230769230769232E-2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2:20" x14ac:dyDescent="0.25">
      <c r="B242">
        <v>83</v>
      </c>
      <c r="C242">
        <v>0.19277108433734941</v>
      </c>
      <c r="D242">
        <v>1.2048192771084338E-2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8.4337349397590355E-2</v>
      </c>
      <c r="K242">
        <v>4.8192771084337352E-2</v>
      </c>
      <c r="L242">
        <v>0.13253012048192772</v>
      </c>
      <c r="M242">
        <v>0.28915662650602408</v>
      </c>
      <c r="N242">
        <v>0.21686746987951808</v>
      </c>
      <c r="O242">
        <v>2.4096385542168676E-2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2:20" x14ac:dyDescent="0.25">
      <c r="B243">
        <v>85</v>
      </c>
      <c r="C243">
        <v>0.21686746987951808</v>
      </c>
      <c r="D243">
        <v>0</v>
      </c>
      <c r="E243">
        <v>0</v>
      </c>
      <c r="F243">
        <v>0</v>
      </c>
      <c r="G243">
        <v>0</v>
      </c>
      <c r="H243">
        <v>1.2048192771084338E-2</v>
      </c>
      <c r="I243">
        <v>0</v>
      </c>
      <c r="J243">
        <v>0</v>
      </c>
      <c r="K243">
        <v>2.4096385542168676E-2</v>
      </c>
      <c r="L243">
        <v>3.614457831325301E-2</v>
      </c>
      <c r="M243">
        <v>0.12048192771084337</v>
      </c>
      <c r="N243">
        <v>0.43373493975903615</v>
      </c>
      <c r="O243">
        <v>0.15662650602409639</v>
      </c>
      <c r="P243">
        <v>0</v>
      </c>
      <c r="Q243">
        <v>0</v>
      </c>
      <c r="R243">
        <v>0</v>
      </c>
      <c r="S243">
        <v>0</v>
      </c>
      <c r="T243">
        <v>1</v>
      </c>
    </row>
    <row r="244" spans="2:20" x14ac:dyDescent="0.25">
      <c r="B244">
        <v>87</v>
      </c>
      <c r="C244">
        <v>0.25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9.375E-2</v>
      </c>
      <c r="L244">
        <v>3.125E-2</v>
      </c>
      <c r="M244">
        <v>6.25E-2</v>
      </c>
      <c r="N244">
        <v>0.125</v>
      </c>
      <c r="O244">
        <v>0.34375</v>
      </c>
      <c r="P244">
        <v>9.375E-2</v>
      </c>
      <c r="Q244">
        <v>0</v>
      </c>
      <c r="R244">
        <v>0</v>
      </c>
      <c r="S244">
        <v>0</v>
      </c>
      <c r="T244">
        <v>1</v>
      </c>
    </row>
    <row r="245" spans="2:20" x14ac:dyDescent="0.25">
      <c r="B245">
        <v>90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0.33333333333333331</v>
      </c>
      <c r="O245">
        <v>0.33333333333333331</v>
      </c>
      <c r="P245">
        <v>0.33333333333333331</v>
      </c>
      <c r="Q245">
        <v>0</v>
      </c>
      <c r="R245">
        <v>0</v>
      </c>
      <c r="S245">
        <v>0</v>
      </c>
      <c r="T245">
        <v>1</v>
      </c>
    </row>
    <row r="246" spans="2:20" x14ac:dyDescent="0.25">
      <c r="B246">
        <v>93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1</v>
      </c>
    </row>
    <row r="247" spans="2:20" x14ac:dyDescent="0.25">
      <c r="B247">
        <v>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1</v>
      </c>
      <c r="S247">
        <v>0</v>
      </c>
      <c r="T247">
        <v>1</v>
      </c>
    </row>
    <row r="248" spans="2:20" x14ac:dyDescent="0.25">
      <c r="B248">
        <v>99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</v>
      </c>
      <c r="T248">
        <v>1</v>
      </c>
    </row>
    <row r="249" spans="2:20" x14ac:dyDescent="0.25">
      <c r="B249" t="s">
        <v>1177</v>
      </c>
      <c r="C249">
        <v>0.64111204717775905</v>
      </c>
      <c r="D249">
        <v>7.4978938500421227E-2</v>
      </c>
      <c r="E249">
        <v>1.6849199663016006E-3</v>
      </c>
      <c r="F249">
        <v>2.527379949452401E-3</v>
      </c>
      <c r="G249">
        <v>6.7396798652064023E-3</v>
      </c>
      <c r="H249">
        <v>1.0109519797809604E-2</v>
      </c>
      <c r="I249">
        <v>8.4245998315080027E-3</v>
      </c>
      <c r="J249">
        <v>1.6849199663016005E-2</v>
      </c>
      <c r="K249">
        <v>2.6958719460825609E-2</v>
      </c>
      <c r="L249">
        <v>4.4650379106992419E-2</v>
      </c>
      <c r="M249">
        <v>5.7287278854254421E-2</v>
      </c>
      <c r="N249">
        <v>7.4978938500421227E-2</v>
      </c>
      <c r="O249">
        <v>2.6958719460825609E-2</v>
      </c>
      <c r="P249">
        <v>4.2122999157540014E-3</v>
      </c>
      <c r="Q249">
        <v>8.4245998315080029E-4</v>
      </c>
      <c r="R249">
        <v>8.4245998315080029E-4</v>
      </c>
      <c r="S249">
        <v>8.4245998315080029E-4</v>
      </c>
      <c r="T249">
        <v>1</v>
      </c>
    </row>
    <row r="253" spans="2:20" x14ac:dyDescent="0.25">
      <c r="B253" t="s">
        <v>1175</v>
      </c>
      <c r="C253" t="s">
        <v>1192</v>
      </c>
    </row>
    <row r="254" spans="2:20" x14ac:dyDescent="0.25">
      <c r="B254" t="s">
        <v>1188</v>
      </c>
      <c r="C254">
        <v>0</v>
      </c>
      <c r="D254">
        <v>22</v>
      </c>
      <c r="E254">
        <v>40</v>
      </c>
      <c r="F254">
        <v>60</v>
      </c>
      <c r="G254">
        <v>65</v>
      </c>
      <c r="H254">
        <v>70</v>
      </c>
      <c r="I254">
        <v>73</v>
      </c>
      <c r="J254">
        <v>75</v>
      </c>
      <c r="K254">
        <v>77</v>
      </c>
      <c r="L254">
        <v>80</v>
      </c>
      <c r="M254">
        <v>83</v>
      </c>
      <c r="N254">
        <v>85</v>
      </c>
      <c r="O254">
        <v>87</v>
      </c>
      <c r="P254">
        <v>90</v>
      </c>
      <c r="Q254">
        <v>93</v>
      </c>
      <c r="R254">
        <v>95</v>
      </c>
      <c r="S254">
        <v>99</v>
      </c>
      <c r="T254" t="s">
        <v>1177</v>
      </c>
    </row>
    <row r="255" spans="2:20" x14ac:dyDescent="0.25">
      <c r="B255">
        <v>0</v>
      </c>
      <c r="C255">
        <v>0.81962481962481959</v>
      </c>
      <c r="D255">
        <v>2.886002886002886E-3</v>
      </c>
      <c r="E255">
        <v>0</v>
      </c>
      <c r="F255">
        <v>1.443001443001443E-3</v>
      </c>
      <c r="G255">
        <v>4.329004329004329E-3</v>
      </c>
      <c r="H255">
        <v>0</v>
      </c>
      <c r="I255">
        <v>2.886002886002886E-3</v>
      </c>
      <c r="J255">
        <v>8.658008658008658E-3</v>
      </c>
      <c r="K255">
        <v>8.658008658008658E-3</v>
      </c>
      <c r="L255">
        <v>2.5974025974025976E-2</v>
      </c>
      <c r="M255">
        <v>3.1746031746031744E-2</v>
      </c>
      <c r="N255">
        <v>6.9264069264069264E-2</v>
      </c>
      <c r="O255">
        <v>2.0202020202020204E-2</v>
      </c>
      <c r="P255">
        <v>4.329004329004329E-3</v>
      </c>
      <c r="Q255">
        <v>0</v>
      </c>
      <c r="R255">
        <v>0</v>
      </c>
      <c r="S255">
        <v>0</v>
      </c>
      <c r="T255">
        <v>1</v>
      </c>
    </row>
    <row r="256" spans="2:20" x14ac:dyDescent="0.25">
      <c r="B256">
        <v>22</v>
      </c>
      <c r="C256">
        <v>0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</row>
    <row r="257" spans="2:20" x14ac:dyDescent="0.25">
      <c r="B257">
        <v>40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</row>
    <row r="258" spans="2:20" x14ac:dyDescent="0.25">
      <c r="B258">
        <v>60</v>
      </c>
      <c r="C258">
        <v>0.2</v>
      </c>
      <c r="D258">
        <v>0.2</v>
      </c>
      <c r="E258">
        <v>0</v>
      </c>
      <c r="F258">
        <v>0.2</v>
      </c>
      <c r="G258">
        <v>0.2</v>
      </c>
      <c r="H258">
        <v>0</v>
      </c>
      <c r="I258">
        <v>0</v>
      </c>
      <c r="J258">
        <v>0</v>
      </c>
      <c r="K258">
        <v>0</v>
      </c>
      <c r="L258">
        <v>0.2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</row>
    <row r="259" spans="2:20" x14ac:dyDescent="0.25">
      <c r="B259">
        <v>65</v>
      </c>
      <c r="C259">
        <v>0.66666666666666663</v>
      </c>
      <c r="D259">
        <v>0</v>
      </c>
      <c r="E259">
        <v>0</v>
      </c>
      <c r="F259">
        <v>0</v>
      </c>
      <c r="G259">
        <v>0.25</v>
      </c>
      <c r="H259">
        <v>0</v>
      </c>
      <c r="I259">
        <v>0</v>
      </c>
      <c r="J259">
        <v>8.3333333333333329E-2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</row>
    <row r="260" spans="2:20" x14ac:dyDescent="0.25">
      <c r="B260">
        <v>70</v>
      </c>
      <c r="C260">
        <v>7.1428571428571425E-2</v>
      </c>
      <c r="D260">
        <v>7.1428571428571425E-2</v>
      </c>
      <c r="E260">
        <v>0</v>
      </c>
      <c r="F260">
        <v>7.1428571428571425E-2</v>
      </c>
      <c r="G260">
        <v>0</v>
      </c>
      <c r="H260">
        <v>0.2857142857142857</v>
      </c>
      <c r="I260">
        <v>0.21428571428571427</v>
      </c>
      <c r="J260">
        <v>0.14285714285714285</v>
      </c>
      <c r="K260">
        <v>7.1428571428571425E-2</v>
      </c>
      <c r="L260">
        <v>0</v>
      </c>
      <c r="M260">
        <v>0</v>
      </c>
      <c r="N260">
        <v>7.1428571428571425E-2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</row>
    <row r="261" spans="2:20" x14ac:dyDescent="0.25">
      <c r="B261">
        <v>73</v>
      </c>
      <c r="C261">
        <v>0.33333333333333331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0.2857142857142857</v>
      </c>
      <c r="J261">
        <v>4.7619047619047616E-2</v>
      </c>
      <c r="K261">
        <v>0.23809523809523808</v>
      </c>
      <c r="L261">
        <v>4.7619047619047616E-2</v>
      </c>
      <c r="M261">
        <v>4.7619047619047616E-2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</row>
    <row r="262" spans="2:20" x14ac:dyDescent="0.25">
      <c r="B262">
        <v>75</v>
      </c>
      <c r="C262">
        <v>0.35714285714285715</v>
      </c>
      <c r="D262">
        <v>3.5714285714285712E-2</v>
      </c>
      <c r="E262">
        <v>0</v>
      </c>
      <c r="F262">
        <v>0</v>
      </c>
      <c r="G262">
        <v>0</v>
      </c>
      <c r="H262">
        <v>3.5714285714285712E-2</v>
      </c>
      <c r="I262">
        <v>0</v>
      </c>
      <c r="J262">
        <v>0.10714285714285714</v>
      </c>
      <c r="K262">
        <v>7.1428571428571425E-2</v>
      </c>
      <c r="L262">
        <v>0.17857142857142858</v>
      </c>
      <c r="M262">
        <v>0.10714285714285714</v>
      </c>
      <c r="N262">
        <v>7.1428571428571425E-2</v>
      </c>
      <c r="O262">
        <v>3.5714285714285712E-2</v>
      </c>
      <c r="P262">
        <v>0</v>
      </c>
      <c r="Q262">
        <v>0</v>
      </c>
      <c r="R262">
        <v>0</v>
      </c>
      <c r="S262">
        <v>0</v>
      </c>
      <c r="T262">
        <v>1</v>
      </c>
    </row>
    <row r="263" spans="2:20" x14ac:dyDescent="0.25">
      <c r="B263">
        <v>77</v>
      </c>
      <c r="C263">
        <v>0.14285714285714285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2.8571428571428571E-2</v>
      </c>
      <c r="J263">
        <v>0.11428571428571428</v>
      </c>
      <c r="K263">
        <v>0.14285714285714285</v>
      </c>
      <c r="L263">
        <v>0.25714285714285712</v>
      </c>
      <c r="M263">
        <v>0.2857142857142857</v>
      </c>
      <c r="N263">
        <v>2.8571428571428571E-2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</row>
    <row r="264" spans="2:20" x14ac:dyDescent="0.25">
      <c r="B264">
        <v>80</v>
      </c>
      <c r="C264">
        <v>0.2413793103448276</v>
      </c>
      <c r="D264">
        <v>0</v>
      </c>
      <c r="E264">
        <v>0</v>
      </c>
      <c r="F264">
        <v>0</v>
      </c>
      <c r="G264">
        <v>1.7241379310344827E-2</v>
      </c>
      <c r="H264">
        <v>0</v>
      </c>
      <c r="I264">
        <v>3.4482758620689655E-2</v>
      </c>
      <c r="J264">
        <v>3.4482758620689655E-2</v>
      </c>
      <c r="K264">
        <v>0.1206896551724138</v>
      </c>
      <c r="L264">
        <v>0.22413793103448276</v>
      </c>
      <c r="M264">
        <v>0.20689655172413793</v>
      </c>
      <c r="N264">
        <v>0.1206896551724138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2:20" x14ac:dyDescent="0.25">
      <c r="B265">
        <v>83</v>
      </c>
      <c r="C265">
        <v>0.29245283018867924</v>
      </c>
      <c r="D265">
        <v>9.433962264150943E-3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5.6603773584905662E-2</v>
      </c>
      <c r="L265">
        <v>5.6603773584905662E-2</v>
      </c>
      <c r="M265">
        <v>0.25471698113207547</v>
      </c>
      <c r="N265">
        <v>0.22641509433962265</v>
      </c>
      <c r="O265">
        <v>0.10377358490566038</v>
      </c>
      <c r="P265">
        <v>0</v>
      </c>
      <c r="Q265">
        <v>0</v>
      </c>
      <c r="R265">
        <v>0</v>
      </c>
      <c r="S265">
        <v>0</v>
      </c>
      <c r="T265">
        <v>1</v>
      </c>
    </row>
    <row r="266" spans="2:20" x14ac:dyDescent="0.25">
      <c r="B266">
        <v>85</v>
      </c>
      <c r="C266">
        <v>0.17391304347826086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1.0869565217391304E-2</v>
      </c>
      <c r="J266">
        <v>0</v>
      </c>
      <c r="K266">
        <v>1.0869565217391304E-2</v>
      </c>
      <c r="L266">
        <v>2.1739130434782608E-2</v>
      </c>
      <c r="M266">
        <v>7.6086956521739135E-2</v>
      </c>
      <c r="N266">
        <v>0.41304347826086957</v>
      </c>
      <c r="O266">
        <v>0.28260869565217389</v>
      </c>
      <c r="P266">
        <v>1.0869565217391304E-2</v>
      </c>
      <c r="Q266">
        <v>0</v>
      </c>
      <c r="R266">
        <v>0</v>
      </c>
      <c r="S266">
        <v>0</v>
      </c>
      <c r="T266">
        <v>1</v>
      </c>
    </row>
    <row r="267" spans="2:20" x14ac:dyDescent="0.25">
      <c r="B267">
        <v>87</v>
      </c>
      <c r="C267">
        <v>0.16129032258064516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3.2258064516129031E-2</v>
      </c>
      <c r="M267">
        <v>3.2258064516129031E-2</v>
      </c>
      <c r="N267">
        <v>0.19354838709677419</v>
      </c>
      <c r="O267">
        <v>0.4838709677419355</v>
      </c>
      <c r="P267">
        <v>9.6774193548387094E-2</v>
      </c>
      <c r="Q267">
        <v>0</v>
      </c>
      <c r="R267">
        <v>0</v>
      </c>
      <c r="S267">
        <v>0</v>
      </c>
      <c r="T267">
        <v>1</v>
      </c>
    </row>
    <row r="268" spans="2:20" x14ac:dyDescent="0.25">
      <c r="B268">
        <v>90</v>
      </c>
      <c r="C268">
        <v>0</v>
      </c>
      <c r="D268">
        <v>0</v>
      </c>
      <c r="E268">
        <v>0</v>
      </c>
      <c r="F268">
        <v>0</v>
      </c>
      <c r="G268">
        <v>0.25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0.25</v>
      </c>
      <c r="O268">
        <v>0</v>
      </c>
      <c r="P268">
        <v>0.5</v>
      </c>
      <c r="Q268">
        <v>0</v>
      </c>
      <c r="R268">
        <v>0</v>
      </c>
      <c r="S268">
        <v>0</v>
      </c>
      <c r="T268">
        <v>1</v>
      </c>
    </row>
    <row r="269" spans="2:20" x14ac:dyDescent="0.25">
      <c r="B269">
        <v>93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1</v>
      </c>
    </row>
    <row r="270" spans="2:20" x14ac:dyDescent="0.25">
      <c r="B270">
        <v>95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1</v>
      </c>
    </row>
    <row r="271" spans="2:20" x14ac:dyDescent="0.25">
      <c r="B271">
        <v>99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1</v>
      </c>
    </row>
    <row r="272" spans="2:20" x14ac:dyDescent="0.25">
      <c r="B272" t="s">
        <v>1177</v>
      </c>
      <c r="C272">
        <v>0.56107834877843299</v>
      </c>
      <c r="D272">
        <v>7.5821398483572028E-2</v>
      </c>
      <c r="E272">
        <v>8.4245998315080029E-4</v>
      </c>
      <c r="F272">
        <v>2.527379949452401E-3</v>
      </c>
      <c r="G272">
        <v>7.582139848357203E-3</v>
      </c>
      <c r="H272">
        <v>4.2122999157540014E-3</v>
      </c>
      <c r="I272">
        <v>1.2636899747262006E-2</v>
      </c>
      <c r="J272">
        <v>1.6006739679865205E-2</v>
      </c>
      <c r="K272">
        <v>2.780117944397641E-2</v>
      </c>
      <c r="L272">
        <v>4.7177759056444821E-2</v>
      </c>
      <c r="M272">
        <v>6.9924178601516424E-2</v>
      </c>
      <c r="N272">
        <v>0.10783487784330244</v>
      </c>
      <c r="O272">
        <v>5.6444818871103621E-2</v>
      </c>
      <c r="P272">
        <v>7.582139848357203E-3</v>
      </c>
      <c r="Q272">
        <v>8.4245998315080029E-4</v>
      </c>
      <c r="R272">
        <v>8.4245998315080029E-4</v>
      </c>
      <c r="S272">
        <v>8.4245998315080029E-4</v>
      </c>
      <c r="T272">
        <v>1</v>
      </c>
    </row>
    <row r="277" spans="2:20" x14ac:dyDescent="0.25">
      <c r="B277" t="s">
        <v>1175</v>
      </c>
      <c r="C277" t="s">
        <v>1193</v>
      </c>
    </row>
    <row r="278" spans="2:20" x14ac:dyDescent="0.25">
      <c r="B278" t="s">
        <v>1189</v>
      </c>
      <c r="C278">
        <v>0</v>
      </c>
      <c r="D278">
        <v>22</v>
      </c>
      <c r="E278">
        <v>40</v>
      </c>
      <c r="F278">
        <v>60</v>
      </c>
      <c r="G278">
        <v>65</v>
      </c>
      <c r="H278">
        <v>70</v>
      </c>
      <c r="I278">
        <v>73</v>
      </c>
      <c r="J278">
        <v>75</v>
      </c>
      <c r="K278">
        <v>77</v>
      </c>
      <c r="L278">
        <v>80</v>
      </c>
      <c r="M278">
        <v>83</v>
      </c>
      <c r="N278">
        <v>85</v>
      </c>
      <c r="O278">
        <v>87</v>
      </c>
      <c r="P278">
        <v>90</v>
      </c>
      <c r="Q278">
        <v>93</v>
      </c>
      <c r="R278">
        <v>95</v>
      </c>
      <c r="S278">
        <v>99</v>
      </c>
      <c r="T278" t="s">
        <v>1177</v>
      </c>
    </row>
    <row r="279" spans="2:20" x14ac:dyDescent="0.25">
      <c r="B279">
        <v>0</v>
      </c>
      <c r="C279">
        <v>0.7944444444444444</v>
      </c>
      <c r="D279">
        <v>2.7777777777777779E-3</v>
      </c>
      <c r="E279">
        <v>0</v>
      </c>
      <c r="F279">
        <v>1.3888888888888889E-3</v>
      </c>
      <c r="G279">
        <v>2.7777777777777779E-3</v>
      </c>
      <c r="H279">
        <v>0</v>
      </c>
      <c r="I279">
        <v>2.7777777777777779E-3</v>
      </c>
      <c r="J279">
        <v>6.9444444444444441E-3</v>
      </c>
      <c r="K279">
        <v>9.7222222222222224E-3</v>
      </c>
      <c r="L279">
        <v>1.6666666666666666E-2</v>
      </c>
      <c r="M279">
        <v>5.5555555555555552E-2</v>
      </c>
      <c r="N279">
        <v>7.7777777777777779E-2</v>
      </c>
      <c r="O279">
        <v>2.6388888888888889E-2</v>
      </c>
      <c r="P279">
        <v>2.7777777777777779E-3</v>
      </c>
      <c r="Q279">
        <v>0</v>
      </c>
      <c r="R279">
        <v>0</v>
      </c>
      <c r="S279">
        <v>0</v>
      </c>
      <c r="T279">
        <v>1</v>
      </c>
    </row>
    <row r="280" spans="2:20" x14ac:dyDescent="0.25">
      <c r="B280">
        <v>22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</row>
    <row r="281" spans="2:20" x14ac:dyDescent="0.25">
      <c r="B281">
        <v>40</v>
      </c>
      <c r="C281">
        <v>0</v>
      </c>
      <c r="D281">
        <v>0</v>
      </c>
      <c r="E281">
        <v>0.5</v>
      </c>
      <c r="F281">
        <v>0.5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</row>
    <row r="282" spans="2:20" x14ac:dyDescent="0.25">
      <c r="B282">
        <v>60</v>
      </c>
      <c r="C282">
        <v>0.2</v>
      </c>
      <c r="D282">
        <v>0.4</v>
      </c>
      <c r="E282">
        <v>0</v>
      </c>
      <c r="F282">
        <v>0.2</v>
      </c>
      <c r="G282">
        <v>0.2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</row>
    <row r="283" spans="2:20" x14ac:dyDescent="0.25">
      <c r="B283">
        <v>65</v>
      </c>
      <c r="C283">
        <v>0.47368421052631576</v>
      </c>
      <c r="D283">
        <v>0.10526315789473684</v>
      </c>
      <c r="E283">
        <v>0</v>
      </c>
      <c r="F283">
        <v>5.2631578947368418E-2</v>
      </c>
      <c r="G283">
        <v>0.21052631578947367</v>
      </c>
      <c r="H283">
        <v>0</v>
      </c>
      <c r="I283">
        <v>5.2631578947368418E-2</v>
      </c>
      <c r="J283">
        <v>0</v>
      </c>
      <c r="K283">
        <v>5.2631578947368418E-2</v>
      </c>
      <c r="L283">
        <v>0</v>
      </c>
      <c r="M283">
        <v>5.2631578947368418E-2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</row>
    <row r="284" spans="2:20" x14ac:dyDescent="0.25">
      <c r="B284">
        <v>70</v>
      </c>
      <c r="C284">
        <v>0.29411764705882354</v>
      </c>
      <c r="D284">
        <v>5.8823529411764705E-2</v>
      </c>
      <c r="E284">
        <v>0</v>
      </c>
      <c r="F284">
        <v>0</v>
      </c>
      <c r="G284">
        <v>0</v>
      </c>
      <c r="H284">
        <v>0.11764705882352941</v>
      </c>
      <c r="I284">
        <v>0.23529411764705882</v>
      </c>
      <c r="J284">
        <v>0.17647058823529413</v>
      </c>
      <c r="K284">
        <v>0.11764705882352941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2:20" x14ac:dyDescent="0.25">
      <c r="B285">
        <v>73</v>
      </c>
      <c r="C285">
        <v>0.3125</v>
      </c>
      <c r="D285">
        <v>0</v>
      </c>
      <c r="E285">
        <v>0</v>
      </c>
      <c r="F285">
        <v>0</v>
      </c>
      <c r="G285">
        <v>0</v>
      </c>
      <c r="H285">
        <v>6.25E-2</v>
      </c>
      <c r="I285">
        <v>0.3125</v>
      </c>
      <c r="J285">
        <v>6.25E-2</v>
      </c>
      <c r="K285">
        <v>6.25E-2</v>
      </c>
      <c r="L285">
        <v>0.1875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</row>
    <row r="286" spans="2:20" x14ac:dyDescent="0.25">
      <c r="B286">
        <v>75</v>
      </c>
      <c r="C286">
        <v>0.22727272727272727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4.5454545454545456E-2</v>
      </c>
      <c r="K286">
        <v>0.27272727272727271</v>
      </c>
      <c r="L286">
        <v>0.31818181818181818</v>
      </c>
      <c r="M286">
        <v>0.13636363636363635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2:20" x14ac:dyDescent="0.25">
      <c r="B287">
        <v>77</v>
      </c>
      <c r="C287">
        <v>0.21875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0.125</v>
      </c>
      <c r="J287">
        <v>0</v>
      </c>
      <c r="K287">
        <v>0.34375</v>
      </c>
      <c r="L287">
        <v>6.25E-2</v>
      </c>
      <c r="M287">
        <v>0.21875</v>
      </c>
      <c r="N287">
        <v>0</v>
      </c>
      <c r="O287">
        <v>3.125E-2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2:20" x14ac:dyDescent="0.25">
      <c r="B288">
        <v>80</v>
      </c>
      <c r="C288">
        <v>0.22413793103448276</v>
      </c>
      <c r="D288">
        <v>0</v>
      </c>
      <c r="E288">
        <v>0</v>
      </c>
      <c r="F288">
        <v>0</v>
      </c>
      <c r="G288">
        <v>0</v>
      </c>
      <c r="H288">
        <v>5.1724137931034482E-2</v>
      </c>
      <c r="I288">
        <v>0</v>
      </c>
      <c r="J288">
        <v>3.4482758620689655E-2</v>
      </c>
      <c r="K288">
        <v>0.1206896551724138</v>
      </c>
      <c r="L288">
        <v>0.20689655172413793</v>
      </c>
      <c r="M288">
        <v>0.25862068965517243</v>
      </c>
      <c r="N288">
        <v>8.6206896551724144E-2</v>
      </c>
      <c r="O288">
        <v>1.7241379310344827E-2</v>
      </c>
      <c r="P288">
        <v>0</v>
      </c>
      <c r="Q288">
        <v>0</v>
      </c>
      <c r="R288">
        <v>0</v>
      </c>
      <c r="S288">
        <v>0</v>
      </c>
      <c r="T288">
        <v>1</v>
      </c>
    </row>
    <row r="289" spans="2:20" x14ac:dyDescent="0.25">
      <c r="B289">
        <v>83</v>
      </c>
      <c r="C289">
        <v>0.21978021978021978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1.098901098901099E-2</v>
      </c>
      <c r="J289">
        <v>0</v>
      </c>
      <c r="K289">
        <v>3.2967032967032968E-2</v>
      </c>
      <c r="L289">
        <v>7.6923076923076927E-2</v>
      </c>
      <c r="M289">
        <v>0.25274725274725274</v>
      </c>
      <c r="N289">
        <v>0.35164835164835168</v>
      </c>
      <c r="O289">
        <v>5.4945054945054944E-2</v>
      </c>
      <c r="P289">
        <v>0</v>
      </c>
      <c r="Q289">
        <v>0</v>
      </c>
      <c r="R289">
        <v>0</v>
      </c>
      <c r="S289">
        <v>0</v>
      </c>
      <c r="T289">
        <v>1</v>
      </c>
    </row>
    <row r="290" spans="2:20" x14ac:dyDescent="0.25">
      <c r="B290">
        <v>85</v>
      </c>
      <c r="C290">
        <v>0.21590909090909091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1.1363636363636364E-2</v>
      </c>
      <c r="K290">
        <v>2.2727272727272728E-2</v>
      </c>
      <c r="L290">
        <v>3.4090909090909088E-2</v>
      </c>
      <c r="M290">
        <v>0.125</v>
      </c>
      <c r="N290">
        <v>0.32954545454545453</v>
      </c>
      <c r="O290">
        <v>0.26136363636363635</v>
      </c>
      <c r="P290">
        <v>0</v>
      </c>
      <c r="Q290">
        <v>0</v>
      </c>
      <c r="R290">
        <v>0</v>
      </c>
      <c r="S290">
        <v>0</v>
      </c>
      <c r="T290">
        <v>1</v>
      </c>
    </row>
    <row r="291" spans="2:20" x14ac:dyDescent="0.25">
      <c r="B291">
        <v>87</v>
      </c>
      <c r="C291">
        <v>0.2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0.04</v>
      </c>
      <c r="N291">
        <v>0.32</v>
      </c>
      <c r="O291">
        <v>0.32</v>
      </c>
      <c r="P291">
        <v>0.12</v>
      </c>
      <c r="Q291">
        <v>0</v>
      </c>
      <c r="R291">
        <v>0</v>
      </c>
      <c r="S291">
        <v>0</v>
      </c>
      <c r="T291">
        <v>1</v>
      </c>
    </row>
    <row r="292" spans="2:20" x14ac:dyDescent="0.25">
      <c r="B292">
        <v>90</v>
      </c>
      <c r="C292">
        <v>0.25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0.5</v>
      </c>
      <c r="P292">
        <v>0.25</v>
      </c>
      <c r="Q292">
        <v>0</v>
      </c>
      <c r="R292">
        <v>0</v>
      </c>
      <c r="S292">
        <v>0</v>
      </c>
      <c r="T292">
        <v>1</v>
      </c>
    </row>
    <row r="293" spans="2:20" x14ac:dyDescent="0.25">
      <c r="B293">
        <v>93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1</v>
      </c>
    </row>
    <row r="294" spans="2:20" x14ac:dyDescent="0.25">
      <c r="B294">
        <v>95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1</v>
      </c>
    </row>
    <row r="295" spans="2:20" x14ac:dyDescent="0.25">
      <c r="B295">
        <v>99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0.5</v>
      </c>
      <c r="O295">
        <v>0</v>
      </c>
      <c r="P295">
        <v>0</v>
      </c>
      <c r="Q295">
        <v>0</v>
      </c>
      <c r="R295">
        <v>0</v>
      </c>
      <c r="S295">
        <v>0.5</v>
      </c>
      <c r="T295">
        <v>1</v>
      </c>
    </row>
    <row r="296" spans="2:20" x14ac:dyDescent="0.25">
      <c r="B296" t="s">
        <v>1177</v>
      </c>
      <c r="C296">
        <v>0.55770850884582979</v>
      </c>
      <c r="D296">
        <v>7.6663858466722828E-2</v>
      </c>
      <c r="E296">
        <v>8.4245998315080029E-4</v>
      </c>
      <c r="F296">
        <v>3.3698399326032012E-3</v>
      </c>
      <c r="G296">
        <v>5.8972198820556026E-3</v>
      </c>
      <c r="H296">
        <v>5.054759898904802E-3</v>
      </c>
      <c r="I296">
        <v>1.4321819713563605E-2</v>
      </c>
      <c r="J296">
        <v>1.0951979780960405E-2</v>
      </c>
      <c r="K296">
        <v>3.3698399326032011E-2</v>
      </c>
      <c r="L296">
        <v>3.8753159224936815E-2</v>
      </c>
      <c r="M296">
        <v>8.5088458298230835E-2</v>
      </c>
      <c r="N296">
        <v>0.11036225779275484</v>
      </c>
      <c r="O296">
        <v>4.9705139005897223E-2</v>
      </c>
      <c r="P296">
        <v>5.054759898904802E-3</v>
      </c>
      <c r="Q296">
        <v>8.4245998315080029E-4</v>
      </c>
      <c r="R296">
        <v>8.4245998315080029E-4</v>
      </c>
      <c r="S296">
        <v>8.4245998315080029E-4</v>
      </c>
      <c r="T296">
        <v>1</v>
      </c>
    </row>
    <row r="301" spans="2:20" x14ac:dyDescent="0.25">
      <c r="B301" t="s">
        <v>1175</v>
      </c>
      <c r="C301" t="s">
        <v>1194</v>
      </c>
    </row>
    <row r="302" spans="2:20" x14ac:dyDescent="0.25">
      <c r="B302" t="s">
        <v>1190</v>
      </c>
      <c r="C302">
        <v>0</v>
      </c>
      <c r="D302">
        <v>22</v>
      </c>
      <c r="E302">
        <v>40</v>
      </c>
      <c r="F302">
        <v>60</v>
      </c>
      <c r="G302">
        <v>65</v>
      </c>
      <c r="H302">
        <v>70</v>
      </c>
      <c r="I302">
        <v>73</v>
      </c>
      <c r="J302">
        <v>75</v>
      </c>
      <c r="K302">
        <v>77</v>
      </c>
      <c r="L302">
        <v>80</v>
      </c>
      <c r="M302">
        <v>83</v>
      </c>
      <c r="N302">
        <v>85</v>
      </c>
      <c r="O302">
        <v>87</v>
      </c>
      <c r="P302">
        <v>90</v>
      </c>
      <c r="Q302">
        <v>93</v>
      </c>
      <c r="R302">
        <v>95</v>
      </c>
      <c r="S302">
        <v>99</v>
      </c>
      <c r="T302" t="s">
        <v>1177</v>
      </c>
    </row>
    <row r="303" spans="2:20" x14ac:dyDescent="0.25">
      <c r="B303">
        <v>0</v>
      </c>
      <c r="C303">
        <v>0.78243243243243243</v>
      </c>
      <c r="D303">
        <v>2.7027027027027029E-3</v>
      </c>
      <c r="E303">
        <v>0</v>
      </c>
      <c r="F303">
        <v>1.3513513513513514E-3</v>
      </c>
      <c r="G303">
        <v>1.3513513513513514E-3</v>
      </c>
      <c r="H303">
        <v>2.7027027027027029E-3</v>
      </c>
      <c r="I303">
        <v>5.4054054054054057E-3</v>
      </c>
      <c r="J303">
        <v>6.7567567567567571E-3</v>
      </c>
      <c r="K303">
        <v>1.2162162162162163E-2</v>
      </c>
      <c r="L303">
        <v>2.837837837837838E-2</v>
      </c>
      <c r="M303">
        <v>5.2702702702702706E-2</v>
      </c>
      <c r="N303">
        <v>7.567567567567568E-2</v>
      </c>
      <c r="O303">
        <v>2.4324324324324326E-2</v>
      </c>
      <c r="P303">
        <v>4.0540540540540543E-3</v>
      </c>
      <c r="Q303">
        <v>0</v>
      </c>
      <c r="R303">
        <v>0</v>
      </c>
      <c r="S303">
        <v>0</v>
      </c>
      <c r="T303">
        <v>1</v>
      </c>
    </row>
    <row r="304" spans="2:20" x14ac:dyDescent="0.25">
      <c r="B304">
        <v>22</v>
      </c>
      <c r="C304">
        <v>0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</row>
    <row r="305" spans="2:20" x14ac:dyDescent="0.25">
      <c r="B305">
        <v>40</v>
      </c>
      <c r="C305">
        <v>0.33333333333333331</v>
      </c>
      <c r="D305">
        <v>0.33333333333333331</v>
      </c>
      <c r="E305">
        <v>0.33333333333333331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</row>
    <row r="306" spans="2:20" x14ac:dyDescent="0.25">
      <c r="B306">
        <v>60</v>
      </c>
      <c r="C306">
        <v>0</v>
      </c>
      <c r="D306">
        <v>0</v>
      </c>
      <c r="E306">
        <v>0</v>
      </c>
      <c r="F306">
        <v>0.5</v>
      </c>
      <c r="G306">
        <v>0.5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</row>
    <row r="307" spans="2:20" x14ac:dyDescent="0.25">
      <c r="B307">
        <v>65</v>
      </c>
      <c r="C307">
        <v>0.4</v>
      </c>
      <c r="D307">
        <v>0</v>
      </c>
      <c r="E307">
        <v>0</v>
      </c>
      <c r="F307">
        <v>0.2</v>
      </c>
      <c r="G307">
        <v>0.2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0.2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</row>
    <row r="308" spans="2:20" x14ac:dyDescent="0.25">
      <c r="B308">
        <v>70</v>
      </c>
      <c r="C308">
        <v>0.4</v>
      </c>
      <c r="D308">
        <v>6.6666666666666666E-2</v>
      </c>
      <c r="E308">
        <v>0</v>
      </c>
      <c r="F308">
        <v>0</v>
      </c>
      <c r="G308">
        <v>6.6666666666666666E-2</v>
      </c>
      <c r="H308">
        <v>6.6666666666666666E-2</v>
      </c>
      <c r="I308">
        <v>0.26666666666666666</v>
      </c>
      <c r="J308">
        <v>6.6666666666666666E-2</v>
      </c>
      <c r="K308">
        <v>0</v>
      </c>
      <c r="L308">
        <v>6.6666666666666666E-2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</row>
    <row r="309" spans="2:20" x14ac:dyDescent="0.25">
      <c r="B309">
        <v>73</v>
      </c>
      <c r="C309">
        <v>0.2</v>
      </c>
      <c r="D309">
        <v>0</v>
      </c>
      <c r="E309">
        <v>0</v>
      </c>
      <c r="F309">
        <v>0</v>
      </c>
      <c r="G309">
        <v>0.1</v>
      </c>
      <c r="H309">
        <v>0.1</v>
      </c>
      <c r="I309">
        <v>0.5</v>
      </c>
      <c r="J309">
        <v>0</v>
      </c>
      <c r="K309">
        <v>0.1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</row>
    <row r="310" spans="2:20" x14ac:dyDescent="0.25">
      <c r="B310">
        <v>75</v>
      </c>
      <c r="C310">
        <v>0.36</v>
      </c>
      <c r="D310">
        <v>0</v>
      </c>
      <c r="E310">
        <v>0</v>
      </c>
      <c r="F310">
        <v>0</v>
      </c>
      <c r="G310">
        <v>0</v>
      </c>
      <c r="H310">
        <v>0.08</v>
      </c>
      <c r="I310">
        <v>0.12</v>
      </c>
      <c r="J310">
        <v>0.12</v>
      </c>
      <c r="K310">
        <v>0.08</v>
      </c>
      <c r="L310">
        <v>0.12</v>
      </c>
      <c r="M310">
        <v>0.12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</row>
    <row r="311" spans="2:20" x14ac:dyDescent="0.25">
      <c r="B311">
        <v>77</v>
      </c>
      <c r="C311">
        <v>0.21428571428571427</v>
      </c>
      <c r="D311">
        <v>0</v>
      </c>
      <c r="E311">
        <v>0</v>
      </c>
      <c r="F311">
        <v>0</v>
      </c>
      <c r="G311">
        <v>3.5714285714285712E-2</v>
      </c>
      <c r="H311">
        <v>0</v>
      </c>
      <c r="I311">
        <v>7.1428571428571425E-2</v>
      </c>
      <c r="J311">
        <v>0</v>
      </c>
      <c r="K311">
        <v>0.14285714285714285</v>
      </c>
      <c r="L311">
        <v>0.2857142857142857</v>
      </c>
      <c r="M311">
        <v>0.21428571428571427</v>
      </c>
      <c r="N311">
        <v>3.5714285714285712E-2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</row>
    <row r="312" spans="2:20" x14ac:dyDescent="0.25">
      <c r="B312">
        <v>80</v>
      </c>
      <c r="C312">
        <v>0.16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0.02</v>
      </c>
      <c r="J312">
        <v>0.08</v>
      </c>
      <c r="K312">
        <v>0.12</v>
      </c>
      <c r="L312">
        <v>0.36</v>
      </c>
      <c r="M312">
        <v>0.16</v>
      </c>
      <c r="N312">
        <v>0.1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</row>
    <row r="313" spans="2:20" x14ac:dyDescent="0.25">
      <c r="B313">
        <v>83</v>
      </c>
      <c r="C313">
        <v>0.23255813953488372</v>
      </c>
      <c r="D313">
        <v>0</v>
      </c>
      <c r="E313">
        <v>0</v>
      </c>
      <c r="F313">
        <v>0</v>
      </c>
      <c r="G313">
        <v>0</v>
      </c>
      <c r="H313">
        <v>1.1627906976744186E-2</v>
      </c>
      <c r="I313">
        <v>1.1627906976744186E-2</v>
      </c>
      <c r="J313">
        <v>3.4883720930232558E-2</v>
      </c>
      <c r="K313">
        <v>2.3255813953488372E-2</v>
      </c>
      <c r="L313">
        <v>0.11627906976744186</v>
      </c>
      <c r="M313">
        <v>0.31395348837209303</v>
      </c>
      <c r="N313">
        <v>0.23255813953488372</v>
      </c>
      <c r="O313">
        <v>1.1627906976744186E-2</v>
      </c>
      <c r="P313">
        <v>0</v>
      </c>
      <c r="Q313">
        <v>0</v>
      </c>
      <c r="R313">
        <v>1.1627906976744186E-2</v>
      </c>
      <c r="S313">
        <v>0</v>
      </c>
      <c r="T313">
        <v>1</v>
      </c>
    </row>
    <row r="314" spans="2:20" x14ac:dyDescent="0.25">
      <c r="B314">
        <v>85</v>
      </c>
      <c r="C314">
        <v>0.23456790123456789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1.2345679012345678E-2</v>
      </c>
      <c r="L314">
        <v>2.4691358024691357E-2</v>
      </c>
      <c r="M314">
        <v>7.407407407407407E-2</v>
      </c>
      <c r="N314">
        <v>0.50617283950617287</v>
      </c>
      <c r="O314">
        <v>0.14814814814814814</v>
      </c>
      <c r="P314">
        <v>0</v>
      </c>
      <c r="Q314">
        <v>0</v>
      </c>
      <c r="R314">
        <v>0</v>
      </c>
      <c r="S314">
        <v>0</v>
      </c>
      <c r="T314">
        <v>1</v>
      </c>
    </row>
    <row r="315" spans="2:20" x14ac:dyDescent="0.25">
      <c r="B315">
        <v>87</v>
      </c>
      <c r="C315">
        <v>0.15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2.5000000000000001E-2</v>
      </c>
      <c r="M315">
        <v>2.5000000000000001E-2</v>
      </c>
      <c r="N315">
        <v>0.25</v>
      </c>
      <c r="O315">
        <v>0.5</v>
      </c>
      <c r="P315">
        <v>0.05</v>
      </c>
      <c r="Q315">
        <v>0</v>
      </c>
      <c r="R315">
        <v>0</v>
      </c>
      <c r="S315">
        <v>0</v>
      </c>
      <c r="T315">
        <v>1</v>
      </c>
    </row>
    <row r="316" spans="2:20" x14ac:dyDescent="0.25">
      <c r="B316">
        <v>90</v>
      </c>
      <c r="C316">
        <v>0.16666666666666666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0.16666666666666666</v>
      </c>
      <c r="M316">
        <v>0</v>
      </c>
      <c r="N316">
        <v>0.33333333333333331</v>
      </c>
      <c r="O316">
        <v>0.16666666666666666</v>
      </c>
      <c r="P316">
        <v>0.16666666666666666</v>
      </c>
      <c r="Q316">
        <v>0</v>
      </c>
      <c r="R316">
        <v>0</v>
      </c>
      <c r="S316">
        <v>0</v>
      </c>
      <c r="T316">
        <v>1</v>
      </c>
    </row>
    <row r="317" spans="2:20" x14ac:dyDescent="0.25">
      <c r="B317">
        <v>93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1</v>
      </c>
    </row>
    <row r="318" spans="2:20" x14ac:dyDescent="0.25">
      <c r="B318">
        <v>95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1</v>
      </c>
    </row>
    <row r="319" spans="2:20" x14ac:dyDescent="0.25">
      <c r="B319">
        <v>99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</row>
    <row r="320" spans="2:20" x14ac:dyDescent="0.25">
      <c r="B320" t="s">
        <v>1177</v>
      </c>
      <c r="C320">
        <v>0.55686604886267899</v>
      </c>
      <c r="D320">
        <v>7.7506318449873629E-2</v>
      </c>
      <c r="E320">
        <v>8.4245998315080029E-4</v>
      </c>
      <c r="F320">
        <v>3.3698399326032012E-3</v>
      </c>
      <c r="G320">
        <v>5.8972198820556026E-3</v>
      </c>
      <c r="H320">
        <v>5.8972198820556026E-3</v>
      </c>
      <c r="I320">
        <v>1.6849199663016005E-2</v>
      </c>
      <c r="J320">
        <v>1.3479359730412805E-2</v>
      </c>
      <c r="K320">
        <v>2.1061499578770009E-2</v>
      </c>
      <c r="L320">
        <v>5.4759898904802019E-2</v>
      </c>
      <c r="M320">
        <v>7.7506318449873629E-2</v>
      </c>
      <c r="N320">
        <v>0.11373209772535804</v>
      </c>
      <c r="O320">
        <v>4.3807919123841618E-2</v>
      </c>
      <c r="P320">
        <v>5.054759898904802E-3</v>
      </c>
      <c r="Q320">
        <v>8.4245998315080029E-4</v>
      </c>
      <c r="R320">
        <v>1.6849199663016006E-3</v>
      </c>
      <c r="S320">
        <v>8.4245998315080029E-4</v>
      </c>
      <c r="T320">
        <v>1</v>
      </c>
    </row>
    <row r="325" spans="2:20" x14ac:dyDescent="0.25">
      <c r="B325" t="s">
        <v>1175</v>
      </c>
      <c r="C325" t="s">
        <v>1195</v>
      </c>
    </row>
    <row r="326" spans="2:20" x14ac:dyDescent="0.25">
      <c r="B326" t="s">
        <v>1191</v>
      </c>
      <c r="C326">
        <v>0</v>
      </c>
      <c r="D326">
        <v>22</v>
      </c>
      <c r="E326">
        <v>40</v>
      </c>
      <c r="F326">
        <v>60</v>
      </c>
      <c r="G326">
        <v>65</v>
      </c>
      <c r="H326">
        <v>70</v>
      </c>
      <c r="I326">
        <v>73</v>
      </c>
      <c r="J326">
        <v>75</v>
      </c>
      <c r="K326">
        <v>77</v>
      </c>
      <c r="L326">
        <v>80</v>
      </c>
      <c r="M326">
        <v>83</v>
      </c>
      <c r="N326">
        <v>85</v>
      </c>
      <c r="O326">
        <v>87</v>
      </c>
      <c r="P326">
        <v>90</v>
      </c>
      <c r="Q326">
        <v>93</v>
      </c>
      <c r="R326">
        <v>95</v>
      </c>
      <c r="S326">
        <v>99</v>
      </c>
      <c r="T326" t="s">
        <v>1177</v>
      </c>
    </row>
    <row r="327" spans="2:20" x14ac:dyDescent="0.25">
      <c r="B327">
        <v>0</v>
      </c>
      <c r="C327">
        <v>0.77135348226018396</v>
      </c>
      <c r="D327">
        <v>2.6281208935611039E-3</v>
      </c>
      <c r="E327">
        <v>0</v>
      </c>
      <c r="F327">
        <v>2.6281208935611039E-3</v>
      </c>
      <c r="G327">
        <v>0</v>
      </c>
      <c r="H327">
        <v>2.6281208935611039E-3</v>
      </c>
      <c r="I327">
        <v>1.0512483574244415E-2</v>
      </c>
      <c r="J327">
        <v>2.6281208935611039E-3</v>
      </c>
      <c r="K327">
        <v>1.9710906701708279E-2</v>
      </c>
      <c r="L327">
        <v>3.4165571616294348E-2</v>
      </c>
      <c r="M327">
        <v>4.5992115637319315E-2</v>
      </c>
      <c r="N327">
        <v>7.2273324572930356E-2</v>
      </c>
      <c r="O327">
        <v>3.2851511169513799E-2</v>
      </c>
      <c r="P327">
        <v>2.6281208935611039E-3</v>
      </c>
      <c r="Q327">
        <v>0</v>
      </c>
      <c r="R327">
        <v>0</v>
      </c>
      <c r="S327">
        <v>0</v>
      </c>
      <c r="T327">
        <v>1</v>
      </c>
    </row>
    <row r="328" spans="2:20" x14ac:dyDescent="0.25">
      <c r="B328">
        <v>22</v>
      </c>
      <c r="C328">
        <v>0</v>
      </c>
      <c r="D328">
        <v>1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</row>
    <row r="329" spans="2:20" x14ac:dyDescent="0.25">
      <c r="B329">
        <v>40</v>
      </c>
      <c r="C329">
        <v>0</v>
      </c>
      <c r="D329">
        <v>0</v>
      </c>
      <c r="E329">
        <v>0.5</v>
      </c>
      <c r="F329">
        <v>0</v>
      </c>
      <c r="G329">
        <v>0</v>
      </c>
      <c r="H329">
        <v>0</v>
      </c>
      <c r="I329">
        <v>0.5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</row>
    <row r="330" spans="2:20" x14ac:dyDescent="0.25">
      <c r="B330">
        <v>60</v>
      </c>
      <c r="C330">
        <v>0.33333333333333331</v>
      </c>
      <c r="D330">
        <v>0</v>
      </c>
      <c r="E330">
        <v>0</v>
      </c>
      <c r="F330">
        <v>0.33333333333333331</v>
      </c>
      <c r="G330">
        <v>0.33333333333333331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</row>
    <row r="331" spans="2:20" x14ac:dyDescent="0.25">
      <c r="B331">
        <v>65</v>
      </c>
      <c r="C331">
        <v>0.625</v>
      </c>
      <c r="D331">
        <v>0.125</v>
      </c>
      <c r="E331">
        <v>0</v>
      </c>
      <c r="F331">
        <v>0.125</v>
      </c>
      <c r="G331">
        <v>0.125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</row>
    <row r="332" spans="2:20" x14ac:dyDescent="0.25">
      <c r="B332">
        <v>70</v>
      </c>
      <c r="C332">
        <v>0.33333333333333331</v>
      </c>
      <c r="D332">
        <v>0</v>
      </c>
      <c r="E332">
        <v>0</v>
      </c>
      <c r="F332">
        <v>0</v>
      </c>
      <c r="G332">
        <v>8.3333333333333329E-2</v>
      </c>
      <c r="H332">
        <v>0.16666666666666666</v>
      </c>
      <c r="I332">
        <v>0.16666666666666666</v>
      </c>
      <c r="J332">
        <v>8.3333333333333329E-2</v>
      </c>
      <c r="K332">
        <v>0.16666666666666666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</row>
    <row r="333" spans="2:20" x14ac:dyDescent="0.25">
      <c r="B333">
        <v>73</v>
      </c>
      <c r="C333">
        <v>0.3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0.3</v>
      </c>
      <c r="J333">
        <v>0.1</v>
      </c>
      <c r="K333">
        <v>0.3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</row>
    <row r="334" spans="2:20" x14ac:dyDescent="0.25">
      <c r="B334">
        <v>75</v>
      </c>
      <c r="C334">
        <v>0.3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0.15</v>
      </c>
      <c r="J334">
        <v>0.1</v>
      </c>
      <c r="K334">
        <v>0.4</v>
      </c>
      <c r="L334">
        <v>0.05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</row>
    <row r="335" spans="2:20" x14ac:dyDescent="0.25">
      <c r="B335">
        <v>77</v>
      </c>
      <c r="C335">
        <v>0.21875</v>
      </c>
      <c r="D335">
        <v>0</v>
      </c>
      <c r="E335">
        <v>0</v>
      </c>
      <c r="F335">
        <v>0</v>
      </c>
      <c r="G335">
        <v>0</v>
      </c>
      <c r="H335">
        <v>3.125E-2</v>
      </c>
      <c r="I335">
        <v>0</v>
      </c>
      <c r="J335">
        <v>0.125</v>
      </c>
      <c r="K335">
        <v>0.21875</v>
      </c>
      <c r="L335">
        <v>0.1875</v>
      </c>
      <c r="M335">
        <v>0.125</v>
      </c>
      <c r="N335">
        <v>9.375E-2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</row>
    <row r="336" spans="2:20" x14ac:dyDescent="0.25">
      <c r="B336">
        <v>80</v>
      </c>
      <c r="C336">
        <v>0.15094339622641509</v>
      </c>
      <c r="D336">
        <v>0</v>
      </c>
      <c r="E336">
        <v>0</v>
      </c>
      <c r="F336">
        <v>0</v>
      </c>
      <c r="G336">
        <v>1.8867924528301886E-2</v>
      </c>
      <c r="H336">
        <v>0</v>
      </c>
      <c r="I336">
        <v>7.5471698113207544E-2</v>
      </c>
      <c r="J336">
        <v>0</v>
      </c>
      <c r="K336">
        <v>0.13207547169811321</v>
      </c>
      <c r="L336">
        <v>0.32075471698113206</v>
      </c>
      <c r="M336">
        <v>0.18867924528301888</v>
      </c>
      <c r="N336">
        <v>7.5471698113207544E-2</v>
      </c>
      <c r="O336">
        <v>1.8867924528301886E-2</v>
      </c>
      <c r="P336">
        <v>0</v>
      </c>
      <c r="Q336">
        <v>0</v>
      </c>
      <c r="R336">
        <v>1.8867924528301886E-2</v>
      </c>
      <c r="S336">
        <v>0</v>
      </c>
      <c r="T336">
        <v>1</v>
      </c>
    </row>
    <row r="337" spans="2:20" x14ac:dyDescent="0.25">
      <c r="B337">
        <v>83</v>
      </c>
      <c r="C337">
        <v>0.22058823529411764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1.4705882352941176E-2</v>
      </c>
      <c r="J337">
        <v>0</v>
      </c>
      <c r="K337">
        <v>1.4705882352941176E-2</v>
      </c>
      <c r="L337">
        <v>0.10294117647058823</v>
      </c>
      <c r="M337">
        <v>0.30882352941176472</v>
      </c>
      <c r="N337">
        <v>0.3235294117647059</v>
      </c>
      <c r="O337">
        <v>0</v>
      </c>
      <c r="P337">
        <v>0</v>
      </c>
      <c r="Q337">
        <v>0</v>
      </c>
      <c r="R337">
        <v>1.4705882352941176E-2</v>
      </c>
      <c r="S337">
        <v>0</v>
      </c>
      <c r="T337">
        <v>1</v>
      </c>
    </row>
    <row r="338" spans="2:20" x14ac:dyDescent="0.25">
      <c r="B338">
        <v>85</v>
      </c>
      <c r="C338">
        <v>0.23595505617977527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1.1235955056179775E-2</v>
      </c>
      <c r="K338">
        <v>2.247191011235955E-2</v>
      </c>
      <c r="L338">
        <v>4.49438202247191E-2</v>
      </c>
      <c r="M338">
        <v>0.10112359550561797</v>
      </c>
      <c r="N338">
        <v>0.42696629213483145</v>
      </c>
      <c r="O338">
        <v>0.15730337078651685</v>
      </c>
      <c r="P338">
        <v>0</v>
      </c>
      <c r="Q338">
        <v>0</v>
      </c>
      <c r="R338">
        <v>0</v>
      </c>
      <c r="S338">
        <v>0</v>
      </c>
      <c r="T338">
        <v>1</v>
      </c>
    </row>
    <row r="339" spans="2:20" x14ac:dyDescent="0.25">
      <c r="B339">
        <v>87</v>
      </c>
      <c r="C339">
        <v>0.125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3.125E-2</v>
      </c>
      <c r="L339">
        <v>3.125E-2</v>
      </c>
      <c r="M339">
        <v>0</v>
      </c>
      <c r="N339">
        <v>0.125</v>
      </c>
      <c r="O339">
        <v>0.65625</v>
      </c>
      <c r="P339">
        <v>3.125E-2</v>
      </c>
      <c r="Q339">
        <v>0</v>
      </c>
      <c r="R339">
        <v>0</v>
      </c>
      <c r="S339">
        <v>0</v>
      </c>
      <c r="T339">
        <v>1</v>
      </c>
    </row>
    <row r="340" spans="2:20" x14ac:dyDescent="0.25">
      <c r="B340">
        <v>90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0.2</v>
      </c>
      <c r="O340">
        <v>0.4</v>
      </c>
      <c r="P340">
        <v>0.4</v>
      </c>
      <c r="Q340">
        <v>0</v>
      </c>
      <c r="R340">
        <v>0</v>
      </c>
      <c r="S340">
        <v>0</v>
      </c>
      <c r="T340">
        <v>1</v>
      </c>
    </row>
    <row r="341" spans="2:20" x14ac:dyDescent="0.25">
      <c r="B341">
        <v>93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1</v>
      </c>
    </row>
    <row r="342" spans="2:20" x14ac:dyDescent="0.25">
      <c r="B342">
        <v>95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</row>
    <row r="343" spans="2:20" x14ac:dyDescent="0.25">
      <c r="B343">
        <v>99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1</v>
      </c>
    </row>
    <row r="344" spans="2:20" x14ac:dyDescent="0.25">
      <c r="B344" t="s">
        <v>1177</v>
      </c>
      <c r="C344">
        <v>0.55686604886267899</v>
      </c>
      <c r="D344">
        <v>7.7506318449873629E-2</v>
      </c>
      <c r="E344">
        <v>8.4245998315080029E-4</v>
      </c>
      <c r="F344">
        <v>3.3698399326032012E-3</v>
      </c>
      <c r="G344">
        <v>3.3698399326032012E-3</v>
      </c>
      <c r="H344">
        <v>4.2122999157540014E-3</v>
      </c>
      <c r="I344">
        <v>1.8534119629317607E-2</v>
      </c>
      <c r="J344">
        <v>9.2670598146588033E-3</v>
      </c>
      <c r="K344">
        <v>3.8753159224936815E-2</v>
      </c>
      <c r="L344">
        <v>5.2232518955349617E-2</v>
      </c>
      <c r="M344">
        <v>6.6554338668913221E-2</v>
      </c>
      <c r="N344">
        <v>0.10699241786015164</v>
      </c>
      <c r="O344">
        <v>5.3074978938500418E-2</v>
      </c>
      <c r="P344">
        <v>4.2122999157540014E-3</v>
      </c>
      <c r="Q344">
        <v>8.4245998315080029E-4</v>
      </c>
      <c r="R344">
        <v>2.527379949452401E-3</v>
      </c>
      <c r="S344">
        <v>8.4245998315080029E-4</v>
      </c>
      <c r="T344">
        <v>1</v>
      </c>
    </row>
    <row r="349" spans="2:20" x14ac:dyDescent="0.25">
      <c r="B349" t="s">
        <v>1175</v>
      </c>
      <c r="C349" t="s">
        <v>1196</v>
      </c>
    </row>
    <row r="350" spans="2:20" x14ac:dyDescent="0.25">
      <c r="B350" t="s">
        <v>1192</v>
      </c>
      <c r="C350">
        <v>0</v>
      </c>
      <c r="D350">
        <v>22</v>
      </c>
      <c r="E350">
        <v>40</v>
      </c>
      <c r="F350">
        <v>60</v>
      </c>
      <c r="G350">
        <v>65</v>
      </c>
      <c r="H350">
        <v>70</v>
      </c>
      <c r="I350">
        <v>73</v>
      </c>
      <c r="J350">
        <v>75</v>
      </c>
      <c r="K350">
        <v>77</v>
      </c>
      <c r="L350">
        <v>80</v>
      </c>
      <c r="M350">
        <v>83</v>
      </c>
      <c r="N350">
        <v>85</v>
      </c>
      <c r="O350">
        <v>87</v>
      </c>
      <c r="P350">
        <v>90</v>
      </c>
      <c r="Q350">
        <v>93</v>
      </c>
      <c r="R350">
        <v>95</v>
      </c>
      <c r="S350">
        <v>99</v>
      </c>
      <c r="T350" t="s">
        <v>1177</v>
      </c>
    </row>
    <row r="351" spans="2:20" x14ac:dyDescent="0.25">
      <c r="B351">
        <v>0</v>
      </c>
      <c r="C351">
        <v>0.85135135135135132</v>
      </c>
      <c r="D351">
        <v>0</v>
      </c>
      <c r="E351">
        <v>0</v>
      </c>
      <c r="F351">
        <v>0</v>
      </c>
      <c r="G351">
        <v>1.5015015015015015E-3</v>
      </c>
      <c r="H351">
        <v>0</v>
      </c>
      <c r="I351">
        <v>9.0090090090090089E-3</v>
      </c>
      <c r="J351">
        <v>0</v>
      </c>
      <c r="K351">
        <v>1.2012012012012012E-2</v>
      </c>
      <c r="L351">
        <v>1.8018018018018018E-2</v>
      </c>
      <c r="M351">
        <v>2.8528528528528527E-2</v>
      </c>
      <c r="N351">
        <v>5.7057057057057055E-2</v>
      </c>
      <c r="O351">
        <v>2.1021021021021023E-2</v>
      </c>
      <c r="P351">
        <v>1.5015015015015015E-3</v>
      </c>
      <c r="Q351">
        <v>0</v>
      </c>
      <c r="R351">
        <v>0</v>
      </c>
      <c r="S351">
        <v>0</v>
      </c>
      <c r="T351">
        <v>1</v>
      </c>
    </row>
    <row r="352" spans="2:20" x14ac:dyDescent="0.25">
      <c r="B352">
        <v>22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</row>
    <row r="353" spans="2:20" x14ac:dyDescent="0.25">
      <c r="B353">
        <v>40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</row>
    <row r="354" spans="2:20" x14ac:dyDescent="0.25">
      <c r="B354">
        <v>60</v>
      </c>
      <c r="C354">
        <v>0.66666666666666663</v>
      </c>
      <c r="D354">
        <v>0</v>
      </c>
      <c r="E354">
        <v>0</v>
      </c>
      <c r="F354">
        <v>0.33333333333333331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</row>
    <row r="355" spans="2:20" x14ac:dyDescent="0.25">
      <c r="B355">
        <v>65</v>
      </c>
      <c r="C355">
        <v>0.44444444444444442</v>
      </c>
      <c r="D355">
        <v>0.1111111111111111</v>
      </c>
      <c r="E355">
        <v>0</v>
      </c>
      <c r="F355">
        <v>0.1111111111111111</v>
      </c>
      <c r="G355">
        <v>0.22222222222222221</v>
      </c>
      <c r="H355">
        <v>0.1111111111111111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</row>
    <row r="356" spans="2:20" x14ac:dyDescent="0.25">
      <c r="B356">
        <v>70</v>
      </c>
      <c r="C356">
        <v>0.4</v>
      </c>
      <c r="D356">
        <v>0</v>
      </c>
      <c r="E356">
        <v>0</v>
      </c>
      <c r="F356">
        <v>0</v>
      </c>
      <c r="G356">
        <v>0.2</v>
      </c>
      <c r="H356">
        <v>0.2</v>
      </c>
      <c r="I356">
        <v>0</v>
      </c>
      <c r="J356">
        <v>0.2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</row>
    <row r="357" spans="2:20" x14ac:dyDescent="0.25">
      <c r="B357">
        <v>73</v>
      </c>
      <c r="C357">
        <v>0.13333333333333333</v>
      </c>
      <c r="D357">
        <v>0</v>
      </c>
      <c r="E357">
        <v>6.6666666666666666E-2</v>
      </c>
      <c r="F357">
        <v>0</v>
      </c>
      <c r="G357">
        <v>0</v>
      </c>
      <c r="H357">
        <v>6.6666666666666666E-2</v>
      </c>
      <c r="I357">
        <v>0.2</v>
      </c>
      <c r="J357">
        <v>0.2</v>
      </c>
      <c r="K357">
        <v>0.33333333333333331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</row>
    <row r="358" spans="2:20" x14ac:dyDescent="0.25">
      <c r="B358">
        <v>75</v>
      </c>
      <c r="C358">
        <v>0.31578947368421051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0.36842105263157893</v>
      </c>
      <c r="J358">
        <v>0.10526315789473684</v>
      </c>
      <c r="K358">
        <v>0.21052631578947367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</row>
    <row r="359" spans="2:20" x14ac:dyDescent="0.25">
      <c r="B359">
        <v>77</v>
      </c>
      <c r="C359">
        <v>0.15151515151515152</v>
      </c>
      <c r="D359">
        <v>3.0303030303030304E-2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9.0909090909090912E-2</v>
      </c>
      <c r="K359">
        <v>0.36363636363636365</v>
      </c>
      <c r="L359">
        <v>0.21212121212121213</v>
      </c>
      <c r="M359">
        <v>9.0909090909090912E-2</v>
      </c>
      <c r="N359">
        <v>6.0606060606060608E-2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</row>
    <row r="360" spans="2:20" x14ac:dyDescent="0.25">
      <c r="B360">
        <v>80</v>
      </c>
      <c r="C360">
        <v>0.19642857142857142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0.10714285714285714</v>
      </c>
      <c r="J360">
        <v>3.5714285714285712E-2</v>
      </c>
      <c r="K360">
        <v>0.16071428571428573</v>
      </c>
      <c r="L360">
        <v>0.3392857142857143</v>
      </c>
      <c r="M360">
        <v>8.9285714285714288E-2</v>
      </c>
      <c r="N360">
        <v>5.3571428571428568E-2</v>
      </c>
      <c r="O360">
        <v>1.7857142857142856E-2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2:20" x14ac:dyDescent="0.25">
      <c r="B361">
        <v>83</v>
      </c>
      <c r="C361">
        <v>0.15662650602409639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1.2048192771084338E-2</v>
      </c>
      <c r="J361">
        <v>3.614457831325301E-2</v>
      </c>
      <c r="K361">
        <v>3.614457831325301E-2</v>
      </c>
      <c r="L361">
        <v>0.14457831325301204</v>
      </c>
      <c r="M361">
        <v>0.43373493975903615</v>
      </c>
      <c r="N361">
        <v>0.14457831325301204</v>
      </c>
      <c r="O361">
        <v>2.4096385542168676E-2</v>
      </c>
      <c r="P361">
        <v>0</v>
      </c>
      <c r="Q361">
        <v>0</v>
      </c>
      <c r="R361">
        <v>1.2048192771084338E-2</v>
      </c>
      <c r="S361">
        <v>0</v>
      </c>
      <c r="T361">
        <v>1</v>
      </c>
    </row>
    <row r="362" spans="2:20" x14ac:dyDescent="0.25">
      <c r="B362">
        <v>85</v>
      </c>
      <c r="C362">
        <v>0.15625</v>
      </c>
      <c r="D362">
        <v>1.5625E-2</v>
      </c>
      <c r="E362">
        <v>0</v>
      </c>
      <c r="F362">
        <v>0</v>
      </c>
      <c r="G362">
        <v>0</v>
      </c>
      <c r="H362">
        <v>0</v>
      </c>
      <c r="I362">
        <v>7.8125E-3</v>
      </c>
      <c r="J362">
        <v>7.8125E-3</v>
      </c>
      <c r="K362">
        <v>3.125E-2</v>
      </c>
      <c r="L362">
        <v>5.46875E-2</v>
      </c>
      <c r="M362">
        <v>0.1796875</v>
      </c>
      <c r="N362">
        <v>0.4609375</v>
      </c>
      <c r="O362">
        <v>8.59375E-2</v>
      </c>
      <c r="P362">
        <v>0</v>
      </c>
      <c r="Q362">
        <v>0</v>
      </c>
      <c r="R362">
        <v>0</v>
      </c>
      <c r="S362">
        <v>0</v>
      </c>
      <c r="T362">
        <v>1</v>
      </c>
    </row>
    <row r="363" spans="2:20" x14ac:dyDescent="0.25">
      <c r="B363">
        <v>87</v>
      </c>
      <c r="C363">
        <v>0.17910447761194029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1.4925373134328358E-2</v>
      </c>
      <c r="L363">
        <v>4.4776119402985072E-2</v>
      </c>
      <c r="M363">
        <v>8.9552238805970144E-2</v>
      </c>
      <c r="N363">
        <v>0.20895522388059701</v>
      </c>
      <c r="O363">
        <v>0.43283582089552236</v>
      </c>
      <c r="P363">
        <v>2.9850746268656716E-2</v>
      </c>
      <c r="Q363">
        <v>0</v>
      </c>
      <c r="R363">
        <v>0</v>
      </c>
      <c r="S363">
        <v>0</v>
      </c>
      <c r="T363">
        <v>1</v>
      </c>
    </row>
    <row r="364" spans="2:20" x14ac:dyDescent="0.25">
      <c r="B364">
        <v>90</v>
      </c>
      <c r="C364">
        <v>0.1111111111111111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0.1111111111111111</v>
      </c>
      <c r="O364">
        <v>0.55555555555555558</v>
      </c>
      <c r="P364">
        <v>0.22222222222222221</v>
      </c>
      <c r="Q364">
        <v>0</v>
      </c>
      <c r="R364">
        <v>0</v>
      </c>
      <c r="S364">
        <v>0</v>
      </c>
      <c r="T364">
        <v>1</v>
      </c>
    </row>
    <row r="365" spans="2:20" x14ac:dyDescent="0.25">
      <c r="B365">
        <v>93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1</v>
      </c>
    </row>
    <row r="366" spans="2:20" x14ac:dyDescent="0.25">
      <c r="B366">
        <v>95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1</v>
      </c>
    </row>
    <row r="367" spans="2:20" x14ac:dyDescent="0.25">
      <c r="B367">
        <v>99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1</v>
      </c>
    </row>
    <row r="368" spans="2:20" x14ac:dyDescent="0.25">
      <c r="B368" t="s">
        <v>1177</v>
      </c>
      <c r="C368">
        <v>0.54338668913226618</v>
      </c>
      <c r="D368">
        <v>7.919123841617523E-2</v>
      </c>
      <c r="E368">
        <v>1.6849199663016006E-3</v>
      </c>
      <c r="F368">
        <v>1.6849199663016006E-3</v>
      </c>
      <c r="G368">
        <v>3.3698399326032012E-3</v>
      </c>
      <c r="H368">
        <v>2.527379949452401E-3</v>
      </c>
      <c r="I368">
        <v>2.0219039595619208E-2</v>
      </c>
      <c r="J368">
        <v>1.2636899747262006E-2</v>
      </c>
      <c r="K368">
        <v>3.8753159224936815E-2</v>
      </c>
      <c r="L368">
        <v>5.0547598989048023E-2</v>
      </c>
      <c r="M368">
        <v>7.7506318449873629E-2</v>
      </c>
      <c r="N368">
        <v>0.10867733782645324</v>
      </c>
      <c r="O368">
        <v>5.2232518955349617E-2</v>
      </c>
      <c r="P368">
        <v>4.2122999157540014E-3</v>
      </c>
      <c r="Q368">
        <v>8.4245998315080029E-4</v>
      </c>
      <c r="R368">
        <v>1.6849199663016006E-3</v>
      </c>
      <c r="S368">
        <v>8.4245998315080029E-4</v>
      </c>
      <c r="T368">
        <v>1</v>
      </c>
    </row>
    <row r="370" spans="2:20" x14ac:dyDescent="0.25">
      <c r="B370" s="17" t="s">
        <v>1197</v>
      </c>
      <c r="C370" s="17">
        <v>0</v>
      </c>
      <c r="D370" s="40">
        <v>22</v>
      </c>
      <c r="E370" s="23">
        <v>40</v>
      </c>
      <c r="F370" s="23">
        <v>60</v>
      </c>
      <c r="G370" s="23">
        <v>65</v>
      </c>
      <c r="H370" s="23">
        <v>70</v>
      </c>
      <c r="I370" s="23">
        <v>73</v>
      </c>
      <c r="J370" s="23">
        <v>75</v>
      </c>
      <c r="K370" s="23">
        <v>77</v>
      </c>
      <c r="L370" s="23">
        <v>80</v>
      </c>
      <c r="M370" s="23">
        <v>83</v>
      </c>
      <c r="N370" s="23">
        <v>85</v>
      </c>
      <c r="O370" s="23">
        <v>87</v>
      </c>
      <c r="P370" s="23">
        <v>90</v>
      </c>
      <c r="Q370" s="23">
        <v>93</v>
      </c>
      <c r="R370" s="23">
        <v>95</v>
      </c>
      <c r="S370" s="23">
        <v>99</v>
      </c>
      <c r="T370" s="20" t="s">
        <v>1177</v>
      </c>
    </row>
    <row r="371" spans="2:20" x14ac:dyDescent="0.25">
      <c r="B371" s="17">
        <v>0</v>
      </c>
      <c r="C371" s="39">
        <f>SUMIF($B$1:$B$368,$B371,C$1:C$368)/COUNTIF($B$1:$B$368,$B371)</f>
        <v>0.82443661840924376</v>
      </c>
      <c r="D371" s="41">
        <f t="shared" ref="D371:S386" si="0">SUMIF($B$1:$B$368,$B371,D$1:D$368)/COUNTIF($B$1:$B$368,$B371)</f>
        <v>1.7746937339552751E-2</v>
      </c>
      <c r="E371" s="38">
        <f t="shared" si="0"/>
        <v>6.1083484892235883E-4</v>
      </c>
      <c r="F371" s="38">
        <f t="shared" si="0"/>
        <v>7.3605729534200609E-4</v>
      </c>
      <c r="G371" s="38">
        <f t="shared" si="0"/>
        <v>2.3870355015011913E-3</v>
      </c>
      <c r="H371" s="38">
        <f t="shared" si="0"/>
        <v>2.8219530193362131E-3</v>
      </c>
      <c r="I371" s="38">
        <f t="shared" si="0"/>
        <v>5.643476014939015E-3</v>
      </c>
      <c r="J371" s="38">
        <f t="shared" si="0"/>
        <v>7.5699604154450071E-3</v>
      </c>
      <c r="K371" s="38">
        <f t="shared" si="0"/>
        <v>1.0489176616817589E-2</v>
      </c>
      <c r="L371" s="38">
        <f t="shared" si="0"/>
        <v>2.0184777061897936E-2</v>
      </c>
      <c r="M371" s="38">
        <f t="shared" si="0"/>
        <v>3.7827316961323292E-2</v>
      </c>
      <c r="N371" s="38">
        <f t="shared" si="0"/>
        <v>4.9918022017079622E-2</v>
      </c>
      <c r="O371" s="38">
        <f t="shared" si="0"/>
        <v>1.7144613287403812E-2</v>
      </c>
      <c r="P371" s="38">
        <f t="shared" si="0"/>
        <v>2.4832212111953532E-3</v>
      </c>
      <c r="Q371" s="38">
        <f t="shared" si="0"/>
        <v>0</v>
      </c>
      <c r="R371" s="38">
        <f t="shared" si="0"/>
        <v>0</v>
      </c>
      <c r="S371" s="38">
        <f t="shared" si="0"/>
        <v>0</v>
      </c>
      <c r="T371" s="38">
        <f t="shared" ref="T371:T387" si="1">SUMIF($B$1:$B$368,$B371,T$1:T$368)/COUNTIF($B$1:$B$368,$B371)</f>
        <v>1</v>
      </c>
    </row>
    <row r="372" spans="2:20" x14ac:dyDescent="0.25">
      <c r="B372" s="22">
        <v>22</v>
      </c>
      <c r="C372" s="38">
        <f t="shared" ref="C372:C387" si="2">SUMIF($B$1:$B$368,$B372,C$1:C$368)/COUNTIF($B$1:$B$368,$B372)</f>
        <v>0</v>
      </c>
      <c r="D372" s="41">
        <f t="shared" si="0"/>
        <v>1</v>
      </c>
      <c r="E372" s="38">
        <f t="shared" si="0"/>
        <v>0</v>
      </c>
      <c r="F372" s="38">
        <f t="shared" si="0"/>
        <v>0</v>
      </c>
      <c r="G372" s="38">
        <f t="shared" si="0"/>
        <v>0</v>
      </c>
      <c r="H372" s="38">
        <f t="shared" si="0"/>
        <v>0</v>
      </c>
      <c r="I372" s="38">
        <f t="shared" si="0"/>
        <v>0</v>
      </c>
      <c r="J372" s="38">
        <f t="shared" si="0"/>
        <v>0</v>
      </c>
      <c r="K372" s="38">
        <f t="shared" si="0"/>
        <v>0</v>
      </c>
      <c r="L372" s="38">
        <f t="shared" si="0"/>
        <v>0</v>
      </c>
      <c r="M372" s="38">
        <f t="shared" si="0"/>
        <v>0</v>
      </c>
      <c r="N372" s="38">
        <f t="shared" si="0"/>
        <v>0</v>
      </c>
      <c r="O372" s="38">
        <f t="shared" si="0"/>
        <v>0</v>
      </c>
      <c r="P372" s="38">
        <f t="shared" si="0"/>
        <v>0</v>
      </c>
      <c r="Q372" s="38">
        <f t="shared" si="0"/>
        <v>0</v>
      </c>
      <c r="R372" s="38">
        <f t="shared" si="0"/>
        <v>0</v>
      </c>
      <c r="S372" s="38">
        <f t="shared" si="0"/>
        <v>0</v>
      </c>
      <c r="T372" s="38">
        <f t="shared" si="1"/>
        <v>1</v>
      </c>
    </row>
    <row r="373" spans="2:20" x14ac:dyDescent="0.25">
      <c r="B373" s="22">
        <v>40</v>
      </c>
      <c r="C373" s="38">
        <f t="shared" si="2"/>
        <v>0.20948097041847044</v>
      </c>
      <c r="D373" s="41">
        <f t="shared" si="0"/>
        <v>0.1526853354978355</v>
      </c>
      <c r="E373" s="33">
        <f t="shared" si="0"/>
        <v>0.41485840548340547</v>
      </c>
      <c r="F373" s="38">
        <f t="shared" si="0"/>
        <v>6.4709595959595967E-2</v>
      </c>
      <c r="G373" s="38">
        <f t="shared" si="0"/>
        <v>4.6085858585858584E-2</v>
      </c>
      <c r="H373" s="38">
        <f t="shared" si="0"/>
        <v>3.125E-2</v>
      </c>
      <c r="I373" s="38">
        <f t="shared" si="0"/>
        <v>3.125E-2</v>
      </c>
      <c r="J373" s="38">
        <f t="shared" si="0"/>
        <v>2.1428571428571429E-2</v>
      </c>
      <c r="K373" s="38">
        <f t="shared" si="0"/>
        <v>1.5625E-2</v>
      </c>
      <c r="L373" s="38">
        <f t="shared" si="0"/>
        <v>0</v>
      </c>
      <c r="M373" s="38">
        <f t="shared" si="0"/>
        <v>5.681818181818182E-3</v>
      </c>
      <c r="N373" s="38">
        <f t="shared" si="0"/>
        <v>6.9444444444444441E-3</v>
      </c>
      <c r="O373" s="38">
        <f t="shared" si="0"/>
        <v>0</v>
      </c>
      <c r="P373" s="38">
        <f t="shared" si="0"/>
        <v>0</v>
      </c>
      <c r="Q373" s="38">
        <f t="shared" si="0"/>
        <v>0</v>
      </c>
      <c r="R373" s="38">
        <f t="shared" si="0"/>
        <v>0</v>
      </c>
      <c r="S373" s="38">
        <f t="shared" si="0"/>
        <v>0</v>
      </c>
      <c r="T373" s="38">
        <f t="shared" si="1"/>
        <v>1</v>
      </c>
    </row>
    <row r="374" spans="2:20" x14ac:dyDescent="0.25">
      <c r="B374" s="22">
        <v>60</v>
      </c>
      <c r="C374" s="38">
        <f t="shared" si="2"/>
        <v>0.2703869047619048</v>
      </c>
      <c r="D374" s="42">
        <f t="shared" si="0"/>
        <v>8.2291666666666652E-2</v>
      </c>
      <c r="E374" s="38">
        <f t="shared" si="0"/>
        <v>4.0178571428571425E-2</v>
      </c>
      <c r="F374" s="33">
        <f t="shared" si="0"/>
        <v>0.33199404761904761</v>
      </c>
      <c r="G374" s="38">
        <f t="shared" si="0"/>
        <v>0.19747023809523812</v>
      </c>
      <c r="H374" s="38">
        <f t="shared" si="0"/>
        <v>4.642857142857143E-2</v>
      </c>
      <c r="I374" s="38">
        <f t="shared" si="0"/>
        <v>9.3749999999999997E-3</v>
      </c>
      <c r="J374" s="38">
        <f t="shared" si="0"/>
        <v>9.3749999999999997E-3</v>
      </c>
      <c r="K374" s="38">
        <f t="shared" si="0"/>
        <v>0</v>
      </c>
      <c r="L374" s="38">
        <f t="shared" si="0"/>
        <v>1.2500000000000001E-2</v>
      </c>
      <c r="M374" s="38">
        <f t="shared" si="0"/>
        <v>0</v>
      </c>
      <c r="N374" s="38">
        <f t="shared" si="0"/>
        <v>0</v>
      </c>
      <c r="O374" s="38">
        <f t="shared" si="0"/>
        <v>0</v>
      </c>
      <c r="P374" s="38">
        <f t="shared" si="0"/>
        <v>0</v>
      </c>
      <c r="Q374" s="38">
        <f t="shared" si="0"/>
        <v>0</v>
      </c>
      <c r="R374" s="38">
        <f t="shared" si="0"/>
        <v>0</v>
      </c>
      <c r="S374" s="38">
        <f t="shared" si="0"/>
        <v>0</v>
      </c>
      <c r="T374" s="38">
        <f t="shared" si="1"/>
        <v>1</v>
      </c>
    </row>
    <row r="375" spans="2:20" x14ac:dyDescent="0.25">
      <c r="B375" s="22">
        <v>65</v>
      </c>
      <c r="C375" s="38">
        <f t="shared" si="2"/>
        <v>0.42207269156282323</v>
      </c>
      <c r="D375" s="41">
        <f t="shared" si="0"/>
        <v>9.051931255878623E-2</v>
      </c>
      <c r="E375" s="38">
        <f t="shared" si="0"/>
        <v>0</v>
      </c>
      <c r="F375" s="38">
        <f t="shared" si="0"/>
        <v>6.8120822890559735E-2</v>
      </c>
      <c r="G375" s="33">
        <f t="shared" si="0"/>
        <v>0.21799906051550794</v>
      </c>
      <c r="H375" s="38">
        <f t="shared" si="0"/>
        <v>8.8149003774003767E-2</v>
      </c>
      <c r="I375" s="38">
        <f t="shared" si="0"/>
        <v>8.9712918660287081E-3</v>
      </c>
      <c r="J375" s="38">
        <f t="shared" si="0"/>
        <v>2.4772970085470084E-2</v>
      </c>
      <c r="K375" s="38">
        <f t="shared" si="0"/>
        <v>3.4785928618165457E-2</v>
      </c>
      <c r="L375" s="38">
        <f t="shared" si="0"/>
        <v>6.9444444444444441E-3</v>
      </c>
      <c r="M375" s="38">
        <f t="shared" si="0"/>
        <v>2.9851973684210529E-2</v>
      </c>
      <c r="N375" s="38">
        <f t="shared" si="0"/>
        <v>7.8125E-3</v>
      </c>
      <c r="O375" s="38">
        <f t="shared" si="0"/>
        <v>0</v>
      </c>
      <c r="P375" s="38">
        <f t="shared" si="0"/>
        <v>0</v>
      </c>
      <c r="Q375" s="38">
        <f t="shared" si="0"/>
        <v>0</v>
      </c>
      <c r="R375" s="38">
        <f t="shared" si="0"/>
        <v>0</v>
      </c>
      <c r="S375" s="38">
        <f t="shared" si="0"/>
        <v>0</v>
      </c>
      <c r="T375" s="38">
        <f t="shared" si="1"/>
        <v>1</v>
      </c>
    </row>
    <row r="376" spans="2:20" x14ac:dyDescent="0.25">
      <c r="B376" s="22">
        <v>70</v>
      </c>
      <c r="C376" s="38">
        <f t="shared" si="2"/>
        <v>0.28987668185469878</v>
      </c>
      <c r="D376" s="41">
        <f t="shared" si="0"/>
        <v>5.0353919521834101E-2</v>
      </c>
      <c r="E376" s="38">
        <f t="shared" si="0"/>
        <v>7.8125E-3</v>
      </c>
      <c r="F376" s="38">
        <f t="shared" si="0"/>
        <v>2.299107142857143E-2</v>
      </c>
      <c r="G376" s="38">
        <f t="shared" si="0"/>
        <v>0.106066482700493</v>
      </c>
      <c r="H376" s="33">
        <f t="shared" si="0"/>
        <v>0.20788465067914691</v>
      </c>
      <c r="I376" s="38">
        <f t="shared" si="0"/>
        <v>0.14084396925332784</v>
      </c>
      <c r="J376" s="38">
        <f t="shared" si="0"/>
        <v>5.6239057668001677E-2</v>
      </c>
      <c r="K376" s="38">
        <f t="shared" si="0"/>
        <v>7.5068410061132837E-2</v>
      </c>
      <c r="L376" s="38">
        <f t="shared" si="0"/>
        <v>2.186221482560155E-2</v>
      </c>
      <c r="M376" s="38">
        <f t="shared" si="0"/>
        <v>6.0068649885583521E-3</v>
      </c>
      <c r="N376" s="38">
        <f t="shared" si="0"/>
        <v>1.499417701863354E-2</v>
      </c>
      <c r="O376" s="38">
        <f t="shared" si="0"/>
        <v>0</v>
      </c>
      <c r="P376" s="38">
        <f t="shared" si="0"/>
        <v>0</v>
      </c>
      <c r="Q376" s="38">
        <f t="shared" si="0"/>
        <v>0</v>
      </c>
      <c r="R376" s="38">
        <f t="shared" si="0"/>
        <v>0</v>
      </c>
      <c r="S376" s="38">
        <f t="shared" si="0"/>
        <v>0</v>
      </c>
      <c r="T376" s="38">
        <f t="shared" si="1"/>
        <v>1</v>
      </c>
    </row>
    <row r="377" spans="2:20" x14ac:dyDescent="0.25">
      <c r="B377" s="22">
        <v>73</v>
      </c>
      <c r="C377" s="38">
        <f t="shared" si="2"/>
        <v>0.25517062433180854</v>
      </c>
      <c r="D377" s="42">
        <f t="shared" si="0"/>
        <v>2.3976480390954076E-2</v>
      </c>
      <c r="E377" s="38">
        <f t="shared" si="0"/>
        <v>9.8484848484848495E-3</v>
      </c>
      <c r="F377" s="38">
        <f t="shared" si="0"/>
        <v>3.2894736842105261E-3</v>
      </c>
      <c r="G377" s="38">
        <f t="shared" si="0"/>
        <v>7.0944150878361395E-2</v>
      </c>
      <c r="H377" s="38">
        <f t="shared" si="0"/>
        <v>7.4378002297410192E-2</v>
      </c>
      <c r="I377" s="33">
        <f t="shared" si="0"/>
        <v>0.27922077465662992</v>
      </c>
      <c r="J377" s="38">
        <f t="shared" si="0"/>
        <v>8.5498173244883777E-2</v>
      </c>
      <c r="K377" s="38">
        <f t="shared" si="0"/>
        <v>0.14697364495884235</v>
      </c>
      <c r="L377" s="38">
        <f t="shared" si="0"/>
        <v>3.0308895234882074E-2</v>
      </c>
      <c r="M377" s="38">
        <f t="shared" si="0"/>
        <v>2.0391295473532318E-2</v>
      </c>
      <c r="N377" s="38">
        <f t="shared" si="0"/>
        <v>0</v>
      </c>
      <c r="O377" s="38">
        <f t="shared" si="0"/>
        <v>0</v>
      </c>
      <c r="P377" s="38">
        <f t="shared" si="0"/>
        <v>0</v>
      </c>
      <c r="Q377" s="38">
        <f t="shared" si="0"/>
        <v>0</v>
      </c>
      <c r="R377" s="38">
        <f t="shared" si="0"/>
        <v>0</v>
      </c>
      <c r="S377" s="38">
        <f t="shared" si="0"/>
        <v>0</v>
      </c>
      <c r="T377" s="38">
        <f t="shared" si="1"/>
        <v>1</v>
      </c>
    </row>
    <row r="378" spans="2:20" x14ac:dyDescent="0.25">
      <c r="B378" s="22">
        <v>75</v>
      </c>
      <c r="C378" s="38">
        <f t="shared" si="2"/>
        <v>0.30849433159644829</v>
      </c>
      <c r="D378" s="41">
        <f t="shared" si="0"/>
        <v>3.2233044733044731E-2</v>
      </c>
      <c r="E378" s="38">
        <f t="shared" si="0"/>
        <v>6.2500000000000003E-3</v>
      </c>
      <c r="F378" s="38">
        <f t="shared" si="0"/>
        <v>7.9365079365079361E-3</v>
      </c>
      <c r="G378" s="38">
        <f t="shared" si="0"/>
        <v>1.2847222222222222E-2</v>
      </c>
      <c r="H378" s="38">
        <f t="shared" si="0"/>
        <v>3.9934163059163051E-2</v>
      </c>
      <c r="I378" s="38">
        <f t="shared" si="0"/>
        <v>7.5731080831195244E-2</v>
      </c>
      <c r="J378" s="33">
        <f t="shared" si="0"/>
        <v>0.12838691446171421</v>
      </c>
      <c r="K378" s="38">
        <f t="shared" si="0"/>
        <v>0.11727778149259842</v>
      </c>
      <c r="L378" s="38">
        <f t="shared" si="0"/>
        <v>0.13897419458560764</v>
      </c>
      <c r="M378" s="38">
        <f t="shared" si="0"/>
        <v>7.6781812692138768E-2</v>
      </c>
      <c r="N378" s="38">
        <f t="shared" si="0"/>
        <v>4.1870078894535409E-2</v>
      </c>
      <c r="O378" s="38">
        <f t="shared" si="0"/>
        <v>1.3282867494824015E-2</v>
      </c>
      <c r="P378" s="38">
        <f t="shared" si="0"/>
        <v>0</v>
      </c>
      <c r="Q378" s="38">
        <f t="shared" si="0"/>
        <v>0</v>
      </c>
      <c r="R378" s="38">
        <f t="shared" si="0"/>
        <v>0</v>
      </c>
      <c r="S378" s="38">
        <f t="shared" si="0"/>
        <v>0</v>
      </c>
      <c r="T378" s="38">
        <f t="shared" si="1"/>
        <v>1</v>
      </c>
    </row>
    <row r="379" spans="2:20" x14ac:dyDescent="0.25">
      <c r="B379" s="22">
        <v>77</v>
      </c>
      <c r="C379" s="38">
        <f t="shared" si="2"/>
        <v>0.23455070550479462</v>
      </c>
      <c r="D379" s="41">
        <f t="shared" si="0"/>
        <v>1.9218641027000827E-2</v>
      </c>
      <c r="E379" s="38">
        <f t="shared" si="0"/>
        <v>2.976190476190476E-3</v>
      </c>
      <c r="F379" s="38">
        <f t="shared" si="0"/>
        <v>0</v>
      </c>
      <c r="G379" s="38">
        <f t="shared" si="0"/>
        <v>8.4978070175438583E-3</v>
      </c>
      <c r="H379" s="38">
        <f t="shared" si="0"/>
        <v>1.7505075790437634E-2</v>
      </c>
      <c r="I379" s="38">
        <f t="shared" si="0"/>
        <v>5.2889198813512561E-2</v>
      </c>
      <c r="J379" s="38">
        <f t="shared" si="0"/>
        <v>6.7070922262477378E-2</v>
      </c>
      <c r="K379" s="33">
        <f t="shared" si="0"/>
        <v>0.17895276631452334</v>
      </c>
      <c r="L379" s="38">
        <f t="shared" si="0"/>
        <v>0.19449960604466612</v>
      </c>
      <c r="M379" s="38">
        <f t="shared" si="0"/>
        <v>0.17193174598956701</v>
      </c>
      <c r="N379" s="38">
        <f t="shared" si="0"/>
        <v>4.7870882425952749E-2</v>
      </c>
      <c r="O379" s="38">
        <f t="shared" si="0"/>
        <v>4.0364583333333329E-3</v>
      </c>
      <c r="P379" s="38">
        <f t="shared" si="0"/>
        <v>0</v>
      </c>
      <c r="Q379" s="38">
        <f t="shared" si="0"/>
        <v>0</v>
      </c>
      <c r="R379" s="38">
        <f t="shared" si="0"/>
        <v>0</v>
      </c>
      <c r="S379" s="38">
        <f t="shared" si="0"/>
        <v>0</v>
      </c>
      <c r="T379" s="38">
        <f t="shared" si="1"/>
        <v>1</v>
      </c>
    </row>
    <row r="380" spans="2:20" x14ac:dyDescent="0.25">
      <c r="B380" s="22">
        <v>80</v>
      </c>
      <c r="C380" s="38">
        <f t="shared" si="2"/>
        <v>0.24700123740389124</v>
      </c>
      <c r="D380" s="42">
        <f t="shared" si="0"/>
        <v>0</v>
      </c>
      <c r="E380" s="38">
        <f t="shared" si="0"/>
        <v>4.3652993348115305E-3</v>
      </c>
      <c r="F380" s="38">
        <f t="shared" si="0"/>
        <v>1.4204545454545455E-3</v>
      </c>
      <c r="G380" s="38">
        <f t="shared" si="0"/>
        <v>1.2884991785747891E-2</v>
      </c>
      <c r="H380" s="38">
        <f t="shared" si="0"/>
        <v>2.1536859724895028E-2</v>
      </c>
      <c r="I380" s="38">
        <f t="shared" si="0"/>
        <v>3.5155496827811897E-2</v>
      </c>
      <c r="J380" s="38">
        <f t="shared" si="0"/>
        <v>4.2866867795373E-2</v>
      </c>
      <c r="K380" s="38">
        <f t="shared" si="0"/>
        <v>0.11095035415614665</v>
      </c>
      <c r="L380" s="33">
        <f t="shared" si="0"/>
        <v>0.23514175625441067</v>
      </c>
      <c r="M380" s="38">
        <f t="shared" si="0"/>
        <v>0.20149538683556059</v>
      </c>
      <c r="N380" s="38">
        <f t="shared" si="0"/>
        <v>6.6229189716476219E-2</v>
      </c>
      <c r="O380" s="38">
        <f t="shared" si="0"/>
        <v>1.9772860336401844E-2</v>
      </c>
      <c r="P380" s="38">
        <f t="shared" si="0"/>
        <v>0</v>
      </c>
      <c r="Q380" s="38">
        <f t="shared" si="0"/>
        <v>0</v>
      </c>
      <c r="R380" s="38">
        <f t="shared" si="0"/>
        <v>1.1792452830188679E-3</v>
      </c>
      <c r="S380" s="38">
        <f t="shared" si="0"/>
        <v>0</v>
      </c>
      <c r="T380" s="38">
        <f t="shared" si="1"/>
        <v>1</v>
      </c>
    </row>
    <row r="381" spans="2:20" x14ac:dyDescent="0.25">
      <c r="B381" s="22">
        <v>83</v>
      </c>
      <c r="C381" s="38">
        <f t="shared" si="2"/>
        <v>0.2099655430750888</v>
      </c>
      <c r="D381" s="41">
        <f>SUMIF($B$1:$B$368,$B381,D$1:D$368)/COUNTIF($B$1:$B$368,$B381)</f>
        <v>4.3542560048949481E-3</v>
      </c>
      <c r="E381" s="38">
        <f t="shared" si="0"/>
        <v>1.2755102040816326E-3</v>
      </c>
      <c r="F381" s="38">
        <f t="shared" si="0"/>
        <v>0</v>
      </c>
      <c r="G381" s="38">
        <f t="shared" si="0"/>
        <v>5.8160202734518773E-3</v>
      </c>
      <c r="H381" s="38">
        <f t="shared" si="0"/>
        <v>1.6435605908523596E-2</v>
      </c>
      <c r="I381" s="38">
        <f t="shared" si="0"/>
        <v>1.3711298387637511E-2</v>
      </c>
      <c r="J381" s="38">
        <f t="shared" si="0"/>
        <v>3.563853322120912E-2</v>
      </c>
      <c r="K381" s="38">
        <f t="shared" si="0"/>
        <v>5.0224150062293867E-2</v>
      </c>
      <c r="L381" s="38">
        <f t="shared" si="0"/>
        <v>0.12402171774618975</v>
      </c>
      <c r="M381" s="33">
        <f t="shared" si="0"/>
        <v>0.27916670579006597</v>
      </c>
      <c r="N381" s="38">
        <f t="shared" si="0"/>
        <v>0.21242897641875688</v>
      </c>
      <c r="O381" s="38">
        <f t="shared" si="0"/>
        <v>4.1488095065790973E-2</v>
      </c>
      <c r="P381" s="38">
        <f t="shared" si="0"/>
        <v>3.074713960716994E-3</v>
      </c>
      <c r="Q381" s="38">
        <f t="shared" si="0"/>
        <v>0</v>
      </c>
      <c r="R381" s="38">
        <f t="shared" si="0"/>
        <v>2.3988738812981063E-3</v>
      </c>
      <c r="S381" s="38">
        <f t="shared" si="0"/>
        <v>0</v>
      </c>
      <c r="T381" s="38">
        <f t="shared" si="1"/>
        <v>1</v>
      </c>
    </row>
    <row r="382" spans="2:20" x14ac:dyDescent="0.25">
      <c r="B382" s="22">
        <v>85</v>
      </c>
      <c r="C382" s="38">
        <f t="shared" si="2"/>
        <v>0.22848913670294591</v>
      </c>
      <c r="D382" s="41">
        <f t="shared" si="0"/>
        <v>4.1949127505925563E-3</v>
      </c>
      <c r="E382" s="38">
        <f t="shared" si="0"/>
        <v>0</v>
      </c>
      <c r="F382" s="38">
        <f t="shared" si="0"/>
        <v>2.3360785555907506E-3</v>
      </c>
      <c r="G382" s="38">
        <f t="shared" si="0"/>
        <v>2.3360785555907506E-3</v>
      </c>
      <c r="H382" s="38">
        <f t="shared" si="0"/>
        <v>9.8366043872324619E-3</v>
      </c>
      <c r="I382" s="38">
        <f t="shared" si="0"/>
        <v>7.069980151844131E-3</v>
      </c>
      <c r="J382" s="38">
        <f t="shared" si="0"/>
        <v>1.545196165501582E-2</v>
      </c>
      <c r="K382" s="38">
        <f t="shared" si="0"/>
        <v>2.6171605111917705E-2</v>
      </c>
      <c r="L382" s="38">
        <f t="shared" si="0"/>
        <v>6.7967274968243591E-2</v>
      </c>
      <c r="M382" s="38">
        <f t="shared" si="0"/>
        <v>0.16564298092330268</v>
      </c>
      <c r="N382" s="33">
        <f t="shared" si="0"/>
        <v>0.32541062583520702</v>
      </c>
      <c r="O382" s="38">
        <f t="shared" si="0"/>
        <v>0.14108562120515994</v>
      </c>
      <c r="P382" s="38">
        <f t="shared" si="0"/>
        <v>3.1954508856682769E-3</v>
      </c>
      <c r="Q382" s="38">
        <f t="shared" si="0"/>
        <v>0</v>
      </c>
      <c r="R382" s="38">
        <f t="shared" si="0"/>
        <v>0</v>
      </c>
      <c r="S382" s="38">
        <f t="shared" si="0"/>
        <v>8.1168831168831174E-4</v>
      </c>
      <c r="T382" s="38">
        <f t="shared" si="1"/>
        <v>1</v>
      </c>
    </row>
    <row r="383" spans="2:20" x14ac:dyDescent="0.25">
      <c r="B383" s="22">
        <v>87</v>
      </c>
      <c r="C383" s="38">
        <f t="shared" si="2"/>
        <v>0.23239723690941061</v>
      </c>
      <c r="D383" s="42">
        <f t="shared" si="0"/>
        <v>0</v>
      </c>
      <c r="E383" s="38">
        <f t="shared" si="0"/>
        <v>2.0161290322580645E-3</v>
      </c>
      <c r="F383" s="38">
        <f t="shared" si="0"/>
        <v>0</v>
      </c>
      <c r="G383" s="38">
        <f t="shared" si="0"/>
        <v>0</v>
      </c>
      <c r="H383" s="38">
        <f t="shared" si="0"/>
        <v>1.6447368421052631E-3</v>
      </c>
      <c r="I383" s="38">
        <f t="shared" si="0"/>
        <v>6.4255654575776523E-3</v>
      </c>
      <c r="J383" s="38">
        <f t="shared" si="0"/>
        <v>5.634822167080231E-3</v>
      </c>
      <c r="K383" s="38">
        <f t="shared" si="0"/>
        <v>3.0009404413593146E-2</v>
      </c>
      <c r="L383" s="38">
        <f t="shared" si="0"/>
        <v>6.0170336344755257E-2</v>
      </c>
      <c r="M383" s="38">
        <f t="shared" si="0"/>
        <v>6.9290491719748257E-2</v>
      </c>
      <c r="N383" s="38">
        <f t="shared" si="0"/>
        <v>0.22014304804502594</v>
      </c>
      <c r="O383" s="33">
        <f t="shared" si="0"/>
        <v>0.31214044017174764</v>
      </c>
      <c r="P383" s="38">
        <f t="shared" si="0"/>
        <v>6.0127788896697856E-2</v>
      </c>
      <c r="Q383" s="38">
        <f t="shared" si="0"/>
        <v>0</v>
      </c>
      <c r="R383" s="38">
        <f t="shared" si="0"/>
        <v>0</v>
      </c>
      <c r="S383" s="38">
        <f t="shared" si="0"/>
        <v>0</v>
      </c>
      <c r="T383" s="38">
        <f t="shared" si="1"/>
        <v>1</v>
      </c>
    </row>
    <row r="384" spans="2:20" x14ac:dyDescent="0.25">
      <c r="B384" s="22">
        <v>90</v>
      </c>
      <c r="C384" s="38">
        <f t="shared" si="2"/>
        <v>0.20133928571428569</v>
      </c>
      <c r="D384" s="42">
        <f t="shared" si="0"/>
        <v>0</v>
      </c>
      <c r="E384" s="38">
        <f t="shared" si="0"/>
        <v>0</v>
      </c>
      <c r="F384" s="38">
        <f t="shared" si="0"/>
        <v>0</v>
      </c>
      <c r="G384" s="38">
        <f t="shared" si="0"/>
        <v>1.5625E-2</v>
      </c>
      <c r="H384" s="38">
        <f t="shared" si="0"/>
        <v>0</v>
      </c>
      <c r="I384" s="38">
        <f t="shared" si="0"/>
        <v>0</v>
      </c>
      <c r="J384" s="38">
        <f t="shared" si="0"/>
        <v>8.9285714285714281E-3</v>
      </c>
      <c r="K384" s="38">
        <f t="shared" si="0"/>
        <v>1.9444444444444445E-2</v>
      </c>
      <c r="L384" s="38">
        <f t="shared" si="0"/>
        <v>4.4345238095238097E-2</v>
      </c>
      <c r="M384" s="38">
        <f t="shared" si="0"/>
        <v>1.7708333333333333E-2</v>
      </c>
      <c r="N384" s="38">
        <f t="shared" si="0"/>
        <v>0.16810515873015874</v>
      </c>
      <c r="O384" s="38">
        <f t="shared" si="0"/>
        <v>0.21438492063492059</v>
      </c>
      <c r="P384" s="33">
        <f t="shared" si="0"/>
        <v>0.31011904761904763</v>
      </c>
      <c r="Q384" s="38">
        <f t="shared" si="0"/>
        <v>0</v>
      </c>
      <c r="R384" s="38">
        <f t="shared" si="0"/>
        <v>0</v>
      </c>
      <c r="S384" s="38">
        <f t="shared" si="0"/>
        <v>0</v>
      </c>
      <c r="T384" s="38">
        <f t="shared" si="1"/>
        <v>1</v>
      </c>
    </row>
    <row r="385" spans="2:20" x14ac:dyDescent="0.25">
      <c r="B385" s="22">
        <v>93</v>
      </c>
      <c r="C385" s="38">
        <f t="shared" si="2"/>
        <v>0</v>
      </c>
      <c r="D385" s="42">
        <f t="shared" si="0"/>
        <v>0</v>
      </c>
      <c r="E385" s="38">
        <f t="shared" si="0"/>
        <v>0</v>
      </c>
      <c r="F385" s="38">
        <f t="shared" si="0"/>
        <v>0</v>
      </c>
      <c r="G385" s="38">
        <f t="shared" si="0"/>
        <v>0</v>
      </c>
      <c r="H385" s="38">
        <f t="shared" si="0"/>
        <v>0</v>
      </c>
      <c r="I385" s="38">
        <f t="shared" si="0"/>
        <v>0</v>
      </c>
      <c r="J385" s="38">
        <f t="shared" si="0"/>
        <v>0</v>
      </c>
      <c r="K385" s="38">
        <f t="shared" si="0"/>
        <v>0</v>
      </c>
      <c r="L385" s="38">
        <f t="shared" si="0"/>
        <v>0</v>
      </c>
      <c r="M385" s="38">
        <f t="shared" si="0"/>
        <v>0</v>
      </c>
      <c r="N385" s="38">
        <f t="shared" si="0"/>
        <v>0</v>
      </c>
      <c r="O385" s="38">
        <f t="shared" si="0"/>
        <v>0</v>
      </c>
      <c r="P385" s="38">
        <f t="shared" si="0"/>
        <v>0</v>
      </c>
      <c r="Q385" s="33">
        <f t="shared" si="0"/>
        <v>1</v>
      </c>
      <c r="R385" s="38">
        <f t="shared" si="0"/>
        <v>0</v>
      </c>
      <c r="S385" s="38">
        <f t="shared" si="0"/>
        <v>0</v>
      </c>
      <c r="T385" s="38">
        <f t="shared" si="1"/>
        <v>1</v>
      </c>
    </row>
    <row r="386" spans="2:20" x14ac:dyDescent="0.25">
      <c r="B386" s="22">
        <v>95</v>
      </c>
      <c r="C386" s="38">
        <f t="shared" si="2"/>
        <v>5.2083333333333329E-2</v>
      </c>
      <c r="D386" s="42">
        <f t="shared" si="0"/>
        <v>0</v>
      </c>
      <c r="E386" s="38">
        <f t="shared" si="0"/>
        <v>0</v>
      </c>
      <c r="F386" s="38">
        <f t="shared" si="0"/>
        <v>0</v>
      </c>
      <c r="G386" s="38">
        <f t="shared" si="0"/>
        <v>2.0833333333333332E-2</v>
      </c>
      <c r="H386" s="38">
        <f t="shared" si="0"/>
        <v>0</v>
      </c>
      <c r="I386" s="38">
        <f t="shared" si="0"/>
        <v>0</v>
      </c>
      <c r="J386" s="38">
        <f t="shared" si="0"/>
        <v>0</v>
      </c>
      <c r="K386" s="38">
        <f t="shared" si="0"/>
        <v>0</v>
      </c>
      <c r="L386" s="38">
        <f t="shared" si="0"/>
        <v>0</v>
      </c>
      <c r="M386" s="38">
        <f t="shared" si="0"/>
        <v>0</v>
      </c>
      <c r="N386" s="38">
        <f t="shared" si="0"/>
        <v>0</v>
      </c>
      <c r="O386" s="38">
        <f t="shared" si="0"/>
        <v>0</v>
      </c>
      <c r="P386" s="38">
        <f t="shared" si="0"/>
        <v>6.25E-2</v>
      </c>
      <c r="Q386" s="38">
        <f t="shared" si="0"/>
        <v>0</v>
      </c>
      <c r="R386" s="33">
        <f t="shared" si="0"/>
        <v>0.86458333333333326</v>
      </c>
      <c r="S386" s="38">
        <f>SUMIF($B$1:$B$368,$B386,S$1:S$368)/COUNTIF($B$1:$B$368,$B386)</f>
        <v>0</v>
      </c>
      <c r="T386" s="38">
        <f t="shared" si="1"/>
        <v>1</v>
      </c>
    </row>
    <row r="387" spans="2:20" x14ac:dyDescent="0.25">
      <c r="B387" s="46">
        <v>99</v>
      </c>
      <c r="C387" s="38">
        <f t="shared" si="2"/>
        <v>0</v>
      </c>
      <c r="D387" s="45">
        <f t="shared" ref="D387:R387" si="3">SUMIF($B$1:$B$368,$B387,D$1:D$368)/COUNTIF($B$1:$B$368,$B387)</f>
        <v>0</v>
      </c>
      <c r="E387" s="38">
        <f t="shared" si="3"/>
        <v>0</v>
      </c>
      <c r="F387" s="38">
        <f t="shared" si="3"/>
        <v>0</v>
      </c>
      <c r="G387" s="38">
        <f t="shared" si="3"/>
        <v>0</v>
      </c>
      <c r="H387" s="38">
        <f t="shared" si="3"/>
        <v>0</v>
      </c>
      <c r="I387" s="38">
        <f t="shared" si="3"/>
        <v>0</v>
      </c>
      <c r="J387" s="38">
        <f t="shared" si="3"/>
        <v>0</v>
      </c>
      <c r="K387" s="38">
        <f t="shared" si="3"/>
        <v>0</v>
      </c>
      <c r="L387" s="38">
        <f t="shared" si="3"/>
        <v>0</v>
      </c>
      <c r="M387" s="38">
        <f t="shared" si="3"/>
        <v>0</v>
      </c>
      <c r="N387" s="38">
        <f t="shared" si="3"/>
        <v>3.125E-2</v>
      </c>
      <c r="O387" s="38">
        <f t="shared" si="3"/>
        <v>0</v>
      </c>
      <c r="P387" s="38">
        <f t="shared" si="3"/>
        <v>0</v>
      </c>
      <c r="Q387" s="38">
        <f t="shared" si="3"/>
        <v>0</v>
      </c>
      <c r="R387" s="38">
        <f t="shared" si="3"/>
        <v>0</v>
      </c>
      <c r="S387" s="33">
        <f>SUMIF($B$1:$B$368,$B387,S$1:S$368)/COUNTIF($B$1:$B$368,$B387)</f>
        <v>0.96875</v>
      </c>
      <c r="T387" s="38">
        <f t="shared" si="1"/>
        <v>1</v>
      </c>
    </row>
    <row r="388" spans="2:20" x14ac:dyDescent="0.25">
      <c r="B388" s="21" t="s">
        <v>1177</v>
      </c>
      <c r="C388" s="38">
        <f t="shared" ref="C388:R388" si="4">SUMIF($B$1:$B$368,$B388,C$1:C$368)/COUNTIF($B$1:$B$368,$B388)</f>
        <v>0.62505265374894681</v>
      </c>
      <c r="D388" s="41">
        <f>SUMIF($B$1:$B$368,$B388,D$1:D$368)/COUNTIF($B$1:$B$368,$B388)</f>
        <v>5.6866048862679035E-2</v>
      </c>
      <c r="E388" s="38">
        <f t="shared" si="4"/>
        <v>2.1061499578770011E-3</v>
      </c>
      <c r="F388" s="38">
        <f t="shared" si="4"/>
        <v>2.8959561920808767E-3</v>
      </c>
      <c r="G388" s="38">
        <f t="shared" si="4"/>
        <v>8.1086773378264542E-3</v>
      </c>
      <c r="H388" s="38">
        <f t="shared" si="4"/>
        <v>9.4776748104465052E-3</v>
      </c>
      <c r="I388" s="38">
        <f t="shared" si="4"/>
        <v>1.4795703454085934E-2</v>
      </c>
      <c r="J388" s="38">
        <f t="shared" si="4"/>
        <v>1.6375315922493684E-2</v>
      </c>
      <c r="K388" s="38">
        <f t="shared" si="4"/>
        <v>2.6379528222409441E-2</v>
      </c>
      <c r="L388" s="38">
        <f t="shared" si="4"/>
        <v>4.4439764111204726E-2</v>
      </c>
      <c r="M388" s="38">
        <f t="shared" si="4"/>
        <v>6.9871524852569519E-2</v>
      </c>
      <c r="N388" s="38">
        <f t="shared" si="4"/>
        <v>8.1139427127211464E-2</v>
      </c>
      <c r="O388" s="38">
        <f t="shared" si="4"/>
        <v>3.4909435551811294E-2</v>
      </c>
      <c r="P388" s="38">
        <f t="shared" si="4"/>
        <v>4.7914911541701776E-3</v>
      </c>
      <c r="Q388" s="38">
        <f t="shared" si="4"/>
        <v>8.4245998315080051E-4</v>
      </c>
      <c r="R388" s="38">
        <f t="shared" si="4"/>
        <v>1.0530749789385006E-3</v>
      </c>
      <c r="S388" s="38">
        <f>SUMIF($B$1:$B$368,$B388,S$1:S$368)/COUNTIF($B$1:$B$368,$B388)</f>
        <v>8.9511373209772555E-4</v>
      </c>
      <c r="T388" s="38">
        <f>SUMIF($B$1:$B$368,$B388,T$1:T$368)/COUNTIF($B$1:$B$368,$B388)</f>
        <v>1</v>
      </c>
    </row>
    <row r="389" spans="2:20" x14ac:dyDescent="0.25">
      <c r="D389" s="190">
        <f>D388/SUM($D$388:$S$388)</f>
        <v>0.15166409212189302</v>
      </c>
      <c r="E389" s="190">
        <f t="shared" ref="E389:S389" si="5">E388/SUM($D$388:$S$388)</f>
        <v>5.6171885971071488E-3</v>
      </c>
      <c r="F389" s="190">
        <f t="shared" si="5"/>
        <v>7.7236343210223294E-3</v>
      </c>
      <c r="G389" s="190">
        <f t="shared" si="5"/>
        <v>2.1626176098862523E-2</v>
      </c>
      <c r="H389" s="190">
        <f t="shared" si="5"/>
        <v>2.5277348686982167E-2</v>
      </c>
      <c r="I389" s="190">
        <f t="shared" si="5"/>
        <v>3.9460749894677724E-2</v>
      </c>
      <c r="J389" s="190">
        <f t="shared" si="5"/>
        <v>4.3673641342508077E-2</v>
      </c>
      <c r="K389" s="190">
        <f t="shared" si="5"/>
        <v>7.0355287178767045E-2</v>
      </c>
      <c r="L389" s="190">
        <f t="shared" si="5"/>
        <v>0.11852267939896084</v>
      </c>
      <c r="M389" s="190">
        <f t="shared" si="5"/>
        <v>0.18635023170902967</v>
      </c>
      <c r="N389" s="190">
        <f t="shared" si="5"/>
        <v>0.21640219070355288</v>
      </c>
      <c r="O389" s="190">
        <f t="shared" si="5"/>
        <v>9.3104900997050988E-2</v>
      </c>
      <c r="P389" s="190">
        <f t="shared" si="5"/>
        <v>1.2779104058418762E-2</v>
      </c>
      <c r="Q389" s="190">
        <f t="shared" si="5"/>
        <v>2.2468754388428594E-3</v>
      </c>
      <c r="R389" s="190">
        <f t="shared" si="5"/>
        <v>2.8085942985535744E-3</v>
      </c>
      <c r="S389" s="190">
        <f t="shared" si="5"/>
        <v>2.3873051537705381E-3</v>
      </c>
    </row>
    <row r="390" spans="2:20" x14ac:dyDescent="0.25">
      <c r="D390" s="191">
        <f t="shared" ref="D390:P390" si="6">E390+D389</f>
        <v>1</v>
      </c>
      <c r="E390" s="189">
        <f t="shared" si="6"/>
        <v>0.84833590787810709</v>
      </c>
      <c r="F390" s="189">
        <f t="shared" si="6"/>
        <v>0.84271871928099995</v>
      </c>
      <c r="G390" s="189">
        <f t="shared" si="6"/>
        <v>0.83499508495997765</v>
      </c>
      <c r="H390" s="189">
        <f t="shared" si="6"/>
        <v>0.81336890886111513</v>
      </c>
      <c r="I390" s="189">
        <f t="shared" si="6"/>
        <v>0.78809156017413295</v>
      </c>
      <c r="J390" s="189">
        <f t="shared" si="6"/>
        <v>0.74863081027945522</v>
      </c>
      <c r="K390" s="189">
        <f t="shared" si="6"/>
        <v>0.70495716893694715</v>
      </c>
      <c r="L390" s="189">
        <f t="shared" si="6"/>
        <v>0.63460188175818011</v>
      </c>
      <c r="M390" s="189">
        <f t="shared" si="6"/>
        <v>0.51607920235921922</v>
      </c>
      <c r="N390" s="189">
        <f t="shared" si="6"/>
        <v>0.32972897065018958</v>
      </c>
      <c r="O390" s="189">
        <f t="shared" si="6"/>
        <v>0.11332677994663673</v>
      </c>
      <c r="P390" s="189">
        <f t="shared" si="6"/>
        <v>2.0221878949585735E-2</v>
      </c>
      <c r="Q390" s="189">
        <f>R390+Q389</f>
        <v>7.4427748911669719E-3</v>
      </c>
      <c r="R390" s="189">
        <f>S389+R389</f>
        <v>5.1958994523241125E-3</v>
      </c>
    </row>
    <row r="391" spans="2:20" x14ac:dyDescent="0.25">
      <c r="C391" s="15"/>
      <c r="D391" s="44" t="s">
        <v>1205</v>
      </c>
      <c r="E391" s="15"/>
    </row>
    <row r="393" spans="2:20" x14ac:dyDescent="0.25">
      <c r="B393" s="22">
        <v>22</v>
      </c>
      <c r="D393" s="43">
        <v>1</v>
      </c>
    </row>
    <row r="394" spans="2:20" x14ac:dyDescent="0.25">
      <c r="B394" s="22">
        <v>40</v>
      </c>
      <c r="D394" s="43">
        <v>0.1526853354978355</v>
      </c>
    </row>
    <row r="395" spans="2:20" x14ac:dyDescent="0.25">
      <c r="B395" s="22">
        <v>60</v>
      </c>
      <c r="D395" s="51">
        <f>(D394+D396)/2</f>
        <v>0.12160232402831087</v>
      </c>
    </row>
    <row r="396" spans="2:20" x14ac:dyDescent="0.25">
      <c r="B396" s="22">
        <v>65</v>
      </c>
      <c r="D396" s="43">
        <v>9.051931255878623E-2</v>
      </c>
    </row>
    <row r="397" spans="2:20" x14ac:dyDescent="0.25">
      <c r="B397" s="22">
        <v>70</v>
      </c>
      <c r="D397" s="43">
        <v>5.0353919521834101E-2</v>
      </c>
    </row>
    <row r="398" spans="2:20" x14ac:dyDescent="0.25">
      <c r="B398" s="22">
        <v>73</v>
      </c>
      <c r="D398" s="51">
        <f>(D397+D399)/2</f>
        <v>4.1293482127439413E-2</v>
      </c>
    </row>
    <row r="399" spans="2:20" x14ac:dyDescent="0.25">
      <c r="B399" s="22">
        <v>75</v>
      </c>
      <c r="D399" s="43">
        <v>3.2233044733044731E-2</v>
      </c>
    </row>
    <row r="400" spans="2:20" x14ac:dyDescent="0.25">
      <c r="B400" s="22">
        <v>77</v>
      </c>
      <c r="D400" s="43">
        <v>1.9218641027000827E-2</v>
      </c>
    </row>
    <row r="401" spans="2:22" x14ac:dyDescent="0.25">
      <c r="B401" s="22">
        <v>80</v>
      </c>
      <c r="D401" s="51">
        <f>(D400+D402)/2</f>
        <v>1.1786448515947887E-2</v>
      </c>
    </row>
    <row r="402" spans="2:22" x14ac:dyDescent="0.25">
      <c r="B402" s="22">
        <v>83</v>
      </c>
      <c r="D402" s="43">
        <v>4.3542560048949481E-3</v>
      </c>
    </row>
    <row r="403" spans="2:22" x14ac:dyDescent="0.25">
      <c r="B403" s="22">
        <v>85</v>
      </c>
      <c r="D403" s="43">
        <v>4.1949127505925563E-3</v>
      </c>
      <c r="F403" s="47" t="s">
        <v>1201</v>
      </c>
    </row>
    <row r="404" spans="2:22" x14ac:dyDescent="0.25">
      <c r="B404" s="22">
        <v>87</v>
      </c>
      <c r="D404" s="51">
        <f>+D403-$H$407</f>
        <v>3.4159302004740451E-3</v>
      </c>
      <c r="E404" t="s">
        <v>1203</v>
      </c>
      <c r="F404" t="s">
        <v>1199</v>
      </c>
      <c r="G404" s="50" t="s">
        <v>1204</v>
      </c>
      <c r="H404" t="s">
        <v>1202</v>
      </c>
    </row>
    <row r="405" spans="2:22" x14ac:dyDescent="0.25">
      <c r="B405" s="22">
        <v>90</v>
      </c>
      <c r="D405" s="51">
        <f>+D404-$H$407</f>
        <v>2.6369476503555339E-3</v>
      </c>
      <c r="E405" t="s">
        <v>1203</v>
      </c>
      <c r="F405" t="s">
        <v>1199</v>
      </c>
    </row>
    <row r="406" spans="2:22" x14ac:dyDescent="0.25">
      <c r="B406" s="22">
        <v>93</v>
      </c>
      <c r="D406" s="51">
        <f>+D405-$H$407</f>
        <v>1.8579651002370227E-3</v>
      </c>
      <c r="E406" t="s">
        <v>1203</v>
      </c>
      <c r="F406" t="s">
        <v>1199</v>
      </c>
    </row>
    <row r="407" spans="2:22" x14ac:dyDescent="0.25">
      <c r="B407" s="22">
        <v>95</v>
      </c>
      <c r="D407" s="51">
        <f>+D406-$H$407</f>
        <v>1.0789825501185115E-3</v>
      </c>
      <c r="E407" t="s">
        <v>1203</v>
      </c>
      <c r="F407" t="s">
        <v>1199</v>
      </c>
      <c r="G407" s="50" t="s">
        <v>1204</v>
      </c>
      <c r="H407">
        <f>(D403-D408)/(4+1)</f>
        <v>7.7898255011851129E-4</v>
      </c>
    </row>
    <row r="408" spans="2:22" x14ac:dyDescent="0.25">
      <c r="B408" s="22">
        <v>99</v>
      </c>
      <c r="D408" s="48">
        <f>MAX(D387,0.03%)</f>
        <v>2.9999999999999997E-4</v>
      </c>
      <c r="E408" t="s">
        <v>1198</v>
      </c>
      <c r="F408" s="47" t="s">
        <v>1200</v>
      </c>
    </row>
    <row r="409" spans="2:22" x14ac:dyDescent="0.25">
      <c r="C409" t="s">
        <v>1206</v>
      </c>
    </row>
    <row r="410" spans="2:22" x14ac:dyDescent="0.25">
      <c r="C410" t="s">
        <v>1207</v>
      </c>
    </row>
    <row r="411" spans="2:22" x14ac:dyDescent="0.25">
      <c r="C411" t="s">
        <v>1208</v>
      </c>
    </row>
    <row r="412" spans="2:22" ht="15.75" thickBot="1" x14ac:dyDescent="0.3">
      <c r="B412" s="17" t="s">
        <v>1197</v>
      </c>
      <c r="C412" s="17"/>
      <c r="D412" s="62">
        <v>22</v>
      </c>
      <c r="E412" s="63">
        <v>40</v>
      </c>
      <c r="F412" s="63">
        <v>60</v>
      </c>
      <c r="G412" s="63">
        <v>65</v>
      </c>
      <c r="H412" s="63">
        <v>70</v>
      </c>
      <c r="I412" s="63">
        <v>73</v>
      </c>
      <c r="J412" s="63">
        <v>75</v>
      </c>
      <c r="K412" s="63">
        <v>77</v>
      </c>
      <c r="L412" s="63">
        <v>80</v>
      </c>
      <c r="M412" s="63">
        <v>83</v>
      </c>
      <c r="N412" s="63">
        <v>85</v>
      </c>
      <c r="O412" s="63">
        <v>87</v>
      </c>
      <c r="P412" s="63">
        <v>90</v>
      </c>
      <c r="Q412" s="63">
        <v>93</v>
      </c>
      <c r="R412" s="63">
        <v>95</v>
      </c>
      <c r="S412" s="63">
        <v>99</v>
      </c>
      <c r="T412" s="20" t="s">
        <v>1177</v>
      </c>
      <c r="U412" t="s">
        <v>1209</v>
      </c>
      <c r="V412" t="s">
        <v>1210</v>
      </c>
    </row>
    <row r="413" spans="2:22" x14ac:dyDescent="0.25">
      <c r="B413" s="22">
        <v>22</v>
      </c>
      <c r="C413" s="38"/>
      <c r="D413" s="53">
        <v>1</v>
      </c>
      <c r="E413" s="54">
        <v>0</v>
      </c>
      <c r="F413" s="54">
        <v>0</v>
      </c>
      <c r="G413" s="54">
        <v>0</v>
      </c>
      <c r="H413" s="54">
        <v>0</v>
      </c>
      <c r="I413" s="54">
        <v>0</v>
      </c>
      <c r="J413" s="54">
        <v>0</v>
      </c>
      <c r="K413" s="54">
        <v>0</v>
      </c>
      <c r="L413" s="54">
        <v>0</v>
      </c>
      <c r="M413" s="54">
        <v>0</v>
      </c>
      <c r="N413" s="54">
        <v>0</v>
      </c>
      <c r="O413" s="54">
        <v>0</v>
      </c>
      <c r="P413" s="54">
        <v>0</v>
      </c>
      <c r="Q413" s="54">
        <v>0</v>
      </c>
      <c r="R413" s="54">
        <v>0</v>
      </c>
      <c r="S413" s="55">
        <v>0</v>
      </c>
      <c r="T413" s="25">
        <f>+SUM(C413:S413)</f>
        <v>1</v>
      </c>
      <c r="U413" s="49">
        <f>1-T413</f>
        <v>0</v>
      </c>
      <c r="V413" s="43">
        <v>0</v>
      </c>
    </row>
    <row r="414" spans="2:22" x14ac:dyDescent="0.25">
      <c r="B414" s="22">
        <v>40</v>
      </c>
      <c r="C414" s="38"/>
      <c r="D414" s="56">
        <v>0.1526853354978355</v>
      </c>
      <c r="E414" s="33">
        <f>41.4858405483405%+V414</f>
        <v>0.62433937590187538</v>
      </c>
      <c r="F414" s="38">
        <v>6.4709595959595967E-2</v>
      </c>
      <c r="G414" s="38">
        <v>4.6085858585858584E-2</v>
      </c>
      <c r="H414" s="38">
        <v>3.125E-2</v>
      </c>
      <c r="I414" s="38">
        <v>3.125E-2</v>
      </c>
      <c r="J414" s="38">
        <v>2.1428571428571429E-2</v>
      </c>
      <c r="K414" s="38">
        <v>1.5625E-2</v>
      </c>
      <c r="L414" s="38">
        <v>0</v>
      </c>
      <c r="M414" s="38">
        <v>5.681818181818182E-3</v>
      </c>
      <c r="N414" s="38">
        <v>6.9444444444444441E-3</v>
      </c>
      <c r="O414" s="38">
        <v>0</v>
      </c>
      <c r="P414" s="38">
        <v>0</v>
      </c>
      <c r="Q414" s="38">
        <v>0</v>
      </c>
      <c r="R414" s="38">
        <v>0</v>
      </c>
      <c r="S414" s="57">
        <v>0</v>
      </c>
      <c r="T414" s="25">
        <f t="shared" ref="T414:T428" si="7">+SUM(C414:S414)</f>
        <v>0.99999999999999956</v>
      </c>
      <c r="U414" s="49">
        <f t="shared" ref="U414:U428" si="8">1-T414</f>
        <v>0</v>
      </c>
      <c r="V414" s="43">
        <v>0.20948097041847036</v>
      </c>
    </row>
    <row r="415" spans="2:22" x14ac:dyDescent="0.25">
      <c r="B415" s="22">
        <v>60</v>
      </c>
      <c r="C415" s="38"/>
      <c r="D415" s="58">
        <v>0.12160232402831087</v>
      </c>
      <c r="E415" s="38">
        <v>4.0178571428571425E-2</v>
      </c>
      <c r="F415" s="33">
        <f>33.1994047619048%+V415</f>
        <v>0.5630702950193085</v>
      </c>
      <c r="G415" s="38">
        <v>0.19747023809523812</v>
      </c>
      <c r="H415" s="38">
        <v>4.642857142857143E-2</v>
      </c>
      <c r="I415" s="38">
        <v>9.3749999999999997E-3</v>
      </c>
      <c r="J415" s="38">
        <v>9.3749999999999997E-3</v>
      </c>
      <c r="K415" s="38">
        <v>0</v>
      </c>
      <c r="L415" s="38">
        <v>1.2500000000000001E-2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v>0</v>
      </c>
      <c r="S415" s="57">
        <v>0</v>
      </c>
      <c r="T415" s="25">
        <f t="shared" si="7"/>
        <v>1.0000000000000002</v>
      </c>
      <c r="U415" s="49">
        <f t="shared" si="8"/>
        <v>0</v>
      </c>
      <c r="V415" s="43">
        <v>0.23107624740026056</v>
      </c>
    </row>
    <row r="416" spans="2:22" x14ac:dyDescent="0.25">
      <c r="B416" s="22">
        <v>65</v>
      </c>
      <c r="C416" s="38"/>
      <c r="D416" s="56">
        <v>9.051931255878623E-2</v>
      </c>
      <c r="E416" s="38">
        <v>0</v>
      </c>
      <c r="F416" s="38">
        <v>6.8120822890559735E-2</v>
      </c>
      <c r="G416" s="33">
        <f>21.7999060515508%+V416</f>
        <v>0.64007175207833111</v>
      </c>
      <c r="H416" s="38">
        <v>8.8149003774003767E-2</v>
      </c>
      <c r="I416" s="38">
        <v>8.9712918660287081E-3</v>
      </c>
      <c r="J416" s="38">
        <v>2.4772970085470084E-2</v>
      </c>
      <c r="K416" s="38">
        <v>3.4785928618165457E-2</v>
      </c>
      <c r="L416" s="38">
        <v>6.9444444444444441E-3</v>
      </c>
      <c r="M416" s="38">
        <v>2.9851973684210529E-2</v>
      </c>
      <c r="N416" s="38">
        <v>7.8125E-3</v>
      </c>
      <c r="O416" s="38">
        <v>0</v>
      </c>
      <c r="P416" s="38">
        <v>0</v>
      </c>
      <c r="Q416" s="38">
        <v>0</v>
      </c>
      <c r="R416" s="38">
        <v>0</v>
      </c>
      <c r="S416" s="57">
        <v>0</v>
      </c>
      <c r="T416" s="25">
        <f t="shared" si="7"/>
        <v>1</v>
      </c>
      <c r="U416" s="49">
        <f t="shared" si="8"/>
        <v>0</v>
      </c>
      <c r="V416" s="43">
        <v>0.42207269156282312</v>
      </c>
    </row>
    <row r="417" spans="2:23" x14ac:dyDescent="0.25">
      <c r="B417" s="22">
        <v>70</v>
      </c>
      <c r="C417" s="38"/>
      <c r="D417" s="56">
        <v>5.0353919521834101E-2</v>
      </c>
      <c r="E417" s="38">
        <v>7.8125E-3</v>
      </c>
      <c r="F417" s="38">
        <v>2.299107142857143E-2</v>
      </c>
      <c r="G417" s="38">
        <v>0.106066482700493</v>
      </c>
      <c r="H417" s="33">
        <f>20.7884650679147%+V417</f>
        <v>0.49776133253384558</v>
      </c>
      <c r="I417" s="38">
        <v>0.14084396925332784</v>
      </c>
      <c r="J417" s="38">
        <v>5.6239057668001677E-2</v>
      </c>
      <c r="K417" s="38">
        <v>7.5068410061132837E-2</v>
      </c>
      <c r="L417" s="38">
        <v>2.186221482560155E-2</v>
      </c>
      <c r="M417" s="38">
        <v>6.0068649885583521E-3</v>
      </c>
      <c r="N417" s="38">
        <v>1.499417701863354E-2</v>
      </c>
      <c r="O417" s="38">
        <v>0</v>
      </c>
      <c r="P417" s="38">
        <v>0</v>
      </c>
      <c r="Q417" s="38">
        <v>0</v>
      </c>
      <c r="R417" s="38">
        <v>0</v>
      </c>
      <c r="S417" s="57">
        <v>0</v>
      </c>
      <c r="T417" s="25">
        <f t="shared" si="7"/>
        <v>1</v>
      </c>
      <c r="U417" s="49">
        <f t="shared" si="8"/>
        <v>0</v>
      </c>
      <c r="V417" s="43">
        <v>0.28987668185469861</v>
      </c>
    </row>
    <row r="418" spans="2:23" x14ac:dyDescent="0.25">
      <c r="B418" s="22">
        <v>73</v>
      </c>
      <c r="C418" s="38"/>
      <c r="D418" s="58">
        <v>4.1293482127439413E-2</v>
      </c>
      <c r="E418" s="38">
        <v>9.8484848484848495E-3</v>
      </c>
      <c r="F418" s="38">
        <v>3.2894736842105261E-3</v>
      </c>
      <c r="G418" s="38">
        <v>7.0944150878361395E-2</v>
      </c>
      <c r="H418" s="38">
        <v>7.4378002297410192E-2</v>
      </c>
      <c r="I418" s="33">
        <f>27.922077465663%+V418</f>
        <v>0.51707439725195314</v>
      </c>
      <c r="J418" s="38">
        <v>8.5498173244883777E-2</v>
      </c>
      <c r="K418" s="38">
        <v>0.14697364495884235</v>
      </c>
      <c r="L418" s="38">
        <v>3.0308895234882074E-2</v>
      </c>
      <c r="M418" s="38">
        <v>2.0391295473532318E-2</v>
      </c>
      <c r="N418" s="38">
        <v>0</v>
      </c>
      <c r="O418" s="38">
        <v>0</v>
      </c>
      <c r="P418" s="38">
        <v>0</v>
      </c>
      <c r="Q418" s="38">
        <v>0</v>
      </c>
      <c r="R418" s="38">
        <v>0</v>
      </c>
      <c r="S418" s="57">
        <v>0</v>
      </c>
      <c r="T418" s="25">
        <f t="shared" si="7"/>
        <v>1</v>
      </c>
      <c r="U418" s="49">
        <f t="shared" si="8"/>
        <v>0</v>
      </c>
      <c r="V418" s="43">
        <v>0.23785362259532306</v>
      </c>
    </row>
    <row r="419" spans="2:23" x14ac:dyDescent="0.25">
      <c r="B419" s="22">
        <v>75</v>
      </c>
      <c r="C419" s="38"/>
      <c r="D419" s="56">
        <v>3.2233044733044731E-2</v>
      </c>
      <c r="E419" s="38">
        <v>6.2500000000000003E-3</v>
      </c>
      <c r="F419" s="38">
        <v>7.9365079365079361E-3</v>
      </c>
      <c r="G419" s="38">
        <v>1.2847222222222222E-2</v>
      </c>
      <c r="H419" s="38">
        <v>3.9934163059163051E-2</v>
      </c>
      <c r="I419" s="38">
        <v>7.5731080831195244E-2</v>
      </c>
      <c r="J419" s="33">
        <f>12.8386914461714%+V419</f>
        <v>0.43688124605816236</v>
      </c>
      <c r="K419" s="38">
        <v>0.11727778149259842</v>
      </c>
      <c r="L419" s="38">
        <v>0.13897419458560764</v>
      </c>
      <c r="M419" s="38">
        <v>7.6781812692138768E-2</v>
      </c>
      <c r="N419" s="38">
        <v>4.1870078894535409E-2</v>
      </c>
      <c r="O419" s="38">
        <v>1.3282867494824015E-2</v>
      </c>
      <c r="P419" s="38">
        <v>0</v>
      </c>
      <c r="Q419" s="38">
        <v>0</v>
      </c>
      <c r="R419" s="38">
        <v>0</v>
      </c>
      <c r="S419" s="57">
        <v>0</v>
      </c>
      <c r="T419" s="25">
        <f t="shared" si="7"/>
        <v>0.99999999999999978</v>
      </c>
      <c r="U419" s="49">
        <f t="shared" si="8"/>
        <v>0</v>
      </c>
      <c r="V419" s="43">
        <v>0.30849433159644835</v>
      </c>
    </row>
    <row r="420" spans="2:23" x14ac:dyDescent="0.25">
      <c r="B420" s="22">
        <v>77</v>
      </c>
      <c r="C420" s="38"/>
      <c r="D420" s="56">
        <v>1.9218641027000827E-2</v>
      </c>
      <c r="E420" s="38">
        <v>2.976190476190476E-3</v>
      </c>
      <c r="F420" s="38">
        <v>0</v>
      </c>
      <c r="G420" s="38">
        <v>8.4978070175438583E-3</v>
      </c>
      <c r="H420" s="38">
        <v>1.7505075790437634E-2</v>
      </c>
      <c r="I420" s="38">
        <v>5.2889198813512561E-2</v>
      </c>
      <c r="J420" s="38">
        <v>6.7070922262477378E-2</v>
      </c>
      <c r="K420" s="33">
        <f>17.8952766314523%+V420</f>
        <v>0.41350347181931785</v>
      </c>
      <c r="L420" s="38">
        <v>0.19449960604466612</v>
      </c>
      <c r="M420" s="38">
        <v>0.17193174598956701</v>
      </c>
      <c r="N420" s="38">
        <v>4.7870882425952749E-2</v>
      </c>
      <c r="O420" s="38">
        <v>4.0364583333333329E-3</v>
      </c>
      <c r="P420" s="38">
        <v>0</v>
      </c>
      <c r="Q420" s="38">
        <v>0</v>
      </c>
      <c r="R420" s="38">
        <v>0</v>
      </c>
      <c r="S420" s="57">
        <v>0</v>
      </c>
      <c r="T420" s="25">
        <f t="shared" si="7"/>
        <v>0.99999999999999978</v>
      </c>
      <c r="U420" s="49">
        <f t="shared" si="8"/>
        <v>0</v>
      </c>
      <c r="V420" s="43">
        <v>0.23455070550479484</v>
      </c>
    </row>
    <row r="421" spans="2:23" x14ac:dyDescent="0.25">
      <c r="B421" s="22">
        <v>80</v>
      </c>
      <c r="C421" s="38"/>
      <c r="D421" s="58">
        <v>1.1786448515947887E-2</v>
      </c>
      <c r="E421" s="38">
        <v>4.3652993348115305E-3</v>
      </c>
      <c r="F421" s="38">
        <v>1.4204545454545455E-3</v>
      </c>
      <c r="G421" s="38">
        <v>1.2884991785747891E-2</v>
      </c>
      <c r="H421" s="38">
        <v>2.1536859724895028E-2</v>
      </c>
      <c r="I421" s="38">
        <v>3.5155496827811897E-2</v>
      </c>
      <c r="J421" s="38">
        <v>4.2866867795373E-2</v>
      </c>
      <c r="K421" s="38">
        <v>0.11095035415614665</v>
      </c>
      <c r="L421" s="33">
        <f>23.5141756254411%+V421</f>
        <v>0.47035654514235459</v>
      </c>
      <c r="M421" s="38">
        <v>0.20149538683556059</v>
      </c>
      <c r="N421" s="38">
        <v>6.6229189716476219E-2</v>
      </c>
      <c r="O421" s="38">
        <v>1.9772860336401844E-2</v>
      </c>
      <c r="P421" s="38">
        <v>0</v>
      </c>
      <c r="Q421" s="38">
        <v>0</v>
      </c>
      <c r="R421" s="38">
        <v>1.1792452830188679E-3</v>
      </c>
      <c r="S421" s="57">
        <v>0</v>
      </c>
      <c r="T421" s="25">
        <f t="shared" si="7"/>
        <v>1.0000000000000004</v>
      </c>
      <c r="U421" s="49">
        <f t="shared" si="8"/>
        <v>0</v>
      </c>
      <c r="V421" s="43">
        <v>0.23521478888794356</v>
      </c>
    </row>
    <row r="422" spans="2:23" x14ac:dyDescent="0.25">
      <c r="B422" s="22">
        <v>83</v>
      </c>
      <c r="C422" s="38"/>
      <c r="D422" s="56">
        <v>4.3542560048949481E-3</v>
      </c>
      <c r="E422" s="38">
        <v>1.2755102040816326E-3</v>
      </c>
      <c r="F422" s="38">
        <v>0</v>
      </c>
      <c r="G422" s="38">
        <v>5.8160202734518773E-3</v>
      </c>
      <c r="H422" s="38">
        <v>1.6435605908523596E-2</v>
      </c>
      <c r="I422" s="38">
        <v>1.3711298387637511E-2</v>
      </c>
      <c r="J422" s="38">
        <v>3.563853322120912E-2</v>
      </c>
      <c r="K422" s="38">
        <v>5.0224150062293867E-2</v>
      </c>
      <c r="L422" s="38">
        <v>0.12402171774618975</v>
      </c>
      <c r="M422" s="33">
        <f>27.9166705790066%+V422</f>
        <v>0.48913224886515472</v>
      </c>
      <c r="N422" s="38">
        <v>0.21242897641875688</v>
      </c>
      <c r="O422" s="38">
        <v>4.1488095065790973E-2</v>
      </c>
      <c r="P422" s="38">
        <v>3.074713960716994E-3</v>
      </c>
      <c r="Q422" s="38">
        <v>0</v>
      </c>
      <c r="R422" s="38">
        <v>2.3988738812981063E-3</v>
      </c>
      <c r="S422" s="57">
        <v>0</v>
      </c>
      <c r="T422" s="25">
        <f t="shared" si="7"/>
        <v>1</v>
      </c>
      <c r="U422" s="49">
        <f t="shared" si="8"/>
        <v>0</v>
      </c>
      <c r="V422" s="43">
        <v>0.20996554307508875</v>
      </c>
    </row>
    <row r="423" spans="2:23" x14ac:dyDescent="0.25">
      <c r="B423" s="22">
        <v>85</v>
      </c>
      <c r="C423" s="38"/>
      <c r="D423" s="56">
        <v>4.1949127505925563E-3</v>
      </c>
      <c r="E423" s="38">
        <v>0</v>
      </c>
      <c r="F423" s="38">
        <v>2.3360785555907506E-3</v>
      </c>
      <c r="G423" s="38">
        <v>2.3360785555907506E-3</v>
      </c>
      <c r="H423" s="38">
        <v>9.8366043872324619E-3</v>
      </c>
      <c r="I423" s="38">
        <v>7.069980151844131E-3</v>
      </c>
      <c r="J423" s="38">
        <v>1.545196165501582E-2</v>
      </c>
      <c r="K423" s="38">
        <v>2.6171605111917705E-2</v>
      </c>
      <c r="L423" s="38">
        <v>6.7967274968243591E-2</v>
      </c>
      <c r="M423" s="38">
        <v>0.16564298092330268</v>
      </c>
      <c r="N423" s="33">
        <f>32.5410625835207%+V423</f>
        <v>0.55389976253815298</v>
      </c>
      <c r="O423" s="38">
        <v>0.14108562120515994</v>
      </c>
      <c r="P423" s="38">
        <v>3.1954508856682769E-3</v>
      </c>
      <c r="Q423" s="38">
        <v>0</v>
      </c>
      <c r="R423" s="38">
        <v>0</v>
      </c>
      <c r="S423" s="57">
        <v>8.1168831168831174E-4</v>
      </c>
      <c r="T423" s="25">
        <f t="shared" si="7"/>
        <v>1</v>
      </c>
      <c r="U423" s="49">
        <f t="shared" si="8"/>
        <v>0</v>
      </c>
      <c r="V423" s="43">
        <v>0.22848913670294602</v>
      </c>
    </row>
    <row r="424" spans="2:23" x14ac:dyDescent="0.25">
      <c r="B424" s="22">
        <v>87</v>
      </c>
      <c r="C424" s="38"/>
      <c r="D424" s="58">
        <v>3.4159302004740451E-3</v>
      </c>
      <c r="E424" s="38">
        <v>2.0161290322580645E-3</v>
      </c>
      <c r="F424" s="38">
        <v>0</v>
      </c>
      <c r="G424" s="38">
        <v>0</v>
      </c>
      <c r="H424" s="38">
        <v>1.6447368421052631E-3</v>
      </c>
      <c r="I424" s="38">
        <v>6.4255654575776523E-3</v>
      </c>
      <c r="J424" s="38">
        <v>5.634822167080231E-3</v>
      </c>
      <c r="K424" s="38">
        <v>3.0009404413593146E-2</v>
      </c>
      <c r="L424" s="38">
        <v>6.0170336344755257E-2</v>
      </c>
      <c r="M424" s="38">
        <v>6.9290491719748257E-2</v>
      </c>
      <c r="N424" s="38">
        <v>0.22014304804502594</v>
      </c>
      <c r="O424" s="33">
        <f>31.2140440171748%+V424</f>
        <v>0.54112174688068471</v>
      </c>
      <c r="P424" s="38">
        <v>6.0127788896697856E-2</v>
      </c>
      <c r="Q424" s="38">
        <v>0</v>
      </c>
      <c r="R424" s="38">
        <v>0</v>
      </c>
      <c r="S424" s="57">
        <v>0</v>
      </c>
      <c r="T424" s="25">
        <f t="shared" si="7"/>
        <v>1.0000000000000004</v>
      </c>
      <c r="U424" s="49">
        <f t="shared" si="8"/>
        <v>0</v>
      </c>
      <c r="V424" s="43">
        <v>0.22898130670893668</v>
      </c>
    </row>
    <row r="425" spans="2:23" x14ac:dyDescent="0.25">
      <c r="B425" s="22">
        <v>90</v>
      </c>
      <c r="C425" s="38"/>
      <c r="D425" s="58">
        <v>2.6369476503555339E-3</v>
      </c>
      <c r="E425" s="38">
        <v>0</v>
      </c>
      <c r="F425" s="38">
        <v>0</v>
      </c>
      <c r="G425" s="38">
        <v>1.5625E-2</v>
      </c>
      <c r="H425" s="38">
        <v>0</v>
      </c>
      <c r="I425" s="38">
        <v>0</v>
      </c>
      <c r="J425" s="38">
        <v>8.9285714285714281E-3</v>
      </c>
      <c r="K425" s="38">
        <v>1.9444444444444445E-2</v>
      </c>
      <c r="L425" s="38">
        <v>4.4345238095238097E-2</v>
      </c>
      <c r="M425" s="38">
        <v>1.7708333333333333E-2</v>
      </c>
      <c r="N425" s="38">
        <v>0.16810515873015874</v>
      </c>
      <c r="O425" s="38">
        <v>0.21438492063492059</v>
      </c>
      <c r="P425" s="33">
        <f>31.0119047619048%+V425</f>
        <v>0.50882138568297808</v>
      </c>
      <c r="Q425" s="38">
        <v>0</v>
      </c>
      <c r="R425" s="38">
        <v>0</v>
      </c>
      <c r="S425" s="57">
        <v>0</v>
      </c>
      <c r="T425" s="25">
        <f t="shared" si="7"/>
        <v>1.0000000000000002</v>
      </c>
      <c r="U425" s="49">
        <f t="shared" si="8"/>
        <v>0</v>
      </c>
      <c r="V425" s="43">
        <v>0.19870233806393012</v>
      </c>
    </row>
    <row r="426" spans="2:23" x14ac:dyDescent="0.25">
      <c r="B426" s="22">
        <v>93</v>
      </c>
      <c r="C426" s="38"/>
      <c r="D426" s="58">
        <v>1.8579651002370227E-3</v>
      </c>
      <c r="E426" s="38">
        <v>0</v>
      </c>
      <c r="F426" s="38">
        <v>0</v>
      </c>
      <c r="G426" s="38">
        <v>0</v>
      </c>
      <c r="H426" s="38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3">
        <f>100%+V426</f>
        <v>0.99814203489976294</v>
      </c>
      <c r="R426" s="38">
        <v>0</v>
      </c>
      <c r="S426" s="57">
        <v>0</v>
      </c>
      <c r="T426" s="25">
        <f t="shared" si="7"/>
        <v>1</v>
      </c>
      <c r="U426" s="49">
        <f t="shared" si="8"/>
        <v>0</v>
      </c>
      <c r="V426" s="43">
        <v>-1.8579651002370579E-3</v>
      </c>
    </row>
    <row r="427" spans="2:23" x14ac:dyDescent="0.25">
      <c r="B427" s="22">
        <v>95</v>
      </c>
      <c r="C427" s="38"/>
      <c r="D427" s="58">
        <v>1.0789825501185115E-3</v>
      </c>
      <c r="E427" s="38">
        <v>0</v>
      </c>
      <c r="F427" s="38">
        <v>0</v>
      </c>
      <c r="G427" s="38">
        <v>2.0833333333333332E-2</v>
      </c>
      <c r="H427" s="38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6.25E-2</v>
      </c>
      <c r="Q427" s="38">
        <v>0</v>
      </c>
      <c r="R427" s="33">
        <f>86.4583333333333%+V427</f>
        <v>0.9155876841165479</v>
      </c>
      <c r="S427" s="57">
        <v>0</v>
      </c>
      <c r="T427" s="25">
        <f t="shared" si="7"/>
        <v>0.99999999999999978</v>
      </c>
      <c r="U427" s="49">
        <f t="shared" si="8"/>
        <v>0</v>
      </c>
      <c r="V427" s="43">
        <v>5.1004350783214858E-2</v>
      </c>
    </row>
    <row r="428" spans="2:23" ht="15.75" thickBot="1" x14ac:dyDescent="0.3">
      <c r="B428" s="46">
        <v>99</v>
      </c>
      <c r="C428" s="38"/>
      <c r="D428" s="59">
        <v>2.9999999999999997E-4</v>
      </c>
      <c r="E428" s="60">
        <v>0</v>
      </c>
      <c r="F428" s="60">
        <v>0</v>
      </c>
      <c r="G428" s="60">
        <v>0</v>
      </c>
      <c r="H428" s="60">
        <v>0</v>
      </c>
      <c r="I428" s="60">
        <v>0</v>
      </c>
      <c r="J428" s="60">
        <v>0</v>
      </c>
      <c r="K428" s="60">
        <v>0</v>
      </c>
      <c r="L428" s="60">
        <v>0</v>
      </c>
      <c r="M428" s="60">
        <v>0</v>
      </c>
      <c r="N428" s="60">
        <v>3.125E-2</v>
      </c>
      <c r="O428" s="60">
        <v>0</v>
      </c>
      <c r="P428" s="60">
        <v>0</v>
      </c>
      <c r="Q428" s="60">
        <v>0</v>
      </c>
      <c r="R428" s="60">
        <v>0</v>
      </c>
      <c r="S428" s="61">
        <f>96.875%+V428</f>
        <v>0.96845000000000003</v>
      </c>
      <c r="T428" s="25">
        <f t="shared" si="7"/>
        <v>1</v>
      </c>
      <c r="U428" s="49">
        <f t="shared" si="8"/>
        <v>0</v>
      </c>
      <c r="V428" s="43">
        <v>-2.9999999999996696E-4</v>
      </c>
    </row>
    <row r="430" spans="2:23" x14ac:dyDescent="0.25">
      <c r="E430" t="s">
        <v>1220</v>
      </c>
      <c r="N430" t="s">
        <v>1220</v>
      </c>
    </row>
    <row r="431" spans="2:23" x14ac:dyDescent="0.25">
      <c r="C431" t="s">
        <v>2</v>
      </c>
      <c r="D431" t="s">
        <v>1217</v>
      </c>
      <c r="E431" t="s">
        <v>1219</v>
      </c>
      <c r="F431" t="s">
        <v>1211</v>
      </c>
      <c r="G431" t="s">
        <v>1328</v>
      </c>
      <c r="H431" t="s">
        <v>1332</v>
      </c>
      <c r="I431" s="43" t="s">
        <v>1333</v>
      </c>
      <c r="L431" t="s">
        <v>2</v>
      </c>
      <c r="M431" t="s">
        <v>1217</v>
      </c>
      <c r="N431" t="s">
        <v>1219</v>
      </c>
      <c r="O431" t="s">
        <v>1211</v>
      </c>
      <c r="P431" t="s">
        <v>1212</v>
      </c>
    </row>
    <row r="432" spans="2:23" x14ac:dyDescent="0.25">
      <c r="C432" s="65" t="s">
        <v>1215</v>
      </c>
      <c r="D432" s="65" t="s">
        <v>1216</v>
      </c>
      <c r="E432" s="65" t="s">
        <v>1218</v>
      </c>
      <c r="F432" t="s">
        <v>1330</v>
      </c>
      <c r="G432" s="65" t="s">
        <v>1331</v>
      </c>
      <c r="L432" s="65" t="s">
        <v>1215</v>
      </c>
      <c r="M432" s="65" t="s">
        <v>1216</v>
      </c>
      <c r="N432" s="65" t="s">
        <v>1218</v>
      </c>
      <c r="O432" t="s">
        <v>1213</v>
      </c>
      <c r="P432" t="s">
        <v>1214</v>
      </c>
      <c r="U432" s="65" t="s">
        <v>1239</v>
      </c>
      <c r="V432" s="65" t="s">
        <v>1245</v>
      </c>
      <c r="W432" s="65" t="s">
        <v>1246</v>
      </c>
    </row>
    <row r="433" spans="2:54" x14ac:dyDescent="0.25">
      <c r="B433" s="22">
        <v>22</v>
      </c>
      <c r="C433" s="68">
        <f>SUMIF(BDClientes!V:V,CreditMetrics!B433,BDClientes!W:W)</f>
        <v>60590712.525004372</v>
      </c>
      <c r="D433" s="69">
        <f>+D413</f>
        <v>1</v>
      </c>
      <c r="E433" s="69">
        <f>1-55%</f>
        <v>0.44999999999999996</v>
      </c>
      <c r="F433" s="196"/>
      <c r="G433" s="129">
        <f t="array" ref="G433">SQRT(SUM(TRANSPOSE(D413:S413)*(C433*($D$433:$D$448*$E$433:$E$448)-F433)^2))</f>
        <v>27265820.636251964</v>
      </c>
      <c r="H433" s="198">
        <f>F433</f>
        <v>0</v>
      </c>
      <c r="I433" s="79">
        <v>0</v>
      </c>
      <c r="K433" s="22">
        <v>22</v>
      </c>
      <c r="L433" s="76">
        <f ca="1">SUMIF(BDClientes!X:X,CreditMetrics!B433,BDClientes!W:W)</f>
        <v>61312715.511760093</v>
      </c>
      <c r="M433" s="69">
        <f t="shared" ref="M433:M448" si="9">D433</f>
        <v>1</v>
      </c>
      <c r="N433" s="69">
        <f t="shared" ref="N433:N448" si="10">+E433</f>
        <v>0.44999999999999996</v>
      </c>
      <c r="O433" s="70">
        <f ca="1">L433*M433*N433</f>
        <v>27590721.980292041</v>
      </c>
      <c r="T433" s="22">
        <v>22</v>
      </c>
      <c r="AA433">
        <v>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2:54" x14ac:dyDescent="0.25">
      <c r="B434" s="22">
        <v>40</v>
      </c>
      <c r="C434" s="71">
        <f>SUMIF(BDClientes!V:V,CreditMetrics!B434,BDClientes!W:W)</f>
        <v>281055.47847860679</v>
      </c>
      <c r="D434" s="72">
        <f t="shared" ref="D434:D448" si="11">+D414</f>
        <v>0.1526853354978355</v>
      </c>
      <c r="E434" s="72">
        <f t="shared" ref="E434:E448" si="12">1-55%</f>
        <v>0.44999999999999996</v>
      </c>
      <c r="F434" s="197"/>
      <c r="G434" s="129">
        <f t="array" ref="G434">SQRT(SUM(TRANSPOSE(D414:S414)*(C434*($D$433:$D$448*$E$433:$E$448)-F434)^2))</f>
        <v>51952.694073003622</v>
      </c>
      <c r="H434" s="198">
        <f t="shared" ref="H434:H441" si="13">interpolar(0.01, D457:S457,D510:S510)</f>
        <v>119456.34152581879</v>
      </c>
      <c r="I434" s="79">
        <f t="shared" ref="I434:I448" si="14">H434-F434</f>
        <v>119456.34152581879</v>
      </c>
      <c r="K434" s="22">
        <v>40</v>
      </c>
      <c r="L434" s="75">
        <f ca="1">SUMIF(BDClientes!X:X,CreditMetrics!B434,BDClientes!W:W)</f>
        <v>795174.12701844401</v>
      </c>
      <c r="M434" s="72">
        <f t="shared" si="9"/>
        <v>0.1526853354978355</v>
      </c>
      <c r="N434" s="72">
        <f t="shared" si="10"/>
        <v>0.44999999999999996</v>
      </c>
      <c r="O434" s="70">
        <f t="shared" ref="O434:O448" ca="1" si="15">L434*M434*N434</f>
        <v>54635.142763354306</v>
      </c>
      <c r="T434" s="22">
        <v>40</v>
      </c>
      <c r="U434" s="28">
        <f>F434/C434</f>
        <v>0</v>
      </c>
      <c r="V434" s="28">
        <v>5.7000000000000002E-2</v>
      </c>
      <c r="W434" s="28">
        <f>+U434+V434</f>
        <v>5.7000000000000002E-2</v>
      </c>
      <c r="AA434">
        <v>0</v>
      </c>
      <c r="AB434">
        <v>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2:54" x14ac:dyDescent="0.25">
      <c r="B435" s="22">
        <v>60</v>
      </c>
      <c r="C435" s="71">
        <f>SUMIF(BDClientes!V:V,CreditMetrics!B435,BDClientes!W:W)</f>
        <v>169733.49963253518</v>
      </c>
      <c r="D435" s="72">
        <f t="shared" si="11"/>
        <v>0.12160232402831087</v>
      </c>
      <c r="E435" s="72">
        <f t="shared" si="12"/>
        <v>0.44999999999999996</v>
      </c>
      <c r="F435" s="197"/>
      <c r="G435" s="129">
        <f t="array" ref="G435">SQRT(SUM(TRANSPOSE(D415:S415)*(C435*($D$433:$D$448*$E$433:$E$448)-F435)^2))</f>
        <v>27816.234295385217</v>
      </c>
      <c r="H435" s="198">
        <f t="shared" si="13"/>
        <v>71057.976100072512</v>
      </c>
      <c r="I435" s="79">
        <f t="shared" si="14"/>
        <v>71057.976100072512</v>
      </c>
      <c r="K435" s="22">
        <v>60</v>
      </c>
      <c r="L435" s="75">
        <f ca="1">SUMIF(BDClientes!X:X,CreditMetrics!B435,BDClientes!W:W)</f>
        <v>923730.35475513479</v>
      </c>
      <c r="M435" s="72">
        <f t="shared" si="9"/>
        <v>0.12160232402831087</v>
      </c>
      <c r="N435" s="72">
        <f t="shared" si="10"/>
        <v>0.44999999999999996</v>
      </c>
      <c r="O435" s="70">
        <f t="shared" ca="1" si="15"/>
        <v>50547.491061174194</v>
      </c>
      <c r="T435" s="46">
        <v>60</v>
      </c>
      <c r="U435" s="83">
        <f t="shared" ref="U435:U448" si="16">F435/C435</f>
        <v>0</v>
      </c>
      <c r="V435" s="83">
        <v>5.9799999999999999E-2</v>
      </c>
      <c r="W435" s="83">
        <f t="shared" ref="W435:W448" si="17">+U435+V435</f>
        <v>5.9799999999999999E-2</v>
      </c>
      <c r="AA435">
        <v>0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2:54" x14ac:dyDescent="0.25">
      <c r="B436" s="22">
        <v>65</v>
      </c>
      <c r="C436" s="71">
        <f>SUMIF(BDClientes!V:V,CreditMetrics!B436,BDClientes!W:W)</f>
        <v>816224.21587029588</v>
      </c>
      <c r="D436" s="72">
        <f t="shared" si="11"/>
        <v>9.051931255878623E-2</v>
      </c>
      <c r="E436" s="72">
        <f t="shared" si="12"/>
        <v>0.44999999999999996</v>
      </c>
      <c r="F436" s="197"/>
      <c r="G436" s="129">
        <f t="array" ref="G436">SQRT(SUM(TRANSPOSE(D416:S416)*(C436*($D$433:$D$448*$E$433:$E$448)-F436)^2))</f>
        <v>114424.8498479134</v>
      </c>
      <c r="H436" s="198">
        <f t="shared" si="13"/>
        <v>332919.34610733966</v>
      </c>
      <c r="I436" s="79">
        <f t="shared" si="14"/>
        <v>332919.34610733966</v>
      </c>
      <c r="K436" s="22">
        <v>65</v>
      </c>
      <c r="L436" s="75">
        <f ca="1">SUMIF(BDClientes!X:X,CreditMetrics!B436,BDClientes!W:W)</f>
        <v>1358398.316931573</v>
      </c>
      <c r="M436" s="72">
        <f t="shared" si="9"/>
        <v>9.051931255878623E-2</v>
      </c>
      <c r="N436" s="72">
        <f t="shared" si="10"/>
        <v>0.44999999999999996</v>
      </c>
      <c r="O436" s="70">
        <f t="shared" ca="1" si="15"/>
        <v>55332.576823346193</v>
      </c>
      <c r="T436" s="22">
        <v>65</v>
      </c>
      <c r="U436" s="28">
        <f t="shared" si="16"/>
        <v>0</v>
      </c>
      <c r="V436" s="28">
        <v>7.5600000000000001E-2</v>
      </c>
      <c r="W436" s="28">
        <f t="shared" si="17"/>
        <v>7.5600000000000001E-2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2:54" x14ac:dyDescent="0.25">
      <c r="B437" s="22">
        <v>70</v>
      </c>
      <c r="C437" s="71">
        <f>SUMIF(BDClientes!V:V,CreditMetrics!B437,BDClientes!W:W)</f>
        <v>2261207.9731027749</v>
      </c>
      <c r="D437" s="72">
        <f t="shared" si="11"/>
        <v>5.0353919521834101E-2</v>
      </c>
      <c r="E437" s="72">
        <f t="shared" si="12"/>
        <v>0.44999999999999996</v>
      </c>
      <c r="F437" s="197"/>
      <c r="G437" s="129">
        <f t="array" ref="G437">SQRT(SUM(TRANSPOSE(D417:S417)*(C437*($D$433:$D$448*$E$433:$E$448)-F437)^2))</f>
        <v>234999.52668678007</v>
      </c>
      <c r="H437" s="198">
        <f t="shared" si="13"/>
        <v>846319.65697250271</v>
      </c>
      <c r="I437" s="79">
        <f t="shared" si="14"/>
        <v>846319.65697250271</v>
      </c>
      <c r="K437" s="22">
        <v>70</v>
      </c>
      <c r="L437" s="75">
        <f ca="1">SUMIF(BDClientes!X:X,CreditMetrics!B437,BDClientes!W:W)</f>
        <v>5418549.5837211367</v>
      </c>
      <c r="M437" s="72">
        <f t="shared" si="9"/>
        <v>5.0353919521834101E-2</v>
      </c>
      <c r="N437" s="72">
        <f t="shared" si="10"/>
        <v>0.44999999999999996</v>
      </c>
      <c r="O437" s="70">
        <f t="shared" ca="1" si="15"/>
        <v>122780.34434869279</v>
      </c>
      <c r="T437" s="46">
        <v>70</v>
      </c>
      <c r="U437" s="83">
        <f t="shared" si="16"/>
        <v>0</v>
      </c>
      <c r="V437" s="83">
        <v>6.4000000000000001E-2</v>
      </c>
      <c r="W437" s="83">
        <f t="shared" si="17"/>
        <v>6.4000000000000001E-2</v>
      </c>
      <c r="AA437">
        <v>0</v>
      </c>
      <c r="AB437">
        <v>0</v>
      </c>
      <c r="AC437">
        <v>0</v>
      </c>
      <c r="AD437">
        <v>0</v>
      </c>
      <c r="AE437">
        <v>1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2:54" x14ac:dyDescent="0.25">
      <c r="B438" s="22">
        <v>73</v>
      </c>
      <c r="C438" s="71">
        <f>SUMIF(BDClientes!V:V,CreditMetrics!B438,BDClientes!W:W)</f>
        <v>7806609.9379757084</v>
      </c>
      <c r="D438" s="72">
        <f t="shared" si="11"/>
        <v>4.1293482127439413E-2</v>
      </c>
      <c r="E438" s="72">
        <f t="shared" si="12"/>
        <v>0.44999999999999996</v>
      </c>
      <c r="F438" s="197"/>
      <c r="G438" s="129">
        <f t="array" ref="G438">SQRT(SUM(TRANSPOSE(D418:S418)*(C438*($D$433:$D$448*$E$433:$E$448)-F438)^2))</f>
        <v>731601.77643238916</v>
      </c>
      <c r="H438" s="198">
        <f t="shared" si="13"/>
        <v>2792135.5810901239</v>
      </c>
      <c r="I438" s="79">
        <f t="shared" si="14"/>
        <v>2792135.5810901239</v>
      </c>
      <c r="K438" s="22">
        <v>73</v>
      </c>
      <c r="L438" s="75">
        <f ca="1">SUMIF(BDClientes!X:X,CreditMetrics!B438,BDClientes!W:W)</f>
        <v>18058537.935965627</v>
      </c>
      <c r="M438" s="72">
        <f t="shared" si="9"/>
        <v>4.1293482127439413E-2</v>
      </c>
      <c r="N438" s="72">
        <f t="shared" si="10"/>
        <v>0.44999999999999996</v>
      </c>
      <c r="O438" s="70">
        <f t="shared" ca="1" si="15"/>
        <v>335564.96107791748</v>
      </c>
      <c r="T438" s="22">
        <v>73</v>
      </c>
      <c r="U438" s="52">
        <f t="shared" si="16"/>
        <v>0</v>
      </c>
      <c r="V438" s="52">
        <v>5.6299645449944147E-2</v>
      </c>
      <c r="W438" s="28">
        <v>7.4881712407291884E-2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2:54" x14ac:dyDescent="0.25">
      <c r="B439" s="22">
        <v>75</v>
      </c>
      <c r="C439" s="71">
        <f>SUMIF(BDClientes!V:V,CreditMetrics!B439,BDClientes!W:W)</f>
        <v>6934900.7041493636</v>
      </c>
      <c r="D439" s="72">
        <f t="shared" si="11"/>
        <v>3.2233044733044731E-2</v>
      </c>
      <c r="E439" s="72">
        <f t="shared" si="12"/>
        <v>0.44999999999999996</v>
      </c>
      <c r="F439" s="197"/>
      <c r="G439" s="129">
        <f t="array" ref="G439">SQRT(SUM(TRANSPOSE(D419:S419)*(C439*($D$433:$D$448*$E$433:$E$448)-F439)^2))</f>
        <v>569908.11327218625</v>
      </c>
      <c r="H439" s="198">
        <f t="shared" si="13"/>
        <v>2300361.0395980361</v>
      </c>
      <c r="I439" s="79">
        <f t="shared" si="14"/>
        <v>2300361.0395980361</v>
      </c>
      <c r="K439" s="22">
        <v>75</v>
      </c>
      <c r="L439" s="75">
        <f ca="1">SUMIF(BDClientes!X:X,CreditMetrics!B439,BDClientes!W:W)</f>
        <v>7117079.1918292427</v>
      </c>
      <c r="M439" s="72">
        <f t="shared" si="9"/>
        <v>3.2233044733044731E-2</v>
      </c>
      <c r="N439" s="72">
        <f t="shared" si="10"/>
        <v>0.44999999999999996</v>
      </c>
      <c r="O439" s="70">
        <f t="shared" ca="1" si="15"/>
        <v>103232.30938148421</v>
      </c>
      <c r="T439" s="46">
        <v>75</v>
      </c>
      <c r="U439" s="83">
        <f t="shared" si="16"/>
        <v>0</v>
      </c>
      <c r="V439" s="83">
        <v>0.05</v>
      </c>
      <c r="W439" s="83">
        <f t="shared" si="17"/>
        <v>0.05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1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2:54" x14ac:dyDescent="0.25">
      <c r="B440" s="22">
        <v>77</v>
      </c>
      <c r="C440" s="71">
        <f>SUMIF(BDClientes!V:V,CreditMetrics!B440,BDClientes!W:W)</f>
        <v>23533594.558884326</v>
      </c>
      <c r="D440" s="72">
        <f t="shared" si="11"/>
        <v>1.9218641027000827E-2</v>
      </c>
      <c r="E440" s="72">
        <f t="shared" si="12"/>
        <v>0.44999999999999996</v>
      </c>
      <c r="F440" s="197"/>
      <c r="G440" s="129">
        <f t="array" ref="G440">SQRT(SUM(TRANSPOSE(D420:S420)*(C440*($D$433:$D$448*$E$433:$E$448)-F440)^2))</f>
        <v>1488120.8792622371</v>
      </c>
      <c r="H440" s="198">
        <f t="shared" si="13"/>
        <v>5921128.7881513024</v>
      </c>
      <c r="I440" s="79">
        <f t="shared" si="14"/>
        <v>5921128.7881513024</v>
      </c>
      <c r="K440" s="22">
        <v>77</v>
      </c>
      <c r="L440" s="75">
        <f ca="1">SUMIF(BDClientes!X:X,CreditMetrics!B440,BDClientes!W:W)</f>
        <v>22453149.399540003</v>
      </c>
      <c r="M440" s="72">
        <f t="shared" si="9"/>
        <v>1.9218641027000827E-2</v>
      </c>
      <c r="N440" s="72">
        <f t="shared" si="10"/>
        <v>0.44999999999999996</v>
      </c>
      <c r="O440" s="70">
        <f t="shared" ca="1" si="15"/>
        <v>194183.5582059203</v>
      </c>
      <c r="T440" s="22">
        <v>77</v>
      </c>
      <c r="U440" s="28">
        <f t="shared" si="16"/>
        <v>0</v>
      </c>
      <c r="V440" s="28">
        <v>0.11799999999999999</v>
      </c>
      <c r="W440" s="28">
        <f t="shared" si="17"/>
        <v>0.11799999999999999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1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2:54" x14ac:dyDescent="0.25">
      <c r="B441" s="22">
        <v>80</v>
      </c>
      <c r="C441" s="71">
        <f>SUMIF(BDClientes!V:V,CreditMetrics!B441,BDClientes!W:W)</f>
        <v>34929740.846735984</v>
      </c>
      <c r="D441" s="72">
        <f t="shared" si="11"/>
        <v>1.1786448515947887E-2</v>
      </c>
      <c r="E441" s="72">
        <f t="shared" si="12"/>
        <v>0.44999999999999996</v>
      </c>
      <c r="F441" s="197"/>
      <c r="G441" s="129">
        <f t="array" ref="G441">SQRT(SUM(TRANSPOSE(D421:S421)*(C441*($D$433:$D$448*$E$433:$E$448)-F441)^2))</f>
        <v>1742220.019731479</v>
      </c>
      <c r="H441" s="198">
        <f t="shared" si="13"/>
        <v>4418612.5272459351</v>
      </c>
      <c r="I441" s="79">
        <f t="shared" si="14"/>
        <v>4418612.5272459351</v>
      </c>
      <c r="K441" s="22">
        <v>80</v>
      </c>
      <c r="L441" s="75">
        <f ca="1">SUMIF(BDClientes!X:X,CreditMetrics!B441,BDClientes!W:W)</f>
        <v>31160931.047799435</v>
      </c>
      <c r="M441" s="72">
        <f t="shared" si="9"/>
        <v>1.1786448515947887E-2</v>
      </c>
      <c r="N441" s="72">
        <f t="shared" si="10"/>
        <v>0.44999999999999996</v>
      </c>
      <c r="O441" s="70">
        <f t="shared" ca="1" si="15"/>
        <v>165274.51927675051</v>
      </c>
      <c r="T441" s="46">
        <v>80</v>
      </c>
      <c r="U441" s="83">
        <f t="shared" si="16"/>
        <v>0</v>
      </c>
      <c r="V441" s="83">
        <v>2.18E-2</v>
      </c>
      <c r="W441" s="83">
        <f t="shared" si="17"/>
        <v>2.18E-2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1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2:54" x14ac:dyDescent="0.25">
      <c r="B442" s="22">
        <v>83</v>
      </c>
      <c r="C442" s="71">
        <f>SUMIF(BDClientes!V:V,CreditMetrics!B442,BDClientes!W:W)</f>
        <v>37032914.249727823</v>
      </c>
      <c r="D442" s="72">
        <f t="shared" si="11"/>
        <v>4.3542560048949481E-3</v>
      </c>
      <c r="E442" s="72">
        <f t="shared" si="12"/>
        <v>0.44999999999999996</v>
      </c>
      <c r="F442" s="197"/>
      <c r="G442" s="129">
        <f t="array" ref="G442">SQRT(SUM(TRANSPOSE(D422:S422)*(C442*($D$433:$D$448*$E$433:$E$448)-F442)^2))</f>
        <v>1128175.3121932854</v>
      </c>
      <c r="H442" s="198">
        <f>G518+((G518-H518)/(G465-H465))*(0.01-G465)</f>
        <v>1005529.8948421751</v>
      </c>
      <c r="I442" s="79">
        <f t="shared" si="14"/>
        <v>1005529.8948421751</v>
      </c>
      <c r="K442" s="22">
        <v>83</v>
      </c>
      <c r="L442" s="75">
        <f ca="1">SUMIF(BDClientes!X:X,CreditMetrics!B442,BDClientes!W:W)</f>
        <v>42753131.819939755</v>
      </c>
      <c r="M442" s="72">
        <f t="shared" si="9"/>
        <v>4.3542560048949481E-3</v>
      </c>
      <c r="N442" s="72">
        <f t="shared" si="10"/>
        <v>0.44999999999999996</v>
      </c>
      <c r="O442" s="70">
        <f t="shared" ca="1" si="15"/>
        <v>83771.136429767081</v>
      </c>
      <c r="T442" s="22">
        <v>83</v>
      </c>
      <c r="U442" s="28">
        <f t="shared" si="16"/>
        <v>0</v>
      </c>
      <c r="V442" s="28">
        <v>2.0400000000000001E-2</v>
      </c>
      <c r="W442" s="28">
        <f t="shared" si="17"/>
        <v>2.0400000000000001E-2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1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2:54" x14ac:dyDescent="0.25">
      <c r="B443" s="22">
        <v>85</v>
      </c>
      <c r="C443" s="71">
        <f>SUMIF(BDClientes!V:V,CreditMetrics!B443,BDClientes!W:W)</f>
        <v>64529622.378504254</v>
      </c>
      <c r="D443" s="72">
        <f t="shared" si="11"/>
        <v>4.1949127505925563E-3</v>
      </c>
      <c r="E443" s="72">
        <f t="shared" si="12"/>
        <v>0.44999999999999996</v>
      </c>
      <c r="F443" s="197"/>
      <c r="G443" s="129">
        <f t="array" ref="G443">SQRT(SUM(TRANSPOSE(D423:S423)*(C443*($D$433:$D$448*$E$433:$E$448)-F443)^2))</f>
        <v>1911973.5227206221</v>
      </c>
      <c r="H443" s="198">
        <f t="array" ref="H443">interpolar(0.01, D466:S466,D519:S519)</f>
        <v>1431891.2168267393</v>
      </c>
      <c r="I443" s="79">
        <f t="shared" si="14"/>
        <v>1431891.2168267393</v>
      </c>
      <c r="K443" s="22">
        <v>85</v>
      </c>
      <c r="L443" s="75">
        <f ca="1">SUMIF(BDClientes!X:X,CreditMetrics!B443,BDClientes!W:W)</f>
        <v>49201905.52448535</v>
      </c>
      <c r="M443" s="72">
        <f t="shared" si="9"/>
        <v>4.1949127505925563E-3</v>
      </c>
      <c r="N443" s="72">
        <f t="shared" si="10"/>
        <v>0.44999999999999996</v>
      </c>
      <c r="O443" s="70">
        <f t="shared" ca="1" si="15"/>
        <v>92878.965377151253</v>
      </c>
      <c r="T443" s="46">
        <v>85</v>
      </c>
      <c r="U443" s="83">
        <f t="shared" si="16"/>
        <v>0</v>
      </c>
      <c r="V443" s="83">
        <v>0.1226</v>
      </c>
      <c r="W443" s="83">
        <f t="shared" si="17"/>
        <v>0.1226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1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2:54" x14ac:dyDescent="0.25">
      <c r="B444" s="22">
        <v>87</v>
      </c>
      <c r="C444" s="71">
        <f>SUMIF(BDClientes!V:V,CreditMetrics!B444,BDClientes!W:W)</f>
        <v>24381892.309420925</v>
      </c>
      <c r="D444" s="72">
        <f t="shared" si="11"/>
        <v>3.4159302004740451E-3</v>
      </c>
      <c r="E444" s="72">
        <f t="shared" si="12"/>
        <v>0.44999999999999996</v>
      </c>
      <c r="F444" s="197"/>
      <c r="G444" s="129">
        <f t="array" ref="G444">SQRT(SUM(TRANSPOSE(D424:S424)*(C444*($D$433:$D$448*$E$433:$E$448)-F444)^2))</f>
        <v>650518.47473548958</v>
      </c>
      <c r="H444" s="198">
        <f>interpolar(0.01, D467:S467,D520:S520)</f>
        <v>407841.13540051458</v>
      </c>
      <c r="I444" s="79">
        <f t="shared" si="14"/>
        <v>407841.13540051458</v>
      </c>
      <c r="K444" s="22">
        <v>87</v>
      </c>
      <c r="L444" s="75">
        <f ca="1">SUMIF(BDClientes!X:X,CreditMetrics!B444,BDClientes!W:W)</f>
        <v>21724919.566152152</v>
      </c>
      <c r="M444" s="72">
        <f t="shared" si="9"/>
        <v>3.4159302004740451E-3</v>
      </c>
      <c r="N444" s="72">
        <f t="shared" si="10"/>
        <v>0.44999999999999996</v>
      </c>
      <c r="O444" s="70">
        <f t="shared" ca="1" si="15"/>
        <v>33394.863981999879</v>
      </c>
      <c r="T444" s="22">
        <v>87</v>
      </c>
      <c r="U444" s="52">
        <f t="shared" si="16"/>
        <v>0</v>
      </c>
      <c r="V444" s="52">
        <v>1.7000000000000001E-2</v>
      </c>
      <c r="W444" s="28">
        <f t="shared" si="17"/>
        <v>1.7000000000000001E-2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1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2:54" x14ac:dyDescent="0.25">
      <c r="B445" s="22">
        <v>90</v>
      </c>
      <c r="C445" s="71">
        <f>SUMIF(BDClientes!V:V,CreditMetrics!B445,BDClientes!W:W)</f>
        <v>1113086.6980133154</v>
      </c>
      <c r="D445" s="72">
        <f t="shared" si="11"/>
        <v>2.6369476503555339E-3</v>
      </c>
      <c r="E445" s="72">
        <f t="shared" si="12"/>
        <v>0.44999999999999996</v>
      </c>
      <c r="F445" s="197"/>
      <c r="G445" s="129">
        <f t="array" ref="G445">SQRT(SUM(TRANSPOSE(D425:S425)*(C445*($D$433:$D$448*$E$433:$E$448)-F445)^2))</f>
        <v>26490.008910431054</v>
      </c>
      <c r="H445" s="198">
        <f>G521+((G521-H521)/(G468-H468))*(0.01-G468)</f>
        <v>35859.626010858454</v>
      </c>
      <c r="I445" s="79">
        <f t="shared" si="14"/>
        <v>35859.626010858454</v>
      </c>
      <c r="K445" s="22">
        <v>90</v>
      </c>
      <c r="L445" s="75">
        <f ca="1">SUMIF(BDClientes!X:X,CreditMetrics!B445,BDClientes!W:W)</f>
        <v>1945956.1255096546</v>
      </c>
      <c r="M445" s="72">
        <f t="shared" si="9"/>
        <v>2.6369476503555339E-3</v>
      </c>
      <c r="N445" s="72">
        <f t="shared" si="10"/>
        <v>0.44999999999999996</v>
      </c>
      <c r="O445" s="70">
        <f t="shared" ca="1" si="15"/>
        <v>2309.1229947859388</v>
      </c>
      <c r="T445" s="46">
        <v>90</v>
      </c>
      <c r="U445" s="83">
        <f t="shared" si="16"/>
        <v>0</v>
      </c>
      <c r="V445" s="83">
        <v>1.4963766258320287E-2</v>
      </c>
      <c r="W445" s="83">
        <f t="shared" si="17"/>
        <v>1.4963766258320287E-2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2:54" x14ac:dyDescent="0.25">
      <c r="B446" s="22">
        <v>93</v>
      </c>
      <c r="C446" s="71">
        <f>SUMIF(BDClientes!V:V,CreditMetrics!B446,BDClientes!W:W)</f>
        <v>0</v>
      </c>
      <c r="D446" s="72">
        <f t="shared" si="11"/>
        <v>1.8579651002370227E-3</v>
      </c>
      <c r="E446" s="72">
        <f t="shared" si="12"/>
        <v>0.44999999999999996</v>
      </c>
      <c r="F446" s="197"/>
      <c r="G446" s="129">
        <f t="array" ref="G446">SQRT(SUM(TRANSPOSE(D426:S426)*(C446*($D$433:$D$448*$E$433:$E$448)-F446)^2))</f>
        <v>0</v>
      </c>
      <c r="H446" s="198">
        <f>D522+((D522-R522)/(Q469-R469))*(0.01-Q469)</f>
        <v>0</v>
      </c>
      <c r="I446" s="79">
        <f t="shared" si="14"/>
        <v>0</v>
      </c>
      <c r="K446" s="22">
        <v>93</v>
      </c>
      <c r="L446" s="75">
        <f ca="1">SUMIF(BDClientes!X:X,CreditMetrics!B446,BDClientes!W:W)</f>
        <v>0</v>
      </c>
      <c r="M446" s="72">
        <f t="shared" si="9"/>
        <v>1.8579651002370227E-3</v>
      </c>
      <c r="N446" s="72">
        <f t="shared" si="10"/>
        <v>0.44999999999999996</v>
      </c>
      <c r="O446" s="70">
        <f t="shared" ca="1" si="15"/>
        <v>0</v>
      </c>
      <c r="T446" s="46">
        <v>93</v>
      </c>
      <c r="U446" s="83" t="e">
        <f t="shared" si="16"/>
        <v>#DIV/0!</v>
      </c>
      <c r="V446" s="83">
        <v>4.0899999999999999E-2</v>
      </c>
      <c r="W446" s="83" t="e">
        <f t="shared" si="17"/>
        <v>#DIV/0!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1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2:54" x14ac:dyDescent="0.25">
      <c r="B447" s="22">
        <v>95</v>
      </c>
      <c r="C447" s="71">
        <f>SUMIF(BDClientes!V:V,CreditMetrics!B447,BDClientes!W:W)</f>
        <v>2900803.7503954438</v>
      </c>
      <c r="D447" s="72">
        <f t="shared" si="11"/>
        <v>1.0789825501185115E-3</v>
      </c>
      <c r="E447" s="72">
        <f t="shared" si="12"/>
        <v>0.44999999999999996</v>
      </c>
      <c r="F447" s="197"/>
      <c r="G447" s="129">
        <f t="array" ref="G447">SQRT(SUM(TRANSPOSE(D427:S427)*(C447*($D$433:$D$448*$E$433:$E$448)-F447)^2))</f>
        <v>46173.396253485393</v>
      </c>
      <c r="H447" s="198">
        <f>AVERAGE(D523:G523)+((AVERAGE(D523:G523)-H523)/(G470-H470))*(0.01-G470)</f>
        <v>282817.22823546827</v>
      </c>
      <c r="I447" s="79">
        <f>H447-F447</f>
        <v>282817.22823546827</v>
      </c>
      <c r="K447" s="22">
        <v>95</v>
      </c>
      <c r="L447" s="75">
        <f ca="1">SUMIF(BDClientes!X:X,CreditMetrics!B447,BDClientes!W:W)</f>
        <v>3057920.620488123</v>
      </c>
      <c r="M447" s="72">
        <f t="shared" si="9"/>
        <v>1.0789825501185115E-3</v>
      </c>
      <c r="N447" s="72">
        <f t="shared" si="10"/>
        <v>0.44999999999999996</v>
      </c>
      <c r="O447" s="70">
        <f t="shared" ca="1" si="15"/>
        <v>1484.7493451194152</v>
      </c>
      <c r="T447" s="22">
        <v>95</v>
      </c>
      <c r="U447" s="28">
        <f t="shared" si="16"/>
        <v>0</v>
      </c>
      <c r="V447" s="28">
        <v>6.1000000000000004E-3</v>
      </c>
      <c r="W447" s="28">
        <f t="shared" si="17"/>
        <v>6.1000000000000004E-3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1</v>
      </c>
      <c r="AP447">
        <v>0</v>
      </c>
    </row>
    <row r="448" spans="2:54" x14ac:dyDescent="0.25">
      <c r="B448" s="46">
        <v>99</v>
      </c>
      <c r="C448" s="73">
        <f>SUMIF(BDClientes!V:V,CreditMetrics!B448,BDClientes!W:W)</f>
        <v>0</v>
      </c>
      <c r="D448" s="74">
        <f t="shared" si="11"/>
        <v>2.9999999999999997E-4</v>
      </c>
      <c r="E448" s="74">
        <f t="shared" si="12"/>
        <v>0.44999999999999996</v>
      </c>
      <c r="F448" s="197"/>
      <c r="G448" s="129">
        <f t="array" ref="G448">SQRT(SUM(TRANSPOSE(D428:S428)*(C448*($D$433:$D$448*$E$433:$E$448)-F448)^2))</f>
        <v>0</v>
      </c>
      <c r="H448" s="198">
        <f>D524+((D524-O524)/(N471-O471))*(0.01-N471)</f>
        <v>0</v>
      </c>
      <c r="I448" s="79">
        <f t="shared" si="14"/>
        <v>0</v>
      </c>
      <c r="K448" s="46">
        <v>99</v>
      </c>
      <c r="L448" s="77">
        <f ca="1">SUMIF(BDClientes!X:X,CreditMetrics!B448,BDClientes!W:W)</f>
        <v>0</v>
      </c>
      <c r="M448" s="74">
        <f t="shared" si="9"/>
        <v>2.9999999999999997E-4</v>
      </c>
      <c r="N448" s="74">
        <f t="shared" si="10"/>
        <v>0.44999999999999996</v>
      </c>
      <c r="O448" s="70">
        <f t="shared" ca="1" si="15"/>
        <v>0</v>
      </c>
      <c r="T448" s="46">
        <v>99</v>
      </c>
      <c r="U448" s="83" t="e">
        <f t="shared" si="16"/>
        <v>#DIV/0!</v>
      </c>
      <c r="V448" s="83">
        <v>0</v>
      </c>
      <c r="W448" s="83" t="e">
        <f t="shared" si="17"/>
        <v>#DIV/0!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50" spans="2:27" x14ac:dyDescent="0.25">
      <c r="C450" s="66">
        <f>SUM(C433:C448)</f>
        <v>267282099.12589571</v>
      </c>
      <c r="E450" s="50" t="s">
        <v>1221</v>
      </c>
      <c r="F450" s="136">
        <f>+SUM(F433:F448)</f>
        <v>0</v>
      </c>
      <c r="G450" s="129">
        <f>+SUM(G433:G448)</f>
        <v>35990195.444666661</v>
      </c>
      <c r="H450" s="137">
        <f>SUM(H433:H448)</f>
        <v>19965930.358106885</v>
      </c>
      <c r="I450" s="137">
        <f>H450-F450</f>
        <v>19965930.358106885</v>
      </c>
      <c r="L450" s="66">
        <f ca="1">SUM(L433:L448)</f>
        <v>267282099.12589574</v>
      </c>
      <c r="N450" s="50" t="s">
        <v>1231</v>
      </c>
      <c r="O450" s="66">
        <f ca="1">+SUM(O433:O448)</f>
        <v>28886111.721359503</v>
      </c>
      <c r="AA450" s="184">
        <f t="array" ref="AA450">SQRT(MMULT(MMULT(TRANSPOSE(H433:H448),AA433:AP448),H433:H448))</f>
        <v>8475081.4054570422</v>
      </c>
    </row>
    <row r="451" spans="2:27" x14ac:dyDescent="0.25">
      <c r="D451" s="66"/>
    </row>
    <row r="452" spans="2:27" x14ac:dyDescent="0.25">
      <c r="F452" t="s">
        <v>1230</v>
      </c>
    </row>
    <row r="453" spans="2:27" x14ac:dyDescent="0.25">
      <c r="B453" t="s">
        <v>1222</v>
      </c>
    </row>
    <row r="454" spans="2:27" x14ac:dyDescent="0.25">
      <c r="B454" t="s">
        <v>1223</v>
      </c>
    </row>
    <row r="455" spans="2:27" ht="15.75" thickBot="1" x14ac:dyDescent="0.3">
      <c r="B455" s="17" t="s">
        <v>1197</v>
      </c>
      <c r="C455" s="17"/>
      <c r="D455" s="62">
        <v>22</v>
      </c>
      <c r="E455" s="63">
        <v>40</v>
      </c>
      <c r="F455" s="63">
        <v>60</v>
      </c>
      <c r="G455" s="63">
        <v>65</v>
      </c>
      <c r="H455" s="63">
        <v>70</v>
      </c>
      <c r="I455" s="63">
        <v>73</v>
      </c>
      <c r="J455" s="63">
        <v>75</v>
      </c>
      <c r="K455" s="63">
        <v>77</v>
      </c>
      <c r="L455" s="63">
        <v>80</v>
      </c>
      <c r="M455" s="63">
        <v>83</v>
      </c>
      <c r="N455" s="63">
        <v>85</v>
      </c>
      <c r="O455" s="63">
        <v>87</v>
      </c>
      <c r="P455" s="63">
        <v>90</v>
      </c>
      <c r="Q455" s="63">
        <v>93</v>
      </c>
      <c r="R455" s="63">
        <v>95</v>
      </c>
      <c r="S455" s="63">
        <v>99</v>
      </c>
      <c r="T455" s="63">
        <v>99</v>
      </c>
    </row>
    <row r="456" spans="2:27" ht="15.75" thickBot="1" x14ac:dyDescent="0.3">
      <c r="B456" s="22">
        <v>22</v>
      </c>
      <c r="C456" s="38"/>
      <c r="D456" s="53">
        <v>0</v>
      </c>
      <c r="E456" s="54">
        <f>D456+D413</f>
        <v>1</v>
      </c>
      <c r="F456" s="54">
        <f t="shared" ref="F456:T456" si="18">E456+E413</f>
        <v>1</v>
      </c>
      <c r="G456" s="54">
        <f t="shared" si="18"/>
        <v>1</v>
      </c>
      <c r="H456" s="54">
        <f t="shared" si="18"/>
        <v>1</v>
      </c>
      <c r="I456" s="54">
        <f t="shared" si="18"/>
        <v>1</v>
      </c>
      <c r="J456" s="54">
        <f t="shared" si="18"/>
        <v>1</v>
      </c>
      <c r="K456" s="54">
        <f t="shared" si="18"/>
        <v>1</v>
      </c>
      <c r="L456" s="54">
        <f t="shared" si="18"/>
        <v>1</v>
      </c>
      <c r="M456" s="54">
        <f t="shared" si="18"/>
        <v>1</v>
      </c>
      <c r="N456" s="54">
        <f t="shared" si="18"/>
        <v>1</v>
      </c>
      <c r="O456" s="54">
        <f t="shared" si="18"/>
        <v>1</v>
      </c>
      <c r="P456" s="54">
        <f t="shared" si="18"/>
        <v>1</v>
      </c>
      <c r="Q456" s="54">
        <f t="shared" si="18"/>
        <v>1</v>
      </c>
      <c r="R456" s="54">
        <f t="shared" si="18"/>
        <v>1</v>
      </c>
      <c r="S456" s="54">
        <f t="shared" si="18"/>
        <v>1</v>
      </c>
      <c r="T456" s="54">
        <f t="shared" si="18"/>
        <v>1</v>
      </c>
    </row>
    <row r="457" spans="2:27" ht="15.75" thickBot="1" x14ac:dyDescent="0.3">
      <c r="B457" s="22">
        <v>40</v>
      </c>
      <c r="C457" s="38"/>
      <c r="D457" s="53">
        <v>0</v>
      </c>
      <c r="E457" s="54">
        <f>D457+D414</f>
        <v>0.1526853354978355</v>
      </c>
      <c r="F457" s="54">
        <f t="shared" ref="F457:T457" si="19">E457+E414</f>
        <v>0.77702471139971085</v>
      </c>
      <c r="G457" s="54">
        <f t="shared" si="19"/>
        <v>0.84173430735930688</v>
      </c>
      <c r="H457" s="54">
        <f t="shared" si="19"/>
        <v>0.88782016594516544</v>
      </c>
      <c r="I457" s="54">
        <f t="shared" si="19"/>
        <v>0.91907016594516544</v>
      </c>
      <c r="J457" s="54">
        <f t="shared" si="19"/>
        <v>0.95032016594516544</v>
      </c>
      <c r="K457" s="54">
        <f t="shared" si="19"/>
        <v>0.9717487373737369</v>
      </c>
      <c r="L457" s="54">
        <f t="shared" si="19"/>
        <v>0.9873737373737369</v>
      </c>
      <c r="M457" s="54">
        <f t="shared" si="19"/>
        <v>0.9873737373737369</v>
      </c>
      <c r="N457" s="54">
        <f t="shared" si="19"/>
        <v>0.99305555555555514</v>
      </c>
      <c r="O457" s="54">
        <f t="shared" si="19"/>
        <v>0.99999999999999956</v>
      </c>
      <c r="P457" s="54">
        <f t="shared" si="19"/>
        <v>0.99999999999999956</v>
      </c>
      <c r="Q457" s="54">
        <f t="shared" si="19"/>
        <v>0.99999999999999956</v>
      </c>
      <c r="R457" s="54">
        <f t="shared" si="19"/>
        <v>0.99999999999999956</v>
      </c>
      <c r="S457" s="54">
        <f t="shared" si="19"/>
        <v>0.99999999999999956</v>
      </c>
      <c r="T457" s="54">
        <f t="shared" si="19"/>
        <v>0.99999999999999956</v>
      </c>
    </row>
    <row r="458" spans="2:27" ht="15.75" thickBot="1" x14ac:dyDescent="0.3">
      <c r="B458" s="22">
        <v>60</v>
      </c>
      <c r="C458" s="38"/>
      <c r="D458" s="53">
        <v>0</v>
      </c>
      <c r="E458" s="54">
        <f>D458+D415</f>
        <v>0.12160232402831087</v>
      </c>
      <c r="F458" s="54">
        <f t="shared" ref="F458:T458" si="20">E458+E415</f>
        <v>0.16178089545688229</v>
      </c>
      <c r="G458" s="54">
        <f t="shared" si="20"/>
        <v>0.72485119047619073</v>
      </c>
      <c r="H458" s="54">
        <f t="shared" si="20"/>
        <v>0.92232142857142885</v>
      </c>
      <c r="I458" s="54">
        <f t="shared" si="20"/>
        <v>0.96875000000000022</v>
      </c>
      <c r="J458" s="54">
        <f t="shared" si="20"/>
        <v>0.97812500000000024</v>
      </c>
      <c r="K458" s="54">
        <f t="shared" si="20"/>
        <v>0.98750000000000027</v>
      </c>
      <c r="L458" s="54">
        <f t="shared" si="20"/>
        <v>0.98750000000000027</v>
      </c>
      <c r="M458" s="54">
        <f t="shared" si="20"/>
        <v>1.0000000000000002</v>
      </c>
      <c r="N458" s="54">
        <f t="shared" si="20"/>
        <v>1.0000000000000002</v>
      </c>
      <c r="O458" s="54">
        <f t="shared" si="20"/>
        <v>1.0000000000000002</v>
      </c>
      <c r="P458" s="54">
        <f t="shared" si="20"/>
        <v>1.0000000000000002</v>
      </c>
      <c r="Q458" s="54">
        <f t="shared" si="20"/>
        <v>1.0000000000000002</v>
      </c>
      <c r="R458" s="54">
        <f t="shared" si="20"/>
        <v>1.0000000000000002</v>
      </c>
      <c r="S458" s="54">
        <f t="shared" si="20"/>
        <v>1.0000000000000002</v>
      </c>
      <c r="T458" s="54">
        <f t="shared" si="20"/>
        <v>1.0000000000000002</v>
      </c>
    </row>
    <row r="459" spans="2:27" ht="15.75" thickBot="1" x14ac:dyDescent="0.3">
      <c r="B459" s="22">
        <v>65</v>
      </c>
      <c r="C459" s="38"/>
      <c r="D459" s="53">
        <v>0</v>
      </c>
      <c r="E459" s="54">
        <f t="shared" ref="E459:T459" si="21">D459+D416</f>
        <v>9.051931255878623E-2</v>
      </c>
      <c r="F459" s="54">
        <f t="shared" si="21"/>
        <v>9.051931255878623E-2</v>
      </c>
      <c r="G459" s="54">
        <f t="shared" si="21"/>
        <v>0.15864013544934596</v>
      </c>
      <c r="H459" s="54">
        <f t="shared" si="21"/>
        <v>0.79871188752767708</v>
      </c>
      <c r="I459" s="54">
        <f t="shared" si="21"/>
        <v>0.88686089130168089</v>
      </c>
      <c r="J459" s="54">
        <f t="shared" si="21"/>
        <v>0.89583218316770963</v>
      </c>
      <c r="K459" s="54">
        <f t="shared" si="21"/>
        <v>0.92060515325317971</v>
      </c>
      <c r="L459" s="54">
        <f t="shared" si="21"/>
        <v>0.95539108187134514</v>
      </c>
      <c r="M459" s="54">
        <f t="shared" si="21"/>
        <v>0.96233552631578956</v>
      </c>
      <c r="N459" s="54">
        <f t="shared" si="21"/>
        <v>0.99218750000000011</v>
      </c>
      <c r="O459" s="54">
        <f t="shared" si="21"/>
        <v>1</v>
      </c>
      <c r="P459" s="54">
        <f t="shared" si="21"/>
        <v>1</v>
      </c>
      <c r="Q459" s="54">
        <f t="shared" si="21"/>
        <v>1</v>
      </c>
      <c r="R459" s="54">
        <f t="shared" si="21"/>
        <v>1</v>
      </c>
      <c r="S459" s="54">
        <f t="shared" si="21"/>
        <v>1</v>
      </c>
      <c r="T459" s="54">
        <f t="shared" si="21"/>
        <v>1</v>
      </c>
    </row>
    <row r="460" spans="2:27" ht="15.75" thickBot="1" x14ac:dyDescent="0.3">
      <c r="B460" s="22">
        <v>70</v>
      </c>
      <c r="C460" s="38"/>
      <c r="D460" s="53">
        <v>0</v>
      </c>
      <c r="E460" s="54">
        <f t="shared" ref="E460:T460" si="22">D460+D417</f>
        <v>5.0353919521834101E-2</v>
      </c>
      <c r="F460" s="54">
        <f t="shared" si="22"/>
        <v>5.8166419521834101E-2</v>
      </c>
      <c r="G460" s="54">
        <f t="shared" si="22"/>
        <v>8.1157490950405531E-2</v>
      </c>
      <c r="H460" s="54">
        <f t="shared" si="22"/>
        <v>0.18722397365089855</v>
      </c>
      <c r="I460" s="54">
        <f t="shared" si="22"/>
        <v>0.68498530618474418</v>
      </c>
      <c r="J460" s="54">
        <f t="shared" si="22"/>
        <v>0.82582927543807205</v>
      </c>
      <c r="K460" s="54">
        <f t="shared" si="22"/>
        <v>0.88206833310607369</v>
      </c>
      <c r="L460" s="54">
        <f t="shared" si="22"/>
        <v>0.95713674316720654</v>
      </c>
      <c r="M460" s="54">
        <f t="shared" si="22"/>
        <v>0.97899895799280812</v>
      </c>
      <c r="N460" s="54">
        <f t="shared" si="22"/>
        <v>0.98500582298136652</v>
      </c>
      <c r="O460" s="54">
        <f t="shared" si="22"/>
        <v>1</v>
      </c>
      <c r="P460" s="54">
        <f t="shared" si="22"/>
        <v>1</v>
      </c>
      <c r="Q460" s="54">
        <f t="shared" si="22"/>
        <v>1</v>
      </c>
      <c r="R460" s="54">
        <f t="shared" si="22"/>
        <v>1</v>
      </c>
      <c r="S460" s="54">
        <f t="shared" si="22"/>
        <v>1</v>
      </c>
      <c r="T460" s="54">
        <f t="shared" si="22"/>
        <v>1</v>
      </c>
    </row>
    <row r="461" spans="2:27" ht="15.75" thickBot="1" x14ac:dyDescent="0.3">
      <c r="B461" s="22">
        <v>73</v>
      </c>
      <c r="C461" s="38"/>
      <c r="D461" s="53">
        <v>0</v>
      </c>
      <c r="E461" s="54">
        <f t="shared" ref="E461:T461" si="23">D461+D418</f>
        <v>4.1293482127439413E-2</v>
      </c>
      <c r="F461" s="54">
        <f t="shared" si="23"/>
        <v>5.1141966975924262E-2</v>
      </c>
      <c r="G461" s="54">
        <f t="shared" si="23"/>
        <v>5.4431440660134792E-2</v>
      </c>
      <c r="H461" s="54">
        <f t="shared" si="23"/>
        <v>0.1253755915384962</v>
      </c>
      <c r="I461" s="54">
        <f t="shared" si="23"/>
        <v>0.19975359383590641</v>
      </c>
      <c r="J461" s="54">
        <f t="shared" si="23"/>
        <v>0.71682799108785955</v>
      </c>
      <c r="K461" s="54">
        <f t="shared" si="23"/>
        <v>0.80232616433274329</v>
      </c>
      <c r="L461" s="54">
        <f t="shared" si="23"/>
        <v>0.94929980929158564</v>
      </c>
      <c r="M461" s="54">
        <f t="shared" si="23"/>
        <v>0.97960870452646776</v>
      </c>
      <c r="N461" s="54">
        <f t="shared" si="23"/>
        <v>1</v>
      </c>
      <c r="O461" s="54">
        <f t="shared" si="23"/>
        <v>1</v>
      </c>
      <c r="P461" s="54">
        <f t="shared" si="23"/>
        <v>1</v>
      </c>
      <c r="Q461" s="54">
        <f t="shared" si="23"/>
        <v>1</v>
      </c>
      <c r="R461" s="54">
        <f t="shared" si="23"/>
        <v>1</v>
      </c>
      <c r="S461" s="54">
        <f t="shared" si="23"/>
        <v>1</v>
      </c>
      <c r="T461" s="54">
        <f t="shared" si="23"/>
        <v>1</v>
      </c>
    </row>
    <row r="462" spans="2:27" ht="15.75" thickBot="1" x14ac:dyDescent="0.3">
      <c r="B462" s="22">
        <v>75</v>
      </c>
      <c r="C462" s="38"/>
      <c r="D462" s="53">
        <v>0</v>
      </c>
      <c r="E462" s="54">
        <f t="shared" ref="E462:T462" si="24">D462+D419</f>
        <v>3.2233044733044731E-2</v>
      </c>
      <c r="F462" s="54">
        <f t="shared" si="24"/>
        <v>3.848304473304473E-2</v>
      </c>
      <c r="G462" s="54">
        <f t="shared" si="24"/>
        <v>4.6419552669552666E-2</v>
      </c>
      <c r="H462" s="54">
        <f t="shared" si="24"/>
        <v>5.9266774891774884E-2</v>
      </c>
      <c r="I462" s="54">
        <f t="shared" si="24"/>
        <v>9.9200937950937929E-2</v>
      </c>
      <c r="J462" s="54">
        <f t="shared" si="24"/>
        <v>0.17493201878213316</v>
      </c>
      <c r="K462" s="54">
        <f t="shared" si="24"/>
        <v>0.61181326484029552</v>
      </c>
      <c r="L462" s="54">
        <f t="shared" si="24"/>
        <v>0.7290910463328939</v>
      </c>
      <c r="M462" s="54">
        <f t="shared" si="24"/>
        <v>0.86806524091850157</v>
      </c>
      <c r="N462" s="54">
        <f t="shared" si="24"/>
        <v>0.94484705361064036</v>
      </c>
      <c r="O462" s="54">
        <f t="shared" si="24"/>
        <v>0.98671713250517579</v>
      </c>
      <c r="P462" s="54">
        <f t="shared" si="24"/>
        <v>0.99999999999999978</v>
      </c>
      <c r="Q462" s="54">
        <f t="shared" si="24"/>
        <v>0.99999999999999978</v>
      </c>
      <c r="R462" s="54">
        <f t="shared" si="24"/>
        <v>0.99999999999999978</v>
      </c>
      <c r="S462" s="54">
        <f t="shared" si="24"/>
        <v>0.99999999999999978</v>
      </c>
      <c r="T462" s="54">
        <f t="shared" si="24"/>
        <v>0.99999999999999978</v>
      </c>
    </row>
    <row r="463" spans="2:27" ht="15.75" thickBot="1" x14ac:dyDescent="0.3">
      <c r="B463" s="22">
        <v>77</v>
      </c>
      <c r="C463" s="38"/>
      <c r="D463" s="53">
        <v>0</v>
      </c>
      <c r="E463" s="54">
        <f t="shared" ref="E463:T463" si="25">D463+D420</f>
        <v>1.9218641027000827E-2</v>
      </c>
      <c r="F463" s="54">
        <f t="shared" si="25"/>
        <v>2.2194831503191303E-2</v>
      </c>
      <c r="G463" s="54">
        <f t="shared" si="25"/>
        <v>2.2194831503191303E-2</v>
      </c>
      <c r="H463" s="54">
        <f t="shared" si="25"/>
        <v>3.0692638520735161E-2</v>
      </c>
      <c r="I463" s="54">
        <f t="shared" si="25"/>
        <v>4.8197714311172798E-2</v>
      </c>
      <c r="J463" s="54">
        <f t="shared" si="25"/>
        <v>0.10108691312468536</v>
      </c>
      <c r="K463" s="54">
        <f t="shared" si="25"/>
        <v>0.16815783538716272</v>
      </c>
      <c r="L463" s="54">
        <f t="shared" si="25"/>
        <v>0.58166130720648057</v>
      </c>
      <c r="M463" s="54">
        <f t="shared" si="25"/>
        <v>0.77616091325114667</v>
      </c>
      <c r="N463" s="54">
        <f t="shared" si="25"/>
        <v>0.94809265924071373</v>
      </c>
      <c r="O463" s="54">
        <f t="shared" si="25"/>
        <v>0.99596354166666645</v>
      </c>
      <c r="P463" s="54">
        <f t="shared" si="25"/>
        <v>0.99999999999999978</v>
      </c>
      <c r="Q463" s="54">
        <f t="shared" si="25"/>
        <v>0.99999999999999978</v>
      </c>
      <c r="R463" s="54">
        <f t="shared" si="25"/>
        <v>0.99999999999999978</v>
      </c>
      <c r="S463" s="54">
        <f t="shared" si="25"/>
        <v>0.99999999999999978</v>
      </c>
      <c r="T463" s="54">
        <f t="shared" si="25"/>
        <v>0.99999999999999978</v>
      </c>
    </row>
    <row r="464" spans="2:27" ht="15.75" thickBot="1" x14ac:dyDescent="0.3">
      <c r="B464" s="22">
        <v>80</v>
      </c>
      <c r="C464" s="38"/>
      <c r="D464" s="53">
        <v>0</v>
      </c>
      <c r="E464" s="54">
        <f t="shared" ref="E464:T464" si="26">D464+D421</f>
        <v>1.1786448515947887E-2</v>
      </c>
      <c r="F464" s="54">
        <f t="shared" si="26"/>
        <v>1.6151747850759415E-2</v>
      </c>
      <c r="G464" s="54">
        <f t="shared" si="26"/>
        <v>1.757220239621396E-2</v>
      </c>
      <c r="H464" s="54">
        <f t="shared" si="26"/>
        <v>3.0457194181961848E-2</v>
      </c>
      <c r="I464" s="54">
        <f t="shared" si="26"/>
        <v>5.199405390685688E-2</v>
      </c>
      <c r="J464" s="54">
        <f t="shared" si="26"/>
        <v>8.7149550734668776E-2</v>
      </c>
      <c r="K464" s="54">
        <f t="shared" si="26"/>
        <v>0.13001641853004178</v>
      </c>
      <c r="L464" s="54">
        <f t="shared" si="26"/>
        <v>0.24096677268618844</v>
      </c>
      <c r="M464" s="54">
        <f t="shared" si="26"/>
        <v>0.71132331782854297</v>
      </c>
      <c r="N464" s="54">
        <f t="shared" si="26"/>
        <v>0.91281870466410353</v>
      </c>
      <c r="O464" s="54">
        <f t="shared" si="26"/>
        <v>0.97904789438057971</v>
      </c>
      <c r="P464" s="54">
        <f t="shared" si="26"/>
        <v>0.99882075471698151</v>
      </c>
      <c r="Q464" s="54">
        <f t="shared" si="26"/>
        <v>0.99882075471698151</v>
      </c>
      <c r="R464" s="54">
        <f t="shared" si="26"/>
        <v>0.99882075471698151</v>
      </c>
      <c r="S464" s="54">
        <f t="shared" si="26"/>
        <v>1.0000000000000004</v>
      </c>
      <c r="T464" s="54">
        <f t="shared" si="26"/>
        <v>1.0000000000000004</v>
      </c>
    </row>
    <row r="465" spans="2:20" ht="15.75" thickBot="1" x14ac:dyDescent="0.3">
      <c r="B465" s="22">
        <v>83</v>
      </c>
      <c r="C465" s="38"/>
      <c r="D465" s="53">
        <v>0</v>
      </c>
      <c r="E465" s="54">
        <f t="shared" ref="E465:T465" si="27">D465+D422</f>
        <v>4.3542560048949481E-3</v>
      </c>
      <c r="F465" s="54">
        <f t="shared" si="27"/>
        <v>5.6297662089765804E-3</v>
      </c>
      <c r="G465" s="54">
        <f t="shared" si="27"/>
        <v>5.6297662089765804E-3</v>
      </c>
      <c r="H465" s="54">
        <f t="shared" si="27"/>
        <v>1.1445786482428458E-2</v>
      </c>
      <c r="I465" s="54">
        <f t="shared" si="27"/>
        <v>2.7881392390952053E-2</v>
      </c>
      <c r="J465" s="54">
        <f t="shared" si="27"/>
        <v>4.1592690778589562E-2</v>
      </c>
      <c r="K465" s="54">
        <f t="shared" si="27"/>
        <v>7.7231223999798676E-2</v>
      </c>
      <c r="L465" s="54">
        <f t="shared" si="27"/>
        <v>0.12745537406209254</v>
      </c>
      <c r="M465" s="54">
        <f t="shared" si="27"/>
        <v>0.25147709180828226</v>
      </c>
      <c r="N465" s="54">
        <f t="shared" si="27"/>
        <v>0.74060934067343698</v>
      </c>
      <c r="O465" s="54">
        <f t="shared" si="27"/>
        <v>0.95303831709219389</v>
      </c>
      <c r="P465" s="54">
        <f t="shared" si="27"/>
        <v>0.99452641215798487</v>
      </c>
      <c r="Q465" s="54">
        <f t="shared" si="27"/>
        <v>0.99760112611870189</v>
      </c>
      <c r="R465" s="54">
        <f t="shared" si="27"/>
        <v>0.99760112611870189</v>
      </c>
      <c r="S465" s="54">
        <f t="shared" si="27"/>
        <v>1</v>
      </c>
      <c r="T465" s="54">
        <f t="shared" si="27"/>
        <v>1</v>
      </c>
    </row>
    <row r="466" spans="2:20" ht="15.75" thickBot="1" x14ac:dyDescent="0.3">
      <c r="B466" s="22">
        <v>85</v>
      </c>
      <c r="C466" s="38"/>
      <c r="D466" s="53">
        <v>0</v>
      </c>
      <c r="E466" s="54">
        <f t="shared" ref="E466:T466" si="28">D466+D423</f>
        <v>4.1949127505925563E-3</v>
      </c>
      <c r="F466" s="54">
        <f t="shared" si="28"/>
        <v>4.1949127505925563E-3</v>
      </c>
      <c r="G466" s="54">
        <f t="shared" si="28"/>
        <v>6.5309913061833069E-3</v>
      </c>
      <c r="H466" s="54">
        <f t="shared" si="28"/>
        <v>8.8670698617740566E-3</v>
      </c>
      <c r="I466" s="54">
        <f t="shared" si="28"/>
        <v>1.870367424900652E-2</v>
      </c>
      <c r="J466" s="54">
        <f t="shared" si="28"/>
        <v>2.5773654400850651E-2</v>
      </c>
      <c r="K466" s="54">
        <f t="shared" si="28"/>
        <v>4.1225616055866471E-2</v>
      </c>
      <c r="L466" s="54">
        <f t="shared" si="28"/>
        <v>6.7397221167784183E-2</v>
      </c>
      <c r="M466" s="54">
        <f t="shared" si="28"/>
        <v>0.13536449613602777</v>
      </c>
      <c r="N466" s="54">
        <f t="shared" si="28"/>
        <v>0.30100747705933045</v>
      </c>
      <c r="O466" s="54">
        <f t="shared" si="28"/>
        <v>0.85490723959748349</v>
      </c>
      <c r="P466" s="54">
        <f t="shared" si="28"/>
        <v>0.99599286080264338</v>
      </c>
      <c r="Q466" s="54">
        <f t="shared" si="28"/>
        <v>0.99918831168831168</v>
      </c>
      <c r="R466" s="54">
        <f t="shared" si="28"/>
        <v>0.99918831168831168</v>
      </c>
      <c r="S466" s="54">
        <f t="shared" si="28"/>
        <v>0.99918831168831168</v>
      </c>
      <c r="T466" s="54">
        <f t="shared" si="28"/>
        <v>1</v>
      </c>
    </row>
    <row r="467" spans="2:20" ht="15.75" thickBot="1" x14ac:dyDescent="0.3">
      <c r="B467" s="22">
        <v>87</v>
      </c>
      <c r="C467" s="38"/>
      <c r="D467" s="53">
        <v>0</v>
      </c>
      <c r="E467" s="54">
        <f t="shared" ref="E467:T467" si="29">D467+D424</f>
        <v>3.4159302004740451E-3</v>
      </c>
      <c r="F467" s="54">
        <f t="shared" si="29"/>
        <v>5.4320592327321091E-3</v>
      </c>
      <c r="G467" s="54">
        <f t="shared" si="29"/>
        <v>5.4320592327321091E-3</v>
      </c>
      <c r="H467" s="54">
        <f t="shared" si="29"/>
        <v>5.4320592327321091E-3</v>
      </c>
      <c r="I467" s="54">
        <f t="shared" si="29"/>
        <v>7.0767960748373722E-3</v>
      </c>
      <c r="J467" s="54">
        <f t="shared" si="29"/>
        <v>1.3502361532415024E-2</v>
      </c>
      <c r="K467" s="54">
        <f t="shared" si="29"/>
        <v>1.9137183699495255E-2</v>
      </c>
      <c r="L467" s="54">
        <f t="shared" si="29"/>
        <v>4.9146588113088405E-2</v>
      </c>
      <c r="M467" s="54">
        <f t="shared" si="29"/>
        <v>0.10931692445784366</v>
      </c>
      <c r="N467" s="54">
        <f t="shared" si="29"/>
        <v>0.1786074161775919</v>
      </c>
      <c r="O467" s="54">
        <f t="shared" si="29"/>
        <v>0.39875046422261784</v>
      </c>
      <c r="P467" s="54">
        <f t="shared" si="29"/>
        <v>0.93987221110330255</v>
      </c>
      <c r="Q467" s="54">
        <f t="shared" si="29"/>
        <v>1.0000000000000004</v>
      </c>
      <c r="R467" s="54">
        <f t="shared" si="29"/>
        <v>1.0000000000000004</v>
      </c>
      <c r="S467" s="54">
        <f t="shared" si="29"/>
        <v>1.0000000000000004</v>
      </c>
      <c r="T467" s="54">
        <f t="shared" si="29"/>
        <v>1.0000000000000004</v>
      </c>
    </row>
    <row r="468" spans="2:20" ht="15.75" thickBot="1" x14ac:dyDescent="0.3">
      <c r="B468" s="22">
        <v>90</v>
      </c>
      <c r="C468" s="38"/>
      <c r="D468" s="53">
        <v>0</v>
      </c>
      <c r="E468" s="54">
        <f t="shared" ref="E468:T468" si="30">D468+D425</f>
        <v>2.6369476503555339E-3</v>
      </c>
      <c r="F468" s="54">
        <f t="shared" si="30"/>
        <v>2.6369476503555339E-3</v>
      </c>
      <c r="G468" s="54">
        <f t="shared" si="30"/>
        <v>2.6369476503555339E-3</v>
      </c>
      <c r="H468" s="54">
        <f t="shared" si="30"/>
        <v>1.8261947650355534E-2</v>
      </c>
      <c r="I468" s="54">
        <f t="shared" si="30"/>
        <v>1.8261947650355534E-2</v>
      </c>
      <c r="J468" s="54">
        <f t="shared" si="30"/>
        <v>1.8261947650355534E-2</v>
      </c>
      <c r="K468" s="54">
        <f t="shared" si="30"/>
        <v>2.7190519078926962E-2</v>
      </c>
      <c r="L468" s="54">
        <f t="shared" si="30"/>
        <v>4.6634963523371403E-2</v>
      </c>
      <c r="M468" s="54">
        <f t="shared" si="30"/>
        <v>9.0980201618609507E-2</v>
      </c>
      <c r="N468" s="54">
        <f t="shared" si="30"/>
        <v>0.10868853495194283</v>
      </c>
      <c r="O468" s="54">
        <f t="shared" si="30"/>
        <v>0.2767936936821016</v>
      </c>
      <c r="P468" s="54">
        <f t="shared" si="30"/>
        <v>0.4911786143170222</v>
      </c>
      <c r="Q468" s="54">
        <f t="shared" si="30"/>
        <v>1.0000000000000002</v>
      </c>
      <c r="R468" s="54">
        <f t="shared" si="30"/>
        <v>1.0000000000000002</v>
      </c>
      <c r="S468" s="54">
        <f t="shared" si="30"/>
        <v>1.0000000000000002</v>
      </c>
      <c r="T468" s="54">
        <f t="shared" si="30"/>
        <v>1.0000000000000002</v>
      </c>
    </row>
    <row r="469" spans="2:20" ht="15.75" thickBot="1" x14ac:dyDescent="0.3">
      <c r="B469" s="22">
        <v>93</v>
      </c>
      <c r="C469" s="38"/>
      <c r="D469" s="53">
        <v>0</v>
      </c>
      <c r="E469" s="54">
        <f t="shared" ref="E469:T469" si="31">D469+D426</f>
        <v>1.8579651002370227E-3</v>
      </c>
      <c r="F469" s="54">
        <f t="shared" si="31"/>
        <v>1.8579651002370227E-3</v>
      </c>
      <c r="G469" s="54">
        <f t="shared" si="31"/>
        <v>1.8579651002370227E-3</v>
      </c>
      <c r="H469" s="54">
        <f t="shared" si="31"/>
        <v>1.8579651002370227E-3</v>
      </c>
      <c r="I469" s="54">
        <f t="shared" si="31"/>
        <v>1.8579651002370227E-3</v>
      </c>
      <c r="J469" s="54">
        <f t="shared" si="31"/>
        <v>1.8579651002370227E-3</v>
      </c>
      <c r="K469" s="54">
        <f t="shared" si="31"/>
        <v>1.8579651002370227E-3</v>
      </c>
      <c r="L469" s="54">
        <f t="shared" si="31"/>
        <v>1.8579651002370227E-3</v>
      </c>
      <c r="M469" s="54">
        <f t="shared" si="31"/>
        <v>1.8579651002370227E-3</v>
      </c>
      <c r="N469" s="54">
        <f t="shared" si="31"/>
        <v>1.8579651002370227E-3</v>
      </c>
      <c r="O469" s="54">
        <f t="shared" si="31"/>
        <v>1.8579651002370227E-3</v>
      </c>
      <c r="P469" s="54">
        <f t="shared" si="31"/>
        <v>1.8579651002370227E-3</v>
      </c>
      <c r="Q469" s="54">
        <f t="shared" si="31"/>
        <v>1.8579651002370227E-3</v>
      </c>
      <c r="R469" s="54">
        <f t="shared" si="31"/>
        <v>1</v>
      </c>
      <c r="S469" s="54">
        <f t="shared" si="31"/>
        <v>1</v>
      </c>
      <c r="T469" s="54">
        <f t="shared" si="31"/>
        <v>1</v>
      </c>
    </row>
    <row r="470" spans="2:20" ht="15.75" thickBot="1" x14ac:dyDescent="0.3">
      <c r="B470" s="22">
        <v>95</v>
      </c>
      <c r="C470" s="38"/>
      <c r="D470" s="53">
        <v>0</v>
      </c>
      <c r="E470" s="54">
        <f t="shared" ref="E470:T470" si="32">D470+D427</f>
        <v>1.0789825501185115E-3</v>
      </c>
      <c r="F470" s="54">
        <f t="shared" si="32"/>
        <v>1.0789825501185115E-3</v>
      </c>
      <c r="G470" s="54">
        <f t="shared" si="32"/>
        <v>1.0789825501185115E-3</v>
      </c>
      <c r="H470" s="54">
        <f t="shared" si="32"/>
        <v>2.1912315883451845E-2</v>
      </c>
      <c r="I470" s="54">
        <f t="shared" si="32"/>
        <v>2.1912315883451845E-2</v>
      </c>
      <c r="J470" s="54">
        <f t="shared" si="32"/>
        <v>2.1912315883451845E-2</v>
      </c>
      <c r="K470" s="54">
        <f t="shared" si="32"/>
        <v>2.1912315883451845E-2</v>
      </c>
      <c r="L470" s="54">
        <f t="shared" si="32"/>
        <v>2.1912315883451845E-2</v>
      </c>
      <c r="M470" s="54">
        <f t="shared" si="32"/>
        <v>2.1912315883451845E-2</v>
      </c>
      <c r="N470" s="54">
        <f t="shared" si="32"/>
        <v>2.1912315883451845E-2</v>
      </c>
      <c r="O470" s="54">
        <f t="shared" si="32"/>
        <v>2.1912315883451845E-2</v>
      </c>
      <c r="P470" s="54">
        <f t="shared" si="32"/>
        <v>2.1912315883451845E-2</v>
      </c>
      <c r="Q470" s="54">
        <f t="shared" si="32"/>
        <v>8.4412315883451841E-2</v>
      </c>
      <c r="R470" s="54">
        <f t="shared" si="32"/>
        <v>8.4412315883451841E-2</v>
      </c>
      <c r="S470" s="54">
        <f t="shared" si="32"/>
        <v>0.99999999999999978</v>
      </c>
      <c r="T470" s="54">
        <f t="shared" si="32"/>
        <v>0.99999999999999978</v>
      </c>
    </row>
    <row r="471" spans="2:20" x14ac:dyDescent="0.25">
      <c r="B471" s="46">
        <v>99</v>
      </c>
      <c r="C471" s="38"/>
      <c r="D471" s="53">
        <v>0</v>
      </c>
      <c r="E471" s="54">
        <f t="shared" ref="E471:T471" si="33">D471+D428</f>
        <v>2.9999999999999997E-4</v>
      </c>
      <c r="F471" s="54">
        <f t="shared" si="33"/>
        <v>2.9999999999999997E-4</v>
      </c>
      <c r="G471" s="54">
        <f t="shared" si="33"/>
        <v>2.9999999999999997E-4</v>
      </c>
      <c r="H471" s="54">
        <f t="shared" si="33"/>
        <v>2.9999999999999997E-4</v>
      </c>
      <c r="I471" s="54">
        <f t="shared" si="33"/>
        <v>2.9999999999999997E-4</v>
      </c>
      <c r="J471" s="54">
        <f t="shared" si="33"/>
        <v>2.9999999999999997E-4</v>
      </c>
      <c r="K471" s="54">
        <f t="shared" si="33"/>
        <v>2.9999999999999997E-4</v>
      </c>
      <c r="L471" s="54">
        <f t="shared" si="33"/>
        <v>2.9999999999999997E-4</v>
      </c>
      <c r="M471" s="54">
        <f t="shared" si="33"/>
        <v>2.9999999999999997E-4</v>
      </c>
      <c r="N471" s="54">
        <f t="shared" si="33"/>
        <v>2.9999999999999997E-4</v>
      </c>
      <c r="O471" s="54">
        <f t="shared" si="33"/>
        <v>3.1550000000000002E-2</v>
      </c>
      <c r="P471" s="54">
        <f t="shared" si="33"/>
        <v>3.1550000000000002E-2</v>
      </c>
      <c r="Q471" s="54">
        <f t="shared" si="33"/>
        <v>3.1550000000000002E-2</v>
      </c>
      <c r="R471" s="54">
        <f t="shared" si="33"/>
        <v>3.1550000000000002E-2</v>
      </c>
      <c r="S471" s="54">
        <f t="shared" si="33"/>
        <v>3.1550000000000002E-2</v>
      </c>
      <c r="T471" s="54">
        <f t="shared" si="33"/>
        <v>1</v>
      </c>
    </row>
    <row r="474" spans="2:20" x14ac:dyDescent="0.25">
      <c r="B474" s="17" t="s">
        <v>1197</v>
      </c>
      <c r="D474" s="62">
        <v>22</v>
      </c>
      <c r="E474" s="63">
        <v>40</v>
      </c>
      <c r="F474" s="63">
        <v>60</v>
      </c>
      <c r="G474" s="63">
        <v>65</v>
      </c>
      <c r="H474" s="63">
        <v>70</v>
      </c>
      <c r="I474" s="63">
        <v>73</v>
      </c>
      <c r="J474" s="63">
        <v>75</v>
      </c>
      <c r="K474" s="63">
        <v>77</v>
      </c>
      <c r="L474" s="63">
        <v>80</v>
      </c>
      <c r="M474" s="63">
        <v>83</v>
      </c>
      <c r="N474" s="63">
        <v>85</v>
      </c>
      <c r="O474" s="63">
        <v>87</v>
      </c>
      <c r="P474" s="63">
        <v>90</v>
      </c>
      <c r="Q474" s="63">
        <v>93</v>
      </c>
      <c r="R474" s="63">
        <v>95</v>
      </c>
      <c r="S474" s="63">
        <v>99</v>
      </c>
      <c r="T474" s="63" t="s">
        <v>1224</v>
      </c>
    </row>
    <row r="475" spans="2:20" x14ac:dyDescent="0.25">
      <c r="B475" s="22">
        <v>22</v>
      </c>
      <c r="D475">
        <f t="array" ref="D475:S491">TRANSPOSE(D456:T471)</f>
        <v>0</v>
      </c>
      <c r="E475">
        <v>0</v>
      </c>
      <c r="F475">
        <v>0</v>
      </c>
      <c r="G475">
        <v>0</v>
      </c>
      <c r="H475" s="52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22">
        <v>22</v>
      </c>
    </row>
    <row r="476" spans="2:20" x14ac:dyDescent="0.25">
      <c r="B476" s="22">
        <v>40</v>
      </c>
      <c r="D476" s="104">
        <v>1</v>
      </c>
      <c r="E476" s="104">
        <v>0.1526853354978355</v>
      </c>
      <c r="F476" s="104">
        <v>0.12160232402831087</v>
      </c>
      <c r="G476" s="104">
        <v>9.051931255878623E-2</v>
      </c>
      <c r="H476" s="81">
        <v>5.0353919521834101E-2</v>
      </c>
      <c r="I476" s="104">
        <v>4.1293482127439413E-2</v>
      </c>
      <c r="J476" s="104">
        <v>3.2233044733044731E-2</v>
      </c>
      <c r="K476" s="104">
        <v>1.9218641027000827E-2</v>
      </c>
      <c r="L476" s="104">
        <v>1.1786448515947887E-2</v>
      </c>
      <c r="M476" s="104">
        <v>4.3542560048949481E-3</v>
      </c>
      <c r="N476" s="104">
        <v>4.1949127505925563E-3</v>
      </c>
      <c r="O476" s="104">
        <v>3.4159302004740451E-3</v>
      </c>
      <c r="P476" s="104">
        <v>2.6369476503555339E-3</v>
      </c>
      <c r="Q476" s="104">
        <v>1.8579651002370227E-3</v>
      </c>
      <c r="R476" s="104">
        <v>1.0789825501185115E-3</v>
      </c>
      <c r="S476" s="104">
        <v>2.9999999999999997E-4</v>
      </c>
      <c r="T476" s="22">
        <v>40</v>
      </c>
    </row>
    <row r="477" spans="2:20" x14ac:dyDescent="0.25">
      <c r="B477" s="22">
        <v>60</v>
      </c>
      <c r="D477" s="104">
        <v>1</v>
      </c>
      <c r="E477" s="104">
        <v>0.77702471139971085</v>
      </c>
      <c r="F477" s="104">
        <v>0.16178089545688229</v>
      </c>
      <c r="G477" s="104">
        <v>9.051931255878623E-2</v>
      </c>
      <c r="H477" s="81">
        <v>5.8166419521834101E-2</v>
      </c>
      <c r="I477" s="104">
        <v>5.1141966975924262E-2</v>
      </c>
      <c r="J477" s="104">
        <v>3.848304473304473E-2</v>
      </c>
      <c r="K477" s="104">
        <v>2.2194831503191303E-2</v>
      </c>
      <c r="L477" s="104">
        <v>1.6151747850759415E-2</v>
      </c>
      <c r="M477" s="104">
        <v>5.6297662089765804E-3</v>
      </c>
      <c r="N477" s="104">
        <v>4.1949127505925563E-3</v>
      </c>
      <c r="O477" s="104">
        <v>5.4320592327321091E-3</v>
      </c>
      <c r="P477" s="104">
        <v>2.6369476503555339E-3</v>
      </c>
      <c r="Q477" s="104">
        <v>1.8579651002370227E-3</v>
      </c>
      <c r="R477" s="104">
        <v>1.0789825501185115E-3</v>
      </c>
      <c r="S477" s="104">
        <v>2.9999999999999997E-4</v>
      </c>
      <c r="T477" s="22">
        <v>60</v>
      </c>
    </row>
    <row r="478" spans="2:20" x14ac:dyDescent="0.25">
      <c r="B478" s="22">
        <v>65</v>
      </c>
      <c r="D478" s="104">
        <v>1</v>
      </c>
      <c r="E478" s="104">
        <v>0.84173430735930688</v>
      </c>
      <c r="F478" s="104">
        <v>0.72485119047619073</v>
      </c>
      <c r="G478" s="104">
        <v>0.15864013544934596</v>
      </c>
      <c r="H478" s="81">
        <v>8.1157490950405531E-2</v>
      </c>
      <c r="I478" s="104">
        <v>5.4431440660134792E-2</v>
      </c>
      <c r="J478" s="104">
        <v>4.6419552669552666E-2</v>
      </c>
      <c r="K478" s="104">
        <v>2.2194831503191303E-2</v>
      </c>
      <c r="L478" s="104">
        <v>1.757220239621396E-2</v>
      </c>
      <c r="M478" s="104">
        <v>5.6297662089765804E-3</v>
      </c>
      <c r="N478" s="104">
        <v>6.5309913061833069E-3</v>
      </c>
      <c r="O478" s="104">
        <v>5.4320592327321091E-3</v>
      </c>
      <c r="P478" s="104">
        <v>2.6369476503555339E-3</v>
      </c>
      <c r="Q478" s="104">
        <v>1.8579651002370227E-3</v>
      </c>
      <c r="R478" s="104">
        <v>1.0789825501185115E-3</v>
      </c>
      <c r="S478" s="104">
        <v>2.9999999999999997E-4</v>
      </c>
      <c r="T478" s="22">
        <v>65</v>
      </c>
    </row>
    <row r="479" spans="2:20" x14ac:dyDescent="0.25">
      <c r="B479" s="22">
        <v>70</v>
      </c>
      <c r="D479" s="104">
        <v>1</v>
      </c>
      <c r="E479" s="104">
        <v>0.88782016594516544</v>
      </c>
      <c r="F479" s="104">
        <v>0.92232142857142885</v>
      </c>
      <c r="G479" s="104">
        <v>0.79871188752767708</v>
      </c>
      <c r="H479" s="81">
        <v>0.18722397365089855</v>
      </c>
      <c r="I479" s="104">
        <v>0.1253755915384962</v>
      </c>
      <c r="J479" s="104">
        <v>5.9266774891774884E-2</v>
      </c>
      <c r="K479" s="104">
        <v>3.0692638520735161E-2</v>
      </c>
      <c r="L479" s="104">
        <v>3.0457194181961848E-2</v>
      </c>
      <c r="M479" s="104">
        <v>1.1445786482428458E-2</v>
      </c>
      <c r="N479" s="104">
        <v>8.8670698617740566E-3</v>
      </c>
      <c r="O479" s="104">
        <v>5.4320592327321091E-3</v>
      </c>
      <c r="P479" s="104">
        <v>1.8261947650355534E-2</v>
      </c>
      <c r="Q479" s="104">
        <v>1.8579651002370227E-3</v>
      </c>
      <c r="R479" s="104">
        <v>2.1912315883451845E-2</v>
      </c>
      <c r="S479" s="104">
        <v>2.9999999999999997E-4</v>
      </c>
      <c r="T479" s="22">
        <v>70</v>
      </c>
    </row>
    <row r="480" spans="2:20" x14ac:dyDescent="0.25">
      <c r="B480" s="22">
        <v>73</v>
      </c>
      <c r="D480" s="104">
        <v>1</v>
      </c>
      <c r="E480" s="104">
        <v>0.91907016594516544</v>
      </c>
      <c r="F480" s="104">
        <v>0.96875000000000022</v>
      </c>
      <c r="G480" s="104">
        <v>0.88686089130168089</v>
      </c>
      <c r="H480" s="81">
        <v>0.68498530618474418</v>
      </c>
      <c r="I480" s="104">
        <v>0.19975359383590641</v>
      </c>
      <c r="J480" s="104">
        <v>9.9200937950937929E-2</v>
      </c>
      <c r="K480" s="104">
        <v>4.8197714311172798E-2</v>
      </c>
      <c r="L480" s="104">
        <v>5.199405390685688E-2</v>
      </c>
      <c r="M480" s="104">
        <v>2.7881392390952053E-2</v>
      </c>
      <c r="N480" s="104">
        <v>1.870367424900652E-2</v>
      </c>
      <c r="O480" s="104">
        <v>7.0767960748373722E-3</v>
      </c>
      <c r="P480" s="104">
        <v>1.8261947650355534E-2</v>
      </c>
      <c r="Q480" s="104">
        <v>1.8579651002370227E-3</v>
      </c>
      <c r="R480" s="104">
        <v>2.1912315883451845E-2</v>
      </c>
      <c r="S480" s="104">
        <v>2.9999999999999997E-4</v>
      </c>
      <c r="T480" s="22">
        <v>73</v>
      </c>
    </row>
    <row r="481" spans="2:20" x14ac:dyDescent="0.25">
      <c r="B481" s="22">
        <v>75</v>
      </c>
      <c r="D481" s="104">
        <v>1</v>
      </c>
      <c r="E481" s="104">
        <v>0.95032016594516544</v>
      </c>
      <c r="F481" s="104">
        <v>0.97812500000000024</v>
      </c>
      <c r="G481" s="104">
        <v>0.89583218316770963</v>
      </c>
      <c r="H481" s="81">
        <v>0.82582927543807205</v>
      </c>
      <c r="I481" s="104">
        <v>0.71682799108785955</v>
      </c>
      <c r="J481" s="104">
        <v>0.17493201878213316</v>
      </c>
      <c r="K481" s="104">
        <v>0.10108691312468536</v>
      </c>
      <c r="L481" s="104">
        <v>8.7149550734668776E-2</v>
      </c>
      <c r="M481" s="104">
        <v>4.1592690778589562E-2</v>
      </c>
      <c r="N481" s="104">
        <v>2.5773654400850651E-2</v>
      </c>
      <c r="O481" s="104">
        <v>1.3502361532415024E-2</v>
      </c>
      <c r="P481" s="104">
        <v>1.8261947650355534E-2</v>
      </c>
      <c r="Q481" s="104">
        <v>1.8579651002370227E-3</v>
      </c>
      <c r="R481" s="104">
        <v>2.1912315883451845E-2</v>
      </c>
      <c r="S481" s="104">
        <v>2.9999999999999997E-4</v>
      </c>
      <c r="T481" s="22">
        <v>75</v>
      </c>
    </row>
    <row r="482" spans="2:20" x14ac:dyDescent="0.25">
      <c r="B482" s="22">
        <v>77</v>
      </c>
      <c r="D482" s="104">
        <v>1</v>
      </c>
      <c r="E482" s="104">
        <v>0.9717487373737369</v>
      </c>
      <c r="F482" s="104">
        <v>0.98750000000000027</v>
      </c>
      <c r="G482" s="104">
        <v>0.92060515325317971</v>
      </c>
      <c r="H482" s="81">
        <v>0.88206833310607369</v>
      </c>
      <c r="I482" s="104">
        <v>0.80232616433274329</v>
      </c>
      <c r="J482" s="104">
        <v>0.61181326484029552</v>
      </c>
      <c r="K482" s="104">
        <v>0.16815783538716272</v>
      </c>
      <c r="L482" s="104">
        <v>0.13001641853004178</v>
      </c>
      <c r="M482" s="104">
        <v>7.7231223999798676E-2</v>
      </c>
      <c r="N482" s="104">
        <v>4.1225616055866471E-2</v>
      </c>
      <c r="O482" s="104">
        <v>1.9137183699495255E-2</v>
      </c>
      <c r="P482" s="104">
        <v>2.7190519078926962E-2</v>
      </c>
      <c r="Q482" s="104">
        <v>1.8579651002370227E-3</v>
      </c>
      <c r="R482" s="104">
        <v>2.1912315883451845E-2</v>
      </c>
      <c r="S482" s="104">
        <v>2.9999999999999997E-4</v>
      </c>
      <c r="T482" s="22">
        <v>77</v>
      </c>
    </row>
    <row r="483" spans="2:20" x14ac:dyDescent="0.25">
      <c r="B483" s="22">
        <v>80</v>
      </c>
      <c r="D483" s="104">
        <v>1</v>
      </c>
      <c r="E483" s="104">
        <v>0.9873737373737369</v>
      </c>
      <c r="F483" s="104">
        <v>0.98750000000000027</v>
      </c>
      <c r="G483" s="104">
        <v>0.95539108187134514</v>
      </c>
      <c r="H483" s="81">
        <v>0.95713674316720654</v>
      </c>
      <c r="I483" s="104">
        <v>0.94929980929158564</v>
      </c>
      <c r="J483" s="104">
        <v>0.7290910463328939</v>
      </c>
      <c r="K483" s="104">
        <v>0.58166130720648057</v>
      </c>
      <c r="L483" s="104">
        <v>0.24096677268618844</v>
      </c>
      <c r="M483" s="104">
        <v>0.12745537406209254</v>
      </c>
      <c r="N483" s="104">
        <v>6.7397221167784183E-2</v>
      </c>
      <c r="O483" s="104">
        <v>4.9146588113088405E-2</v>
      </c>
      <c r="P483" s="104">
        <v>4.6634963523371403E-2</v>
      </c>
      <c r="Q483" s="104">
        <v>1.8579651002370227E-3</v>
      </c>
      <c r="R483" s="104">
        <v>2.1912315883451845E-2</v>
      </c>
      <c r="S483" s="104">
        <v>2.9999999999999997E-4</v>
      </c>
      <c r="T483" s="22">
        <v>80</v>
      </c>
    </row>
    <row r="484" spans="2:20" x14ac:dyDescent="0.25">
      <c r="B484" s="22">
        <v>83</v>
      </c>
      <c r="D484" s="104">
        <v>1</v>
      </c>
      <c r="E484" s="104">
        <v>0.9873737373737369</v>
      </c>
      <c r="F484" s="104">
        <v>1.0000000000000002</v>
      </c>
      <c r="G484" s="104">
        <v>0.96233552631578956</v>
      </c>
      <c r="H484" s="81">
        <v>0.97899895799280812</v>
      </c>
      <c r="I484" s="104">
        <v>0.97960870452646776</v>
      </c>
      <c r="J484" s="104">
        <v>0.86806524091850157</v>
      </c>
      <c r="K484" s="104">
        <v>0.77616091325114667</v>
      </c>
      <c r="L484" s="104">
        <v>0.71132331782854297</v>
      </c>
      <c r="M484" s="104">
        <v>0.25147709180828226</v>
      </c>
      <c r="N484" s="104">
        <v>0.13536449613602777</v>
      </c>
      <c r="O484" s="104">
        <v>0.10931692445784366</v>
      </c>
      <c r="P484" s="104">
        <v>9.0980201618609507E-2</v>
      </c>
      <c r="Q484" s="104">
        <v>1.8579651002370227E-3</v>
      </c>
      <c r="R484" s="104">
        <v>2.1912315883451845E-2</v>
      </c>
      <c r="S484" s="104">
        <v>2.9999999999999997E-4</v>
      </c>
      <c r="T484" s="22">
        <v>83</v>
      </c>
    </row>
    <row r="485" spans="2:20" x14ac:dyDescent="0.25">
      <c r="B485" s="22">
        <v>85</v>
      </c>
      <c r="D485" s="104">
        <v>1</v>
      </c>
      <c r="E485" s="104">
        <v>0.99305555555555514</v>
      </c>
      <c r="F485" s="104">
        <v>1.0000000000000002</v>
      </c>
      <c r="G485" s="104">
        <v>0.99218750000000011</v>
      </c>
      <c r="H485" s="81">
        <v>0.98500582298136652</v>
      </c>
      <c r="I485" s="104">
        <v>1</v>
      </c>
      <c r="J485" s="104">
        <v>0.94484705361064036</v>
      </c>
      <c r="K485" s="104">
        <v>0.94809265924071373</v>
      </c>
      <c r="L485" s="104">
        <v>0.91281870466410353</v>
      </c>
      <c r="M485" s="104">
        <v>0.74060934067343698</v>
      </c>
      <c r="N485" s="104">
        <v>0.30100747705933045</v>
      </c>
      <c r="O485" s="104">
        <v>0.1786074161775919</v>
      </c>
      <c r="P485" s="104">
        <v>0.10868853495194283</v>
      </c>
      <c r="Q485" s="104">
        <v>1.8579651002370227E-3</v>
      </c>
      <c r="R485" s="104">
        <v>2.1912315883451845E-2</v>
      </c>
      <c r="S485" s="104">
        <v>2.9999999999999997E-4</v>
      </c>
      <c r="T485" s="22">
        <v>85</v>
      </c>
    </row>
    <row r="486" spans="2:20" x14ac:dyDescent="0.25">
      <c r="B486" s="22">
        <v>87</v>
      </c>
      <c r="D486" s="104">
        <v>1</v>
      </c>
      <c r="E486" s="104">
        <v>0.99999999999999956</v>
      </c>
      <c r="F486" s="104">
        <v>1.0000000000000002</v>
      </c>
      <c r="G486" s="104">
        <v>1</v>
      </c>
      <c r="H486" s="81">
        <v>1</v>
      </c>
      <c r="I486" s="104">
        <v>1</v>
      </c>
      <c r="J486" s="104">
        <v>0.98671713250517579</v>
      </c>
      <c r="K486" s="104">
        <v>0.99596354166666645</v>
      </c>
      <c r="L486" s="104">
        <v>0.97904789438057971</v>
      </c>
      <c r="M486" s="104">
        <v>0.95303831709219389</v>
      </c>
      <c r="N486" s="104">
        <v>0.85490723959748349</v>
      </c>
      <c r="O486" s="104">
        <v>0.39875046422261784</v>
      </c>
      <c r="P486" s="104">
        <v>0.2767936936821016</v>
      </c>
      <c r="Q486" s="104">
        <v>1.8579651002370227E-3</v>
      </c>
      <c r="R486" s="104">
        <v>2.1912315883451845E-2</v>
      </c>
      <c r="S486" s="104">
        <v>3.1550000000000002E-2</v>
      </c>
      <c r="T486" s="22">
        <v>87</v>
      </c>
    </row>
    <row r="487" spans="2:20" x14ac:dyDescent="0.25">
      <c r="B487" s="22">
        <v>90</v>
      </c>
      <c r="D487" s="104">
        <v>1</v>
      </c>
      <c r="E487" s="104">
        <v>0.99999999999999956</v>
      </c>
      <c r="F487" s="104">
        <v>1.0000000000000002</v>
      </c>
      <c r="G487" s="104">
        <v>1</v>
      </c>
      <c r="H487" s="81">
        <v>1</v>
      </c>
      <c r="I487" s="104">
        <v>1</v>
      </c>
      <c r="J487" s="104">
        <v>0.99999999999999978</v>
      </c>
      <c r="K487" s="104">
        <v>0.99999999999999978</v>
      </c>
      <c r="L487" s="104">
        <v>0.99882075471698151</v>
      </c>
      <c r="M487" s="104">
        <v>0.99452641215798487</v>
      </c>
      <c r="N487" s="104">
        <v>0.99599286080264338</v>
      </c>
      <c r="O487" s="104">
        <v>0.93987221110330255</v>
      </c>
      <c r="P487" s="104">
        <v>0.4911786143170222</v>
      </c>
      <c r="Q487" s="104">
        <v>1.8579651002370227E-3</v>
      </c>
      <c r="R487" s="104">
        <v>2.1912315883451845E-2</v>
      </c>
      <c r="S487" s="104">
        <v>3.1550000000000002E-2</v>
      </c>
      <c r="T487" s="22">
        <v>90</v>
      </c>
    </row>
    <row r="488" spans="2:20" x14ac:dyDescent="0.25">
      <c r="B488" s="22">
        <v>93</v>
      </c>
      <c r="D488" s="104">
        <v>1</v>
      </c>
      <c r="E488" s="104">
        <v>0.99999999999999956</v>
      </c>
      <c r="F488" s="104">
        <v>1.0000000000000002</v>
      </c>
      <c r="G488" s="104">
        <v>1</v>
      </c>
      <c r="H488" s="81">
        <v>1</v>
      </c>
      <c r="I488" s="104">
        <v>1</v>
      </c>
      <c r="J488" s="104">
        <v>0.99999999999999978</v>
      </c>
      <c r="K488" s="104">
        <v>0.99999999999999978</v>
      </c>
      <c r="L488" s="104">
        <v>0.99882075471698151</v>
      </c>
      <c r="M488" s="104">
        <v>0.99760112611870189</v>
      </c>
      <c r="N488" s="104">
        <v>0.99918831168831168</v>
      </c>
      <c r="O488" s="104">
        <v>1.0000000000000004</v>
      </c>
      <c r="P488" s="104">
        <v>1.0000000000000002</v>
      </c>
      <c r="Q488" s="104">
        <v>1.8579651002370227E-3</v>
      </c>
      <c r="R488" s="104">
        <v>8.4412315883451841E-2</v>
      </c>
      <c r="S488" s="104">
        <v>3.1550000000000002E-2</v>
      </c>
      <c r="T488" s="22">
        <v>93</v>
      </c>
    </row>
    <row r="489" spans="2:20" x14ac:dyDescent="0.25">
      <c r="B489" s="22">
        <v>95</v>
      </c>
      <c r="D489" s="104">
        <v>1</v>
      </c>
      <c r="E489" s="104">
        <v>0.99999999999999956</v>
      </c>
      <c r="F489" s="104">
        <v>1.0000000000000002</v>
      </c>
      <c r="G489" s="104">
        <v>1</v>
      </c>
      <c r="H489" s="81">
        <v>1</v>
      </c>
      <c r="I489" s="104">
        <v>1</v>
      </c>
      <c r="J489" s="104">
        <v>0.99999999999999978</v>
      </c>
      <c r="K489" s="104">
        <v>0.99999999999999978</v>
      </c>
      <c r="L489" s="104">
        <v>0.99882075471698151</v>
      </c>
      <c r="M489" s="104">
        <v>0.99760112611870189</v>
      </c>
      <c r="N489" s="104">
        <v>0.99918831168831168</v>
      </c>
      <c r="O489" s="104">
        <v>1.0000000000000004</v>
      </c>
      <c r="P489" s="104">
        <v>1.0000000000000002</v>
      </c>
      <c r="Q489" s="104">
        <v>1</v>
      </c>
      <c r="R489" s="104">
        <v>8.4412315883451841E-2</v>
      </c>
      <c r="S489" s="104">
        <v>3.1550000000000002E-2</v>
      </c>
      <c r="T489" s="22">
        <v>95</v>
      </c>
    </row>
    <row r="490" spans="2:20" x14ac:dyDescent="0.25">
      <c r="B490" s="46">
        <v>99</v>
      </c>
      <c r="D490" s="104">
        <v>1</v>
      </c>
      <c r="E490" s="104">
        <v>0.99999999999999956</v>
      </c>
      <c r="F490" s="104">
        <v>1.0000000000000002</v>
      </c>
      <c r="G490" s="104">
        <v>1</v>
      </c>
      <c r="H490" s="81">
        <v>1</v>
      </c>
      <c r="I490" s="104">
        <v>1</v>
      </c>
      <c r="J490" s="104">
        <v>0.99999999999999978</v>
      </c>
      <c r="K490" s="104">
        <v>0.99999999999999978</v>
      </c>
      <c r="L490" s="104">
        <v>1.0000000000000004</v>
      </c>
      <c r="M490" s="104">
        <v>1</v>
      </c>
      <c r="N490" s="104">
        <v>0.99918831168831168</v>
      </c>
      <c r="O490" s="104">
        <v>1.0000000000000004</v>
      </c>
      <c r="P490" s="104">
        <v>1.0000000000000002</v>
      </c>
      <c r="Q490" s="104">
        <v>1</v>
      </c>
      <c r="R490" s="104">
        <v>0.99999999999999978</v>
      </c>
      <c r="S490" s="104">
        <v>3.1550000000000002E-2</v>
      </c>
      <c r="T490" s="46">
        <v>99</v>
      </c>
    </row>
    <row r="491" spans="2:20" x14ac:dyDescent="0.25">
      <c r="B491" s="67">
        <v>99</v>
      </c>
      <c r="D491" s="104">
        <v>1</v>
      </c>
      <c r="E491" s="104">
        <v>0.99999999999999956</v>
      </c>
      <c r="F491" s="104">
        <v>1.0000000000000002</v>
      </c>
      <c r="G491" s="104">
        <v>1</v>
      </c>
      <c r="H491" s="81">
        <v>1</v>
      </c>
      <c r="I491" s="104">
        <v>1</v>
      </c>
      <c r="J491" s="104">
        <v>0.99999999999999978</v>
      </c>
      <c r="K491" s="104">
        <v>0.99999999999999978</v>
      </c>
      <c r="L491" s="104">
        <v>1.0000000000000004</v>
      </c>
      <c r="M491" s="104">
        <v>1</v>
      </c>
      <c r="N491" s="104">
        <v>1</v>
      </c>
      <c r="O491" s="104">
        <v>1.0000000000000004</v>
      </c>
      <c r="P491" s="104">
        <v>1.0000000000000002</v>
      </c>
      <c r="Q491" s="104">
        <v>1</v>
      </c>
      <c r="R491" s="104">
        <v>0.99999999999999978</v>
      </c>
      <c r="S491" s="104">
        <v>1</v>
      </c>
      <c r="T491" s="67">
        <v>99</v>
      </c>
    </row>
    <row r="497" spans="3:19" x14ac:dyDescent="0.25">
      <c r="H497" t="s">
        <v>1225</v>
      </c>
      <c r="I497">
        <v>80</v>
      </c>
      <c r="K497">
        <v>70</v>
      </c>
      <c r="L497">
        <v>65</v>
      </c>
      <c r="M497">
        <v>90</v>
      </c>
      <c r="N497">
        <v>40</v>
      </c>
    </row>
    <row r="499" spans="3:19" x14ac:dyDescent="0.25">
      <c r="H499" t="s">
        <v>1226</v>
      </c>
      <c r="I499">
        <f ca="1">RAND()</f>
        <v>0.70132301214948178</v>
      </c>
      <c r="K499">
        <f ca="1">RAND()</f>
        <v>0.25138123706317583</v>
      </c>
      <c r="L499">
        <f ca="1">RAND()</f>
        <v>0.12486587042975994</v>
      </c>
      <c r="M499">
        <f ca="1">RAND()</f>
        <v>5.2340157733188009E-2</v>
      </c>
      <c r="N499">
        <f ca="1">RAND()</f>
        <v>0.45920144092878523</v>
      </c>
    </row>
    <row r="501" spans="3:19" x14ac:dyDescent="0.25">
      <c r="H501" t="s">
        <v>1227</v>
      </c>
    </row>
    <row r="503" spans="3:19" x14ac:dyDescent="0.25">
      <c r="H503" t="s">
        <v>1228</v>
      </c>
      <c r="I503">
        <f ca="1">VLOOKUP(I499,$L$475:$T$491,9,1)</f>
        <v>80</v>
      </c>
      <c r="K503">
        <f ca="1">VLOOKUP(K499,H475:T491,13,1)</f>
        <v>70</v>
      </c>
      <c r="L503">
        <f ca="1">VLOOKUP(L499,$G$475:$T$491,14,1)</f>
        <v>60</v>
      </c>
      <c r="M503">
        <f ca="1">VLOOKUP(M499,$P$475:$T$491,5,1)</f>
        <v>80</v>
      </c>
      <c r="N503">
        <f ca="1">VLOOKUP(N499,$E$475:$T$491,16,1)</f>
        <v>40</v>
      </c>
    </row>
    <row r="506" spans="3:19" x14ac:dyDescent="0.25">
      <c r="D506" s="66"/>
    </row>
    <row r="508" spans="3:19" x14ac:dyDescent="0.25">
      <c r="D508" s="185">
        <f>C434*D433*E433</f>
        <v>126474.96531537305</v>
      </c>
      <c r="E508" s="185">
        <f>C434*D434*E434</f>
        <v>19310.872511254842</v>
      </c>
    </row>
    <row r="509" spans="3:19" x14ac:dyDescent="0.25">
      <c r="C509" s="22">
        <v>22</v>
      </c>
      <c r="D509" s="129">
        <f t="array" ref="D509:S509">TRANSPOSE(C433*($D$433:$D$448*$E$433:$E$448))</f>
        <v>27265820.636251964</v>
      </c>
      <c r="E509" s="129">
        <v>4163090.9714699383</v>
      </c>
      <c r="F509" s="129">
        <v>3315587.1559073166</v>
      </c>
      <c r="G509" s="129">
        <v>2468083.3403446949</v>
      </c>
      <c r="H509" s="129">
        <v>1372940.9380145948</v>
      </c>
      <c r="I509" s="129">
        <v>1125900.6771330391</v>
      </c>
      <c r="J509" s="129">
        <v>878860.41625148372</v>
      </c>
      <c r="K509" s="129">
        <v>524012.01911471784</v>
      </c>
      <c r="L509" s="129">
        <v>321367.19117425324</v>
      </c>
      <c r="M509" s="129">
        <v>118722.3632337887</v>
      </c>
      <c r="N509" s="129">
        <v>114377.73864238302</v>
      </c>
      <c r="O509" s="129">
        <v>93138.140152081527</v>
      </c>
      <c r="P509" s="129">
        <v>71898.541661780051</v>
      </c>
      <c r="Q509" s="129">
        <v>50658.943171478561</v>
      </c>
      <c r="R509" s="129">
        <v>29419.344681177085</v>
      </c>
      <c r="S509" s="129">
        <v>8179.7461908755886</v>
      </c>
    </row>
    <row r="510" spans="3:19" x14ac:dyDescent="0.25">
      <c r="C510" s="22">
        <v>40</v>
      </c>
      <c r="D510" s="186">
        <f t="array" ref="D510:S510">TRANSPOSE(C434*($D$433:$D$448*$E$433:$E$448))</f>
        <v>126474.96531537305</v>
      </c>
      <c r="E510" s="186">
        <v>19310.872511254842</v>
      </c>
      <c r="F510" s="129">
        <v>15379.649713749372</v>
      </c>
      <c r="G510" s="129">
        <v>11448.4269162439</v>
      </c>
      <c r="H510" s="129">
        <v>6368.510225017053</v>
      </c>
      <c r="I510" s="129">
        <v>5222.5917198188763</v>
      </c>
      <c r="J510" s="129">
        <v>4076.6732146207005</v>
      </c>
      <c r="K510" s="129">
        <v>2430.6769572985349</v>
      </c>
      <c r="L510" s="129">
        <v>1490.690667245939</v>
      </c>
      <c r="M510" s="129">
        <v>550.70437719334336</v>
      </c>
      <c r="N510" s="129">
        <v>530.55144463220972</v>
      </c>
      <c r="O510" s="129">
        <v>432.02965362469013</v>
      </c>
      <c r="P510" s="129">
        <v>333.50786261717059</v>
      </c>
      <c r="Q510" s="129">
        <v>234.98607160965105</v>
      </c>
      <c r="R510" s="129">
        <v>136.46428060213151</v>
      </c>
      <c r="S510" s="129">
        <v>37.942489594611907</v>
      </c>
    </row>
    <row r="511" spans="3:19" x14ac:dyDescent="0.25">
      <c r="C511" s="22">
        <v>60</v>
      </c>
      <c r="D511" s="129">
        <f t="array" ref="D511:S511">TRANSPOSE(C435*($D$433:$D$448*$E$433:$E$448))</f>
        <v>76380.074834640822</v>
      </c>
      <c r="E511" s="129">
        <v>11662.117351476918</v>
      </c>
      <c r="F511" s="129">
        <v>9287.9946093486269</v>
      </c>
      <c r="G511" s="129">
        <v>6913.8718672203349</v>
      </c>
      <c r="H511" s="129">
        <v>3846.0361412951702</v>
      </c>
      <c r="I511" s="129">
        <v>3153.9992550767256</v>
      </c>
      <c r="J511" s="129">
        <v>2461.9623688582819</v>
      </c>
      <c r="K511" s="129">
        <v>1467.9212398624215</v>
      </c>
      <c r="L511" s="129">
        <v>900.24981968274096</v>
      </c>
      <c r="M511" s="129">
        <v>332.57839950306027</v>
      </c>
      <c r="N511" s="129">
        <v>320.40774981504842</v>
      </c>
      <c r="O511" s="129">
        <v>260.90900434211716</v>
      </c>
      <c r="P511" s="129">
        <v>201.41025886918595</v>
      </c>
      <c r="Q511" s="129">
        <v>141.91151339625472</v>
      </c>
      <c r="R511" s="129">
        <v>82.412767923323514</v>
      </c>
      <c r="S511" s="129">
        <v>22.914022450392245</v>
      </c>
    </row>
    <row r="512" spans="3:19" x14ac:dyDescent="0.25">
      <c r="C512" s="22">
        <v>65</v>
      </c>
      <c r="D512" s="129">
        <f t="array" ref="D512:S512">TRANSPOSE(C436*($D$433:$D$448*$E$433:$E$448))</f>
        <v>367300.89714163309</v>
      </c>
      <c r="E512" s="129">
        <v>56081.460708726227</v>
      </c>
      <c r="F512" s="129">
        <v>44664.642710106149</v>
      </c>
      <c r="G512" s="129">
        <v>33247.824711486079</v>
      </c>
      <c r="H512" s="129">
        <v>18495.039814967258</v>
      </c>
      <c r="I512" s="129">
        <v>15167.133031510488</v>
      </c>
      <c r="J512" s="129">
        <v>11839.226248053723</v>
      </c>
      <c r="K512" s="129">
        <v>7059.0240910604016</v>
      </c>
      <c r="L512" s="129">
        <v>4329.1731140213296</v>
      </c>
      <c r="M512" s="129">
        <v>1599.3221369822575</v>
      </c>
      <c r="N512" s="129">
        <v>1540.7952167235219</v>
      </c>
      <c r="O512" s="129">
        <v>1254.6742272073154</v>
      </c>
      <c r="P512" s="129">
        <v>968.55323769110908</v>
      </c>
      <c r="Q512" s="129">
        <v>682.43224817490272</v>
      </c>
      <c r="R512" s="129">
        <v>396.31125865869643</v>
      </c>
      <c r="S512" s="129">
        <v>110.19026914248992</v>
      </c>
    </row>
    <row r="513" spans="3:19" x14ac:dyDescent="0.25">
      <c r="C513" s="22">
        <v>70</v>
      </c>
      <c r="D513" s="129">
        <f t="array" ref="D513:S513">TRANSPOSE(C437*($D$433:$D$448*$E$433:$E$448))</f>
        <v>1017543.5878962487</v>
      </c>
      <c r="E513" s="129">
        <v>155363.98410161</v>
      </c>
      <c r="F513" s="129">
        <v>123735.66508828965</v>
      </c>
      <c r="G513" s="129">
        <v>92107.346074969289</v>
      </c>
      <c r="H513" s="129">
        <v>51237.307934886026</v>
      </c>
      <c r="I513" s="129">
        <v>42017.917960684317</v>
      </c>
      <c r="J513" s="129">
        <v>32798.527986482615</v>
      </c>
      <c r="K513" s="129">
        <v>19555.804945104468</v>
      </c>
      <c r="L513" s="129">
        <v>11993.225111472027</v>
      </c>
      <c r="M513" s="129">
        <v>4430.6452778395906</v>
      </c>
      <c r="N513" s="129">
        <v>4268.5065711496709</v>
      </c>
      <c r="O513" s="129">
        <v>3475.8578721935114</v>
      </c>
      <c r="P513" s="129">
        <v>2683.2091732373524</v>
      </c>
      <c r="Q513" s="129">
        <v>1890.5604742811931</v>
      </c>
      <c r="R513" s="129">
        <v>1097.9117753250341</v>
      </c>
      <c r="S513" s="129">
        <v>305.26307636887458</v>
      </c>
    </row>
    <row r="514" spans="3:19" x14ac:dyDescent="0.25">
      <c r="C514" s="22">
        <v>73</v>
      </c>
      <c r="D514" s="129">
        <f t="array" ref="D514:S514">TRANSPOSE(C438*($D$433:$D$448*$E$433:$E$448))</f>
        <v>3512974.4720890685</v>
      </c>
      <c r="E514" s="129">
        <v>536379.68586625101</v>
      </c>
      <c r="F514" s="129">
        <v>427185.86005815922</v>
      </c>
      <c r="G514" s="129">
        <v>317992.03425006743</v>
      </c>
      <c r="H514" s="129">
        <v>176892.03384983059</v>
      </c>
      <c r="I514" s="129">
        <v>145062.94857736086</v>
      </c>
      <c r="J514" s="129">
        <v>113233.86330489114</v>
      </c>
      <c r="K514" s="129">
        <v>67514.595316097548</v>
      </c>
      <c r="L514" s="129">
        <v>41405.492753117011</v>
      </c>
      <c r="M514" s="129">
        <v>15296.390190136486</v>
      </c>
      <c r="N514" s="129">
        <v>14736.621405472588</v>
      </c>
      <c r="O514" s="129">
        <v>12000.075592703413</v>
      </c>
      <c r="P514" s="129">
        <v>9263.5297799342407</v>
      </c>
      <c r="Q514" s="129">
        <v>6526.983967165068</v>
      </c>
      <c r="R514" s="129">
        <v>3790.4381543958953</v>
      </c>
      <c r="S514" s="129">
        <v>1053.8923416267205</v>
      </c>
    </row>
    <row r="515" spans="3:19" x14ac:dyDescent="0.25">
      <c r="C515" s="22">
        <v>75</v>
      </c>
      <c r="D515" s="129">
        <f t="array" ref="D515:S515">TRANSPOSE(C439*($D$433:$D$448*$E$433:$E$448))</f>
        <v>3120705.3168672132</v>
      </c>
      <c r="E515" s="129">
        <v>476485.93829574954</v>
      </c>
      <c r="F515" s="129">
        <v>379485.01913855941</v>
      </c>
      <c r="G515" s="129">
        <v>282484.09998136928</v>
      </c>
      <c r="H515" s="129">
        <v>157139.74437689144</v>
      </c>
      <c r="I515" s="129">
        <v>128864.78922706142</v>
      </c>
      <c r="J515" s="129">
        <v>100589.83407723143</v>
      </c>
      <c r="K515" s="129">
        <v>59975.715235923846</v>
      </c>
      <c r="L515" s="129">
        <v>36782.032550700249</v>
      </c>
      <c r="M515" s="129">
        <v>13588.349865476654</v>
      </c>
      <c r="N515" s="129">
        <v>13091.086524568256</v>
      </c>
      <c r="O515" s="129">
        <v>10660.111538666637</v>
      </c>
      <c r="P515" s="129">
        <v>8229.1365527650196</v>
      </c>
      <c r="Q515" s="129">
        <v>5798.1615668634013</v>
      </c>
      <c r="R515" s="129">
        <v>3367.1865809617834</v>
      </c>
      <c r="S515" s="129">
        <v>936.21159506016386</v>
      </c>
    </row>
    <row r="516" spans="3:19" x14ac:dyDescent="0.25">
      <c r="C516" s="22">
        <v>77</v>
      </c>
      <c r="D516" s="129">
        <f t="array" ref="D516:S516">TRANSPOSE(C440*($D$433:$D$448*$E$433:$E$448))</f>
        <v>10590117.551497946</v>
      </c>
      <c r="E516" s="129">
        <v>1616955.6513119801</v>
      </c>
      <c r="F516" s="129">
        <v>1287782.9059951552</v>
      </c>
      <c r="G516" s="129">
        <v>958610.16067833046</v>
      </c>
      <c r="H516" s="129">
        <v>533253.9269148903</v>
      </c>
      <c r="I516" s="129">
        <v>437302.82984026283</v>
      </c>
      <c r="J516" s="129">
        <v>341351.73276563542</v>
      </c>
      <c r="K516" s="129">
        <v>203527.66765597998</v>
      </c>
      <c r="L516" s="129">
        <v>124819.87529856664</v>
      </c>
      <c r="M516" s="129">
        <v>46112.082941153312</v>
      </c>
      <c r="N516" s="129">
        <v>44424.619147052756</v>
      </c>
      <c r="O516" s="129">
        <v>36175.102370732078</v>
      </c>
      <c r="P516" s="129">
        <v>27925.585594411408</v>
      </c>
      <c r="Q516" s="129">
        <v>19676.068818090735</v>
      </c>
      <c r="R516" s="129">
        <v>11426.552041770061</v>
      </c>
      <c r="S516" s="129">
        <v>3177.0352654493836</v>
      </c>
    </row>
    <row r="517" spans="3:19" x14ac:dyDescent="0.25">
      <c r="C517" s="22">
        <v>80</v>
      </c>
      <c r="D517" s="129">
        <f t="array" ref="D517:S517">TRANSPOSE(C441*($D$433:$D$448*$E$433:$E$448))</f>
        <v>15718383.381031191</v>
      </c>
      <c r="E517" s="129">
        <v>2399966.6400163495</v>
      </c>
      <c r="F517" s="129">
        <v>1911391.9491013715</v>
      </c>
      <c r="G517" s="129">
        <v>1422817.2581863934</v>
      </c>
      <c r="H517" s="129">
        <v>791482.21178177919</v>
      </c>
      <c r="I517" s="129">
        <v>649066.78321685223</v>
      </c>
      <c r="J517" s="129">
        <v>506651.35465192527</v>
      </c>
      <c r="K517" s="129">
        <v>302085.96772481402</v>
      </c>
      <c r="L517" s="129">
        <v>185263.91647445501</v>
      </c>
      <c r="M517" s="129">
        <v>68441.865224096022</v>
      </c>
      <c r="N517" s="129">
        <v>65937.246863789886</v>
      </c>
      <c r="O517" s="129">
        <v>53692.900493893772</v>
      </c>
      <c r="P517" s="129">
        <v>41448.554123997674</v>
      </c>
      <c r="Q517" s="129">
        <v>29204.207754101568</v>
      </c>
      <c r="R517" s="129">
        <v>16959.861384205466</v>
      </c>
      <c r="S517" s="129">
        <v>4715.515014309357</v>
      </c>
    </row>
    <row r="518" spans="3:19" x14ac:dyDescent="0.25">
      <c r="C518" s="22">
        <v>83</v>
      </c>
      <c r="D518" s="129">
        <f t="array" ref="D518:S518">TRANSPOSE(C442*($D$433:$D$448*$E$433:$E$448))</f>
        <v>16664811.41237752</v>
      </c>
      <c r="E518" s="129">
        <v>2544472.3215070195</v>
      </c>
      <c r="F518" s="129">
        <v>2026479.797238624</v>
      </c>
      <c r="G518" s="129">
        <v>1508487.2729702282</v>
      </c>
      <c r="H518" s="129">
        <v>839138.57270540006</v>
      </c>
      <c r="I518" s="129">
        <v>688148.09221415943</v>
      </c>
      <c r="J518" s="129">
        <v>537157.61172291893</v>
      </c>
      <c r="K518" s="129">
        <v>320275.02831715019</v>
      </c>
      <c r="L518" s="129">
        <v>196418.94173996843</v>
      </c>
      <c r="M518" s="129">
        <v>72562.855162786669</v>
      </c>
      <c r="N518" s="129">
        <v>69907.429880002805</v>
      </c>
      <c r="O518" s="129">
        <v>56925.832588744888</v>
      </c>
      <c r="P518" s="129">
        <v>43944.235297486986</v>
      </c>
      <c r="Q518" s="129">
        <v>30962.638006229074</v>
      </c>
      <c r="R518" s="129">
        <v>17981.040714971172</v>
      </c>
      <c r="S518" s="129">
        <v>4999.4434237132555</v>
      </c>
    </row>
    <row r="519" spans="3:19" x14ac:dyDescent="0.25">
      <c r="C519" s="22">
        <v>85</v>
      </c>
      <c r="D519" s="129">
        <f t="array" ref="D519:S519">TRANSPOSE(C443*($D$433:$D$448*$E$433:$E$448))</f>
        <v>29038330.070326913</v>
      </c>
      <c r="E519" s="129">
        <v>4433727.1690847501</v>
      </c>
      <c r="F519" s="129">
        <v>3531128.4224529364</v>
      </c>
      <c r="G519" s="129">
        <v>2628529.6758211222</v>
      </c>
      <c r="H519" s="129">
        <v>1462193.7354096964</v>
      </c>
      <c r="I519" s="129">
        <v>1199093.7637697307</v>
      </c>
      <c r="J519" s="129">
        <v>935993.79212976526</v>
      </c>
      <c r="K519" s="129">
        <v>558077.24164517666</v>
      </c>
      <c r="L519" s="129">
        <v>342258.78236300952</v>
      </c>
      <c r="M519" s="129">
        <v>126440.32308084249</v>
      </c>
      <c r="N519" s="129">
        <v>121813.2610679296</v>
      </c>
      <c r="O519" s="129">
        <v>99192.90865856329</v>
      </c>
      <c r="P519" s="129">
        <v>76572.55624919699</v>
      </c>
      <c r="Q519" s="129">
        <v>53952.20383983069</v>
      </c>
      <c r="R519" s="129">
        <v>31331.85143046439</v>
      </c>
      <c r="S519" s="129">
        <v>8711.4990210980723</v>
      </c>
    </row>
    <row r="520" spans="3:19" x14ac:dyDescent="0.25">
      <c r="C520" s="22">
        <v>87</v>
      </c>
      <c r="D520" s="129">
        <f t="array" ref="D520:S520">TRANSPOSE(C444*($D$433:$D$448*$E$433:$E$448))</f>
        <v>10971851.539239416</v>
      </c>
      <c r="E520" s="129">
        <v>1675240.8333012131</v>
      </c>
      <c r="F520" s="129">
        <v>1334202.6460651127</v>
      </c>
      <c r="G520" s="129">
        <v>993164.45882901235</v>
      </c>
      <c r="H520" s="129">
        <v>552475.72941237304</v>
      </c>
      <c r="I520" s="129">
        <v>453065.95544050139</v>
      </c>
      <c r="J520" s="129">
        <v>353656.18146862974</v>
      </c>
      <c r="K520" s="129">
        <v>210864.0761341888</v>
      </c>
      <c r="L520" s="129">
        <v>129319.16329186894</v>
      </c>
      <c r="M520" s="129">
        <v>47774.250449549101</v>
      </c>
      <c r="N520" s="129">
        <v>46025.959919563989</v>
      </c>
      <c r="O520" s="129">
        <v>37479.079028005552</v>
      </c>
      <c r="P520" s="129">
        <v>28932.198136447125</v>
      </c>
      <c r="Q520" s="129">
        <v>20385.317244888691</v>
      </c>
      <c r="R520" s="129">
        <v>11838.43635333026</v>
      </c>
      <c r="S520" s="129">
        <v>3291.5554617718244</v>
      </c>
    </row>
    <row r="521" spans="3:19" x14ac:dyDescent="0.25">
      <c r="C521" s="22">
        <v>90</v>
      </c>
      <c r="D521" s="129">
        <f t="array" ref="D521:S521">TRANSPOSE(C445*($D$433:$D$448*$E$433:$E$448))</f>
        <v>500889.01410599193</v>
      </c>
      <c r="E521" s="129">
        <v>76478.407165953438</v>
      </c>
      <c r="F521" s="129">
        <v>60909.268195538003</v>
      </c>
      <c r="G521" s="129">
        <v>45340.12922512256</v>
      </c>
      <c r="H521" s="129">
        <v>25221.72510566394</v>
      </c>
      <c r="I521" s="129">
        <v>20683.451551816524</v>
      </c>
      <c r="J521" s="129">
        <v>16145.177997969111</v>
      </c>
      <c r="K521" s="129">
        <v>9626.406156471412</v>
      </c>
      <c r="L521" s="129">
        <v>5903.7025769641687</v>
      </c>
      <c r="M521" s="129">
        <v>2180.9989974569253</v>
      </c>
      <c r="N521" s="129">
        <v>2101.18571190496</v>
      </c>
      <c r="O521" s="129">
        <v>1711.0019103703276</v>
      </c>
      <c r="P521" s="129">
        <v>1320.8181088356953</v>
      </c>
      <c r="Q521" s="129">
        <v>930.63430730106268</v>
      </c>
      <c r="R521" s="129">
        <v>540.4505057664303</v>
      </c>
      <c r="S521" s="129">
        <v>150.26670423179755</v>
      </c>
    </row>
    <row r="522" spans="3:19" x14ac:dyDescent="0.25">
      <c r="C522" s="22">
        <v>93</v>
      </c>
      <c r="D522" s="129">
        <f t="array" ref="D522:S522">TRANSPOSE(C446*($D$433:$D$448*$E$433:$E$448))</f>
        <v>0</v>
      </c>
      <c r="E522" s="129">
        <v>0</v>
      </c>
      <c r="F522" s="129">
        <v>0</v>
      </c>
      <c r="G522" s="129">
        <v>0</v>
      </c>
      <c r="H522" s="129">
        <v>0</v>
      </c>
      <c r="I522" s="129">
        <v>0</v>
      </c>
      <c r="J522" s="129">
        <v>0</v>
      </c>
      <c r="K522" s="129">
        <v>0</v>
      </c>
      <c r="L522" s="129">
        <v>0</v>
      </c>
      <c r="M522" s="129">
        <v>0</v>
      </c>
      <c r="N522" s="129">
        <v>0</v>
      </c>
      <c r="O522" s="129">
        <v>0</v>
      </c>
      <c r="P522" s="129">
        <v>0</v>
      </c>
      <c r="Q522" s="129">
        <v>0</v>
      </c>
      <c r="R522" s="129">
        <v>0</v>
      </c>
      <c r="S522" s="129">
        <v>0</v>
      </c>
    </row>
    <row r="523" spans="3:19" x14ac:dyDescent="0.25">
      <c r="C523" s="22">
        <v>95</v>
      </c>
      <c r="D523" s="129">
        <f t="array" ref="D523:S523">TRANSPOSE(C447*($D$433:$D$448*$E$433:$E$448))</f>
        <v>1305361.6876779497</v>
      </c>
      <c r="E523" s="129">
        <v>199309.58722912852</v>
      </c>
      <c r="F523" s="129">
        <v>158735.01491915676</v>
      </c>
      <c r="G523" s="129">
        <v>118160.442609185</v>
      </c>
      <c r="H523" s="129">
        <v>65730.077368221013</v>
      </c>
      <c r="I523" s="129">
        <v>53902.929519973557</v>
      </c>
      <c r="J523" s="129">
        <v>42075.781671726116</v>
      </c>
      <c r="K523" s="129">
        <v>25087.277685882484</v>
      </c>
      <c r="L523" s="129">
        <v>15385.578326506999</v>
      </c>
      <c r="M523" s="129">
        <v>5683.8789671315153</v>
      </c>
      <c r="N523" s="129">
        <v>5475.8783877752494</v>
      </c>
      <c r="O523" s="129">
        <v>4459.0244114808756</v>
      </c>
      <c r="P523" s="129">
        <v>3442.1704351865033</v>
      </c>
      <c r="Q523" s="129">
        <v>2425.3164588921304</v>
      </c>
      <c r="R523" s="129">
        <v>1408.462482597758</v>
      </c>
      <c r="S523" s="129">
        <v>391.60850630338484</v>
      </c>
    </row>
    <row r="524" spans="3:19" x14ac:dyDescent="0.25">
      <c r="C524" s="46">
        <v>99</v>
      </c>
      <c r="D524" s="129">
        <f t="array" ref="D524:S524">TRANSPOSE(C448*($D$433:$D$448*$E$433:$E$448))</f>
        <v>0</v>
      </c>
      <c r="E524" s="129">
        <v>0</v>
      </c>
      <c r="F524" s="129">
        <v>0</v>
      </c>
      <c r="G524" s="129">
        <v>0</v>
      </c>
      <c r="H524" s="129">
        <v>0</v>
      </c>
      <c r="I524" s="129">
        <v>0</v>
      </c>
      <c r="J524" s="129">
        <v>0</v>
      </c>
      <c r="K524" s="129">
        <v>0</v>
      </c>
      <c r="L524" s="129">
        <v>0</v>
      </c>
      <c r="M524" s="129">
        <v>0</v>
      </c>
      <c r="N524" s="129">
        <v>0</v>
      </c>
      <c r="O524" s="129">
        <v>0</v>
      </c>
      <c r="P524" s="129">
        <v>0</v>
      </c>
      <c r="Q524" s="129">
        <v>0</v>
      </c>
      <c r="R524" s="129">
        <v>0</v>
      </c>
      <c r="S524" s="129">
        <v>0</v>
      </c>
    </row>
    <row r="525" spans="3:19" x14ac:dyDescent="0.25">
      <c r="D525" s="137">
        <f>SUM(D509:D524)</f>
        <v>120276944.60665306</v>
      </c>
      <c r="E525" s="137">
        <f t="shared" ref="E525:S525" si="34">SUM(E509:E524)</f>
        <v>18364525.639921401</v>
      </c>
      <c r="F525" s="137">
        <f t="shared" si="34"/>
        <v>14625955.991193421</v>
      </c>
      <c r="G525" s="137">
        <f t="shared" si="34"/>
        <v>10887386.342465445</v>
      </c>
      <c r="H525" s="137">
        <f t="shared" si="34"/>
        <v>6056415.5890555065</v>
      </c>
      <c r="I525" s="137">
        <f t="shared" si="34"/>
        <v>4966653.8624578491</v>
      </c>
      <c r="J525" s="137">
        <f t="shared" si="34"/>
        <v>3876892.1358601912</v>
      </c>
      <c r="K525" s="137">
        <f t="shared" si="34"/>
        <v>2311559.4222197286</v>
      </c>
      <c r="L525" s="137">
        <f t="shared" si="34"/>
        <v>1417638.0152618324</v>
      </c>
      <c r="M525" s="137">
        <f t="shared" si="34"/>
        <v>523716.60830393608</v>
      </c>
      <c r="N525" s="137">
        <f t="shared" si="34"/>
        <v>504551.28853276366</v>
      </c>
      <c r="O525" s="137">
        <f t="shared" si="34"/>
        <v>410857.64750260994</v>
      </c>
      <c r="P525" s="137">
        <f t="shared" si="34"/>
        <v>317164.0064724565</v>
      </c>
      <c r="Q525" s="137">
        <f t="shared" si="34"/>
        <v>223470.36544230298</v>
      </c>
      <c r="R525" s="137">
        <f t="shared" si="34"/>
        <v>129776.72441214947</v>
      </c>
      <c r="S525" s="137">
        <f t="shared" si="34"/>
        <v>36083.083381995915</v>
      </c>
    </row>
    <row r="526" spans="3:19" x14ac:dyDescent="0.25">
      <c r="E526" s="192">
        <f>E525+(1-0.99)/(1-0.85)*(D525-E525)</f>
        <v>25158686.904370185</v>
      </c>
    </row>
  </sheetData>
  <phoneticPr fontId="1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/>
  <dimension ref="A1:L10001"/>
  <sheetViews>
    <sheetView topLeftCell="C1" zoomScaleNormal="100" workbookViewId="0">
      <selection activeCell="I5" sqref="I5"/>
    </sheetView>
  </sheetViews>
  <sheetFormatPr defaultColWidth="11.42578125" defaultRowHeight="15" x14ac:dyDescent="0.25"/>
  <cols>
    <col min="1" max="1" width="11.42578125" style="65" customWidth="1"/>
    <col min="2" max="2" width="28" style="64" customWidth="1"/>
    <col min="3" max="4" width="11.42578125" customWidth="1"/>
    <col min="5" max="5" width="22.85546875" customWidth="1"/>
    <col min="6" max="7" width="11.42578125" customWidth="1"/>
    <col min="8" max="8" width="19.7109375" customWidth="1"/>
    <col min="9" max="9" width="21.140625" customWidth="1"/>
    <col min="10" max="10" width="11.42578125" customWidth="1"/>
    <col min="11" max="11" width="15.28515625" bestFit="1" customWidth="1"/>
  </cols>
  <sheetData>
    <row r="1" spans="1:12" x14ac:dyDescent="0.25">
      <c r="A1" s="65" t="s">
        <v>1232</v>
      </c>
      <c r="B1" s="64" t="s">
        <v>1233</v>
      </c>
      <c r="D1" t="s">
        <v>1234</v>
      </c>
      <c r="E1" s="66">
        <f>MAX(B:B)</f>
        <v>38663280.776258767</v>
      </c>
      <c r="H1" t="s">
        <v>1334</v>
      </c>
      <c r="K1" t="s">
        <v>1336</v>
      </c>
    </row>
    <row r="2" spans="1:12" x14ac:dyDescent="0.25">
      <c r="A2" s="65">
        <v>1</v>
      </c>
      <c r="B2" s="64">
        <v>28514872.846948463</v>
      </c>
      <c r="D2" t="s">
        <v>1235</v>
      </c>
      <c r="E2" s="66">
        <f>MIN(B:B)</f>
        <v>28238638.094389554</v>
      </c>
      <c r="H2" s="50" t="s">
        <v>1244</v>
      </c>
      <c r="I2" s="82">
        <f>CreditMetrics!C450</f>
        <v>267282099.12589571</v>
      </c>
      <c r="J2" t="s">
        <v>1335</v>
      </c>
    </row>
    <row r="3" spans="1:12" x14ac:dyDescent="0.25">
      <c r="A3" s="65">
        <v>2</v>
      </c>
      <c r="B3" s="64">
        <v>29266917.708972856</v>
      </c>
      <c r="D3" t="s">
        <v>1236</v>
      </c>
      <c r="E3" s="66">
        <f>E1-E2</f>
        <v>10424642.681869213</v>
      </c>
      <c r="G3" s="50" t="s">
        <v>1239</v>
      </c>
      <c r="H3" s="50" t="s">
        <v>1212</v>
      </c>
      <c r="I3" s="82">
        <f>AVERAGE(B:B)</f>
        <v>29388563.030254155</v>
      </c>
      <c r="J3" s="81">
        <f>+I3/$I$2</f>
        <v>0.10995335312901557</v>
      </c>
      <c r="K3" s="136">
        <f>CreditMetrics!F450</f>
        <v>0</v>
      </c>
      <c r="L3" s="81">
        <f>+K3/$I$2</f>
        <v>0</v>
      </c>
    </row>
    <row r="4" spans="1:12" x14ac:dyDescent="0.25">
      <c r="A4" s="65">
        <v>3</v>
      </c>
      <c r="B4" s="64">
        <v>30764784.283172183</v>
      </c>
      <c r="D4" t="s">
        <v>1237</v>
      </c>
      <c r="E4" s="78">
        <f>+E3/39</f>
        <v>267298.53030433878</v>
      </c>
      <c r="G4" s="50" t="s">
        <v>1240</v>
      </c>
      <c r="H4" s="50" t="s">
        <v>1241</v>
      </c>
      <c r="I4" s="82">
        <f>STDEV(B:B)</f>
        <v>968658.52749203367</v>
      </c>
      <c r="J4" s="81">
        <f>+I4/$I$2</f>
        <v>3.6241055074764821E-3</v>
      </c>
      <c r="K4" s="129">
        <f>CreditMetrics!G450</f>
        <v>35990195.444666661</v>
      </c>
      <c r="L4" s="81">
        <f>+K4/$I$2</f>
        <v>0.13465247228440275</v>
      </c>
    </row>
    <row r="5" spans="1:12" x14ac:dyDescent="0.25">
      <c r="A5" s="65">
        <v>4</v>
      </c>
      <c r="B5" s="64">
        <v>29194966.300932024</v>
      </c>
      <c r="F5" t="s">
        <v>1238</v>
      </c>
      <c r="G5" s="80" t="s">
        <v>1242</v>
      </c>
      <c r="H5" s="50" t="s">
        <v>1243</v>
      </c>
      <c r="I5" s="82">
        <f>PERCENTILE(B:B,99%)</f>
        <v>33699462.949432611</v>
      </c>
      <c r="J5" s="81">
        <f>+I5/$I$2</f>
        <v>0.12608200496644345</v>
      </c>
      <c r="K5" s="129">
        <f>CreditMetrics!H450</f>
        <v>19965930.358106885</v>
      </c>
      <c r="L5" s="81">
        <f>+K5/$I$2</f>
        <v>7.4699841191768312E-2</v>
      </c>
    </row>
    <row r="6" spans="1:12" x14ac:dyDescent="0.25">
      <c r="A6" s="65">
        <v>5</v>
      </c>
      <c r="B6" s="64">
        <v>29479853.902767032</v>
      </c>
      <c r="D6" t="s">
        <v>1235</v>
      </c>
      <c r="E6" s="66">
        <f>+E2</f>
        <v>28238638.094389554</v>
      </c>
      <c r="F6">
        <f t="array" ref="F6:F45">FREQUENCY(B:B,E6:E45)</f>
        <v>1</v>
      </c>
      <c r="H6" s="50" t="s">
        <v>1376</v>
      </c>
      <c r="I6" s="136">
        <f>SUMIF(B2:B10001,"&gt;"&amp;I5,B2:B10001)/COUNTIF(B2:B10001,"&gt;"&amp;I5)</f>
        <v>34356888.690851673</v>
      </c>
    </row>
    <row r="7" spans="1:12" x14ac:dyDescent="0.25">
      <c r="A7" s="65">
        <v>6</v>
      </c>
      <c r="B7" s="64">
        <v>29686696.020862676</v>
      </c>
      <c r="D7">
        <v>2</v>
      </c>
      <c r="E7" s="79">
        <f t="shared" ref="E7:E44" si="0">E6+$E$4</f>
        <v>28505936.624693893</v>
      </c>
      <c r="F7">
        <v>374</v>
      </c>
    </row>
    <row r="8" spans="1:12" x14ac:dyDescent="0.25">
      <c r="A8" s="65">
        <v>7</v>
      </c>
      <c r="B8" s="64">
        <v>28596054.105006859</v>
      </c>
      <c r="D8">
        <f>+D7+1</f>
        <v>3</v>
      </c>
      <c r="E8" s="79">
        <f>E7+$E$4</f>
        <v>28773235.154998232</v>
      </c>
      <c r="F8">
        <v>1802</v>
      </c>
    </row>
    <row r="9" spans="1:12" x14ac:dyDescent="0.25">
      <c r="A9" s="65">
        <v>8</v>
      </c>
      <c r="B9" s="64">
        <v>29082110.129179463</v>
      </c>
      <c r="D9">
        <f t="shared" ref="D9:D44" si="1">+D8+1</f>
        <v>4</v>
      </c>
      <c r="E9" s="79">
        <f t="shared" si="0"/>
        <v>29040533.68530257</v>
      </c>
      <c r="F9">
        <v>2232</v>
      </c>
    </row>
    <row r="10" spans="1:12" x14ac:dyDescent="0.25">
      <c r="A10" s="65">
        <v>9</v>
      </c>
      <c r="B10" s="64">
        <v>29733447.347256742</v>
      </c>
      <c r="D10">
        <f t="shared" si="1"/>
        <v>5</v>
      </c>
      <c r="E10" s="79">
        <f t="shared" si="0"/>
        <v>29307832.215606909</v>
      </c>
      <c r="F10">
        <v>1711</v>
      </c>
    </row>
    <row r="11" spans="1:12" x14ac:dyDescent="0.25">
      <c r="A11" s="65">
        <v>10</v>
      </c>
      <c r="B11" s="64">
        <v>29079846.238824379</v>
      </c>
      <c r="D11">
        <f t="shared" si="1"/>
        <v>6</v>
      </c>
      <c r="E11" s="79">
        <f t="shared" si="0"/>
        <v>29575130.745911248</v>
      </c>
      <c r="F11">
        <v>1123</v>
      </c>
    </row>
    <row r="12" spans="1:12" x14ac:dyDescent="0.25">
      <c r="A12" s="65">
        <v>11</v>
      </c>
      <c r="B12" s="64">
        <v>29460326.251244705</v>
      </c>
      <c r="D12">
        <f t="shared" si="1"/>
        <v>7</v>
      </c>
      <c r="E12" s="79">
        <f t="shared" si="0"/>
        <v>29842429.276215587</v>
      </c>
      <c r="F12">
        <v>816</v>
      </c>
    </row>
    <row r="13" spans="1:12" x14ac:dyDescent="0.25">
      <c r="A13" s="65">
        <v>12</v>
      </c>
      <c r="B13" s="64">
        <v>30440199.163997438</v>
      </c>
      <c r="D13">
        <f t="shared" si="1"/>
        <v>8</v>
      </c>
      <c r="E13" s="79">
        <f t="shared" si="0"/>
        <v>30109727.806519926</v>
      </c>
      <c r="F13">
        <v>633</v>
      </c>
    </row>
    <row r="14" spans="1:12" x14ac:dyDescent="0.25">
      <c r="A14" s="65">
        <v>13</v>
      </c>
      <c r="B14" s="64">
        <v>28616450.058863986</v>
      </c>
      <c r="D14">
        <f t="shared" si="1"/>
        <v>9</v>
      </c>
      <c r="E14" s="79">
        <f t="shared" si="0"/>
        <v>30377026.336824264</v>
      </c>
      <c r="F14">
        <v>425</v>
      </c>
    </row>
    <row r="15" spans="1:12" x14ac:dyDescent="0.25">
      <c r="A15" s="65">
        <v>14</v>
      </c>
      <c r="B15" s="64">
        <v>28866849.427478235</v>
      </c>
      <c r="D15">
        <f t="shared" si="1"/>
        <v>10</v>
      </c>
      <c r="E15" s="79">
        <f t="shared" si="0"/>
        <v>30644324.867128603</v>
      </c>
      <c r="F15">
        <v>243</v>
      </c>
    </row>
    <row r="16" spans="1:12" x14ac:dyDescent="0.25">
      <c r="A16" s="65">
        <v>15</v>
      </c>
      <c r="B16" s="64">
        <v>28768422.621790852</v>
      </c>
      <c r="D16">
        <f t="shared" si="1"/>
        <v>11</v>
      </c>
      <c r="E16" s="79">
        <f t="shared" si="0"/>
        <v>30911623.397432942</v>
      </c>
      <c r="F16">
        <v>147</v>
      </c>
    </row>
    <row r="17" spans="1:6" x14ac:dyDescent="0.25">
      <c r="A17" s="65">
        <v>16</v>
      </c>
      <c r="B17" s="64">
        <v>28969137.332693588</v>
      </c>
      <c r="D17">
        <f t="shared" si="1"/>
        <v>12</v>
      </c>
      <c r="E17" s="79">
        <f t="shared" si="0"/>
        <v>31178921.927737281</v>
      </c>
      <c r="F17">
        <v>80</v>
      </c>
    </row>
    <row r="18" spans="1:6" x14ac:dyDescent="0.25">
      <c r="A18" s="65">
        <v>17</v>
      </c>
      <c r="B18" s="64">
        <v>28888345.417916432</v>
      </c>
      <c r="D18">
        <f t="shared" si="1"/>
        <v>13</v>
      </c>
      <c r="E18" s="79">
        <f t="shared" si="0"/>
        <v>31446220.45804162</v>
      </c>
      <c r="F18">
        <v>46</v>
      </c>
    </row>
    <row r="19" spans="1:6" x14ac:dyDescent="0.25">
      <c r="A19" s="65">
        <v>18</v>
      </c>
      <c r="B19" s="64">
        <v>29381791.885507345</v>
      </c>
      <c r="D19">
        <f t="shared" si="1"/>
        <v>14</v>
      </c>
      <c r="E19" s="79">
        <f t="shared" si="0"/>
        <v>31713518.988345958</v>
      </c>
      <c r="F19">
        <v>20</v>
      </c>
    </row>
    <row r="20" spans="1:6" x14ac:dyDescent="0.25">
      <c r="A20" s="65">
        <v>19</v>
      </c>
      <c r="B20" s="64">
        <v>29874194.225235797</v>
      </c>
      <c r="D20">
        <f t="shared" si="1"/>
        <v>15</v>
      </c>
      <c r="E20" s="79">
        <f t="shared" si="0"/>
        <v>31980817.518650297</v>
      </c>
      <c r="F20">
        <v>15</v>
      </c>
    </row>
    <row r="21" spans="1:6" x14ac:dyDescent="0.25">
      <c r="A21" s="65">
        <v>20</v>
      </c>
      <c r="B21" s="64">
        <v>28615552.587110702</v>
      </c>
      <c r="D21">
        <f t="shared" si="1"/>
        <v>16</v>
      </c>
      <c r="E21" s="79">
        <f t="shared" si="0"/>
        <v>32248116.048954636</v>
      </c>
      <c r="F21">
        <v>8</v>
      </c>
    </row>
    <row r="22" spans="1:6" x14ac:dyDescent="0.25">
      <c r="A22" s="65">
        <v>21</v>
      </c>
      <c r="B22" s="64">
        <v>29121406.814256277</v>
      </c>
      <c r="D22">
        <f t="shared" si="1"/>
        <v>17</v>
      </c>
      <c r="E22" s="79">
        <f t="shared" si="0"/>
        <v>32515414.579258975</v>
      </c>
      <c r="F22">
        <v>22</v>
      </c>
    </row>
    <row r="23" spans="1:6" x14ac:dyDescent="0.25">
      <c r="A23" s="65">
        <v>22</v>
      </c>
      <c r="B23" s="64">
        <v>28806888.148285326</v>
      </c>
      <c r="D23">
        <f t="shared" si="1"/>
        <v>18</v>
      </c>
      <c r="E23" s="79">
        <f t="shared" si="0"/>
        <v>32782713.109563313</v>
      </c>
      <c r="F23">
        <v>31</v>
      </c>
    </row>
    <row r="24" spans="1:6" x14ac:dyDescent="0.25">
      <c r="A24" s="65">
        <v>23</v>
      </c>
      <c r="B24" s="64">
        <v>29976947.968705181</v>
      </c>
      <c r="D24">
        <f t="shared" si="1"/>
        <v>19</v>
      </c>
      <c r="E24" s="79">
        <f t="shared" si="0"/>
        <v>33050011.639867652</v>
      </c>
      <c r="F24">
        <v>42</v>
      </c>
    </row>
    <row r="25" spans="1:6" x14ac:dyDescent="0.25">
      <c r="A25" s="65">
        <v>24</v>
      </c>
      <c r="B25" s="64">
        <v>29338076.515304592</v>
      </c>
      <c r="D25">
        <f t="shared" si="1"/>
        <v>20</v>
      </c>
      <c r="E25" s="79">
        <f t="shared" si="0"/>
        <v>33317310.170171991</v>
      </c>
      <c r="F25">
        <v>62</v>
      </c>
    </row>
    <row r="26" spans="1:6" x14ac:dyDescent="0.25">
      <c r="A26" s="65">
        <v>25</v>
      </c>
      <c r="B26" s="64">
        <v>29140780.418710131</v>
      </c>
      <c r="D26">
        <f t="shared" si="1"/>
        <v>21</v>
      </c>
      <c r="E26" s="79">
        <f t="shared" si="0"/>
        <v>33584608.700476333</v>
      </c>
      <c r="F26">
        <v>49</v>
      </c>
    </row>
    <row r="27" spans="1:6" x14ac:dyDescent="0.25">
      <c r="A27" s="65">
        <v>26</v>
      </c>
      <c r="B27" s="64">
        <v>28422062.58248115</v>
      </c>
      <c r="D27">
        <f t="shared" si="1"/>
        <v>22</v>
      </c>
      <c r="E27" s="79">
        <f t="shared" si="0"/>
        <v>33851907.230780676</v>
      </c>
      <c r="F27">
        <v>39</v>
      </c>
    </row>
    <row r="28" spans="1:6" x14ac:dyDescent="0.25">
      <c r="A28" s="65">
        <v>27</v>
      </c>
      <c r="B28" s="64">
        <v>29245472.020007059</v>
      </c>
      <c r="D28">
        <f t="shared" si="1"/>
        <v>23</v>
      </c>
      <c r="E28" s="79">
        <f t="shared" si="0"/>
        <v>34119205.761085019</v>
      </c>
      <c r="F28">
        <v>28</v>
      </c>
    </row>
    <row r="29" spans="1:6" x14ac:dyDescent="0.25">
      <c r="A29" s="65">
        <v>28</v>
      </c>
      <c r="B29" s="64">
        <v>28952582.46758344</v>
      </c>
      <c r="D29">
        <f t="shared" si="1"/>
        <v>24</v>
      </c>
      <c r="E29" s="79">
        <f t="shared" si="0"/>
        <v>34386504.291389361</v>
      </c>
      <c r="F29">
        <v>21</v>
      </c>
    </row>
    <row r="30" spans="1:6" x14ac:dyDescent="0.25">
      <c r="A30" s="65">
        <v>29</v>
      </c>
      <c r="B30" s="64">
        <v>28997851.28636108</v>
      </c>
      <c r="D30">
        <f t="shared" si="1"/>
        <v>25</v>
      </c>
      <c r="E30" s="79">
        <f t="shared" si="0"/>
        <v>34653802.821693704</v>
      </c>
      <c r="F30">
        <v>6</v>
      </c>
    </row>
    <row r="31" spans="1:6" x14ac:dyDescent="0.25">
      <c r="A31" s="65">
        <v>30</v>
      </c>
      <c r="B31" s="64">
        <v>29950291.723253343</v>
      </c>
      <c r="D31">
        <f t="shared" si="1"/>
        <v>26</v>
      </c>
      <c r="E31" s="79">
        <f t="shared" si="0"/>
        <v>34921101.351998046</v>
      </c>
      <c r="F31">
        <v>10</v>
      </c>
    </row>
    <row r="32" spans="1:6" x14ac:dyDescent="0.25">
      <c r="A32" s="65">
        <v>31</v>
      </c>
      <c r="B32" s="64">
        <v>30218325.596080538</v>
      </c>
      <c r="D32">
        <f t="shared" si="1"/>
        <v>27</v>
      </c>
      <c r="E32" s="79">
        <f t="shared" si="0"/>
        <v>35188399.882302389</v>
      </c>
      <c r="F32">
        <v>6</v>
      </c>
    </row>
    <row r="33" spans="1:6" x14ac:dyDescent="0.25">
      <c r="A33" s="65">
        <v>32</v>
      </c>
      <c r="B33" s="64">
        <v>28614693.918868396</v>
      </c>
      <c r="D33">
        <f t="shared" si="1"/>
        <v>28</v>
      </c>
      <c r="E33" s="79">
        <f t="shared" si="0"/>
        <v>35455698.412606731</v>
      </c>
      <c r="F33">
        <v>4</v>
      </c>
    </row>
    <row r="34" spans="1:6" x14ac:dyDescent="0.25">
      <c r="A34" s="65">
        <v>33</v>
      </c>
      <c r="B34" s="64">
        <v>29844399.629583705</v>
      </c>
      <c r="D34">
        <f t="shared" si="1"/>
        <v>29</v>
      </c>
      <c r="E34" s="79">
        <f t="shared" si="0"/>
        <v>35722996.942911074</v>
      </c>
      <c r="F34">
        <v>1</v>
      </c>
    </row>
    <row r="35" spans="1:6" x14ac:dyDescent="0.25">
      <c r="A35" s="65">
        <v>34</v>
      </c>
      <c r="B35" s="64">
        <v>29063048.350706272</v>
      </c>
      <c r="D35">
        <f t="shared" si="1"/>
        <v>30</v>
      </c>
      <c r="E35" s="79">
        <f t="shared" si="0"/>
        <v>35990295.473215416</v>
      </c>
      <c r="F35">
        <v>0</v>
      </c>
    </row>
    <row r="36" spans="1:6" x14ac:dyDescent="0.25">
      <c r="A36" s="65">
        <v>35</v>
      </c>
      <c r="B36" s="64">
        <v>29995667.05190115</v>
      </c>
      <c r="D36">
        <f t="shared" si="1"/>
        <v>31</v>
      </c>
      <c r="E36" s="79">
        <f t="shared" si="0"/>
        <v>36257594.003519759</v>
      </c>
      <c r="F36">
        <v>0</v>
      </c>
    </row>
    <row r="37" spans="1:6" x14ac:dyDescent="0.25">
      <c r="A37" s="65">
        <v>36</v>
      </c>
      <c r="B37" s="64">
        <v>30605587.795076054</v>
      </c>
      <c r="D37">
        <f t="shared" si="1"/>
        <v>32</v>
      </c>
      <c r="E37" s="79">
        <f t="shared" si="0"/>
        <v>36524892.533824101</v>
      </c>
      <c r="F37">
        <v>0</v>
      </c>
    </row>
    <row r="38" spans="1:6" x14ac:dyDescent="0.25">
      <c r="A38" s="65">
        <v>37</v>
      </c>
      <c r="B38" s="64">
        <v>29996651.819021568</v>
      </c>
      <c r="D38">
        <f t="shared" si="1"/>
        <v>33</v>
      </c>
      <c r="E38" s="79">
        <f t="shared" si="0"/>
        <v>36792191.064128444</v>
      </c>
      <c r="F38">
        <v>0</v>
      </c>
    </row>
    <row r="39" spans="1:6" x14ac:dyDescent="0.25">
      <c r="A39" s="65">
        <v>38</v>
      </c>
      <c r="B39" s="64">
        <v>28489626.680235788</v>
      </c>
      <c r="D39">
        <f t="shared" si="1"/>
        <v>34</v>
      </c>
      <c r="E39" s="79">
        <f t="shared" si="0"/>
        <v>37059489.594432786</v>
      </c>
      <c r="F39">
        <v>0</v>
      </c>
    </row>
    <row r="40" spans="1:6" x14ac:dyDescent="0.25">
      <c r="A40" s="65">
        <v>39</v>
      </c>
      <c r="B40" s="64">
        <v>28518488.572114326</v>
      </c>
      <c r="D40">
        <f t="shared" si="1"/>
        <v>35</v>
      </c>
      <c r="E40" s="79">
        <f t="shared" si="0"/>
        <v>37326788.124737129</v>
      </c>
      <c r="F40">
        <v>0</v>
      </c>
    </row>
    <row r="41" spans="1:6" x14ac:dyDescent="0.25">
      <c r="A41" s="65">
        <v>40</v>
      </c>
      <c r="B41" s="64">
        <v>29294378.064073648</v>
      </c>
      <c r="D41">
        <f t="shared" si="1"/>
        <v>36</v>
      </c>
      <c r="E41" s="79">
        <f t="shared" si="0"/>
        <v>37594086.655041471</v>
      </c>
      <c r="F41">
        <v>0</v>
      </c>
    </row>
    <row r="42" spans="1:6" x14ac:dyDescent="0.25">
      <c r="A42" s="65">
        <v>41</v>
      </c>
      <c r="B42" s="64">
        <v>30061188.209620006</v>
      </c>
      <c r="D42">
        <f t="shared" si="1"/>
        <v>37</v>
      </c>
      <c r="E42" s="79">
        <f t="shared" si="0"/>
        <v>37861385.185345814</v>
      </c>
      <c r="F42" s="79">
        <v>1</v>
      </c>
    </row>
    <row r="43" spans="1:6" x14ac:dyDescent="0.25">
      <c r="A43" s="65">
        <v>42</v>
      </c>
      <c r="B43" s="64">
        <v>30378163.617595609</v>
      </c>
      <c r="D43">
        <f t="shared" si="1"/>
        <v>38</v>
      </c>
      <c r="E43" s="79">
        <f t="shared" si="0"/>
        <v>38128683.715650156</v>
      </c>
      <c r="F43" s="79">
        <v>1</v>
      </c>
    </row>
    <row r="44" spans="1:6" x14ac:dyDescent="0.25">
      <c r="A44" s="65">
        <v>43</v>
      </c>
      <c r="B44" s="64">
        <v>28675064.046512783</v>
      </c>
      <c r="D44">
        <f t="shared" si="1"/>
        <v>39</v>
      </c>
      <c r="E44" s="79">
        <f t="shared" si="0"/>
        <v>38395982.245954499</v>
      </c>
      <c r="F44" s="79">
        <v>0</v>
      </c>
    </row>
    <row r="45" spans="1:6" x14ac:dyDescent="0.25">
      <c r="A45" s="65">
        <v>44</v>
      </c>
      <c r="B45" s="64">
        <v>29798695.535541788</v>
      </c>
      <c r="D45" t="str">
        <f>+D1</f>
        <v>Max</v>
      </c>
      <c r="E45" s="66">
        <f>+E1</f>
        <v>38663280.776258767</v>
      </c>
      <c r="F45" s="79">
        <v>1</v>
      </c>
    </row>
    <row r="46" spans="1:6" x14ac:dyDescent="0.25">
      <c r="A46" s="65">
        <v>45</v>
      </c>
      <c r="B46" s="64">
        <v>29607165.72756191</v>
      </c>
    </row>
    <row r="47" spans="1:6" x14ac:dyDescent="0.25">
      <c r="A47" s="65">
        <v>46</v>
      </c>
      <c r="B47" s="64">
        <v>28869854.022447597</v>
      </c>
    </row>
    <row r="48" spans="1:6" x14ac:dyDescent="0.25">
      <c r="A48" s="65">
        <v>47</v>
      </c>
      <c r="B48" s="64">
        <v>29141940.554937195</v>
      </c>
    </row>
    <row r="49" spans="1:2" x14ac:dyDescent="0.25">
      <c r="A49" s="65">
        <v>48</v>
      </c>
      <c r="B49" s="64">
        <v>28742707.594347037</v>
      </c>
    </row>
    <row r="50" spans="1:2" x14ac:dyDescent="0.25">
      <c r="A50" s="65">
        <v>49</v>
      </c>
      <c r="B50" s="64">
        <v>29662541.038203873</v>
      </c>
    </row>
    <row r="51" spans="1:2" x14ac:dyDescent="0.25">
      <c r="A51" s="65">
        <v>50</v>
      </c>
      <c r="B51" s="64">
        <v>29301479.35094133</v>
      </c>
    </row>
    <row r="52" spans="1:2" x14ac:dyDescent="0.25">
      <c r="A52" s="65">
        <v>51</v>
      </c>
      <c r="B52" s="64">
        <v>35307560.540511906</v>
      </c>
    </row>
    <row r="53" spans="1:2" x14ac:dyDescent="0.25">
      <c r="A53" s="65">
        <v>52</v>
      </c>
      <c r="B53" s="64">
        <v>28857784.018695012</v>
      </c>
    </row>
    <row r="54" spans="1:2" x14ac:dyDescent="0.25">
      <c r="A54" s="65">
        <v>53</v>
      </c>
      <c r="B54" s="64">
        <v>28724906.690645956</v>
      </c>
    </row>
    <row r="55" spans="1:2" x14ac:dyDescent="0.25">
      <c r="A55" s="65">
        <v>54</v>
      </c>
      <c r="B55" s="64">
        <v>29084307.132074911</v>
      </c>
    </row>
    <row r="56" spans="1:2" x14ac:dyDescent="0.25">
      <c r="A56" s="65">
        <v>55</v>
      </c>
      <c r="B56" s="64">
        <v>31389992.905519906</v>
      </c>
    </row>
    <row r="57" spans="1:2" x14ac:dyDescent="0.25">
      <c r="A57" s="65">
        <v>56</v>
      </c>
      <c r="B57" s="64">
        <v>28609651.441889636</v>
      </c>
    </row>
    <row r="58" spans="1:2" x14ac:dyDescent="0.25">
      <c r="A58" s="65">
        <v>57</v>
      </c>
      <c r="B58" s="64">
        <v>28790009.001290087</v>
      </c>
    </row>
    <row r="59" spans="1:2" x14ac:dyDescent="0.25">
      <c r="A59" s="65">
        <v>58</v>
      </c>
      <c r="B59" s="64">
        <v>29087644.151060443</v>
      </c>
    </row>
    <row r="60" spans="1:2" x14ac:dyDescent="0.25">
      <c r="A60" s="65">
        <v>59</v>
      </c>
      <c r="B60" s="64">
        <v>28431996.334836267</v>
      </c>
    </row>
    <row r="61" spans="1:2" x14ac:dyDescent="0.25">
      <c r="A61" s="65">
        <v>60</v>
      </c>
      <c r="B61" s="64">
        <v>29071811.824244358</v>
      </c>
    </row>
    <row r="62" spans="1:2" x14ac:dyDescent="0.25">
      <c r="A62" s="65">
        <v>61</v>
      </c>
      <c r="B62" s="64">
        <v>29217516.925871659</v>
      </c>
    </row>
    <row r="63" spans="1:2" x14ac:dyDescent="0.25">
      <c r="A63" s="65">
        <v>62</v>
      </c>
      <c r="B63" s="64">
        <v>30104554.589905065</v>
      </c>
    </row>
    <row r="64" spans="1:2" x14ac:dyDescent="0.25">
      <c r="A64" s="65">
        <v>63</v>
      </c>
      <c r="B64" s="64">
        <v>33808305.259036154</v>
      </c>
    </row>
    <row r="65" spans="1:2" x14ac:dyDescent="0.25">
      <c r="A65" s="65">
        <v>64</v>
      </c>
      <c r="B65" s="64">
        <v>28787642.757812709</v>
      </c>
    </row>
    <row r="66" spans="1:2" x14ac:dyDescent="0.25">
      <c r="A66" s="65">
        <v>65</v>
      </c>
      <c r="B66" s="64">
        <v>29249299.676785197</v>
      </c>
    </row>
    <row r="67" spans="1:2" x14ac:dyDescent="0.25">
      <c r="A67" s="65">
        <v>66</v>
      </c>
      <c r="B67" s="64">
        <v>28802965.309065953</v>
      </c>
    </row>
    <row r="68" spans="1:2" x14ac:dyDescent="0.25">
      <c r="A68" s="65">
        <v>67</v>
      </c>
      <c r="B68" s="64">
        <v>29818135.063587215</v>
      </c>
    </row>
    <row r="69" spans="1:2" x14ac:dyDescent="0.25">
      <c r="A69" s="65">
        <v>68</v>
      </c>
      <c r="B69" s="64">
        <v>28948946.572532844</v>
      </c>
    </row>
    <row r="70" spans="1:2" x14ac:dyDescent="0.25">
      <c r="A70" s="65">
        <v>69</v>
      </c>
      <c r="B70" s="64">
        <v>29113171.883963916</v>
      </c>
    </row>
    <row r="71" spans="1:2" x14ac:dyDescent="0.25">
      <c r="A71" s="65">
        <v>70</v>
      </c>
      <c r="B71" s="64">
        <v>29200337.594541017</v>
      </c>
    </row>
    <row r="72" spans="1:2" x14ac:dyDescent="0.25">
      <c r="A72" s="65">
        <v>71</v>
      </c>
      <c r="B72" s="64">
        <v>29484154.227189545</v>
      </c>
    </row>
    <row r="73" spans="1:2" x14ac:dyDescent="0.25">
      <c r="A73" s="65">
        <v>72</v>
      </c>
      <c r="B73" s="64">
        <v>29566226.935625684</v>
      </c>
    </row>
    <row r="74" spans="1:2" x14ac:dyDescent="0.25">
      <c r="A74" s="65">
        <v>73</v>
      </c>
      <c r="B74" s="64">
        <v>29064866.451259494</v>
      </c>
    </row>
    <row r="75" spans="1:2" x14ac:dyDescent="0.25">
      <c r="A75" s="65">
        <v>74</v>
      </c>
      <c r="B75" s="64">
        <v>29590882.760047346</v>
      </c>
    </row>
    <row r="76" spans="1:2" x14ac:dyDescent="0.25">
      <c r="A76" s="65">
        <v>75</v>
      </c>
      <c r="B76" s="64">
        <v>29133631.53435079</v>
      </c>
    </row>
    <row r="77" spans="1:2" x14ac:dyDescent="0.25">
      <c r="A77" s="65">
        <v>76</v>
      </c>
      <c r="B77" s="64">
        <v>30048840.393842917</v>
      </c>
    </row>
    <row r="78" spans="1:2" x14ac:dyDescent="0.25">
      <c r="A78" s="65">
        <v>77</v>
      </c>
      <c r="B78" s="64">
        <v>28696595.333575811</v>
      </c>
    </row>
    <row r="79" spans="1:2" x14ac:dyDescent="0.25">
      <c r="A79" s="65">
        <v>78</v>
      </c>
      <c r="B79" s="64">
        <v>29647808.661988564</v>
      </c>
    </row>
    <row r="80" spans="1:2" x14ac:dyDescent="0.25">
      <c r="A80" s="65">
        <v>79</v>
      </c>
      <c r="B80" s="64">
        <v>29312591.281423807</v>
      </c>
    </row>
    <row r="81" spans="1:2" x14ac:dyDescent="0.25">
      <c r="A81" s="65">
        <v>80</v>
      </c>
      <c r="B81" s="64">
        <v>29329203.403084848</v>
      </c>
    </row>
    <row r="82" spans="1:2" x14ac:dyDescent="0.25">
      <c r="A82" s="65">
        <v>81</v>
      </c>
      <c r="B82" s="64">
        <v>28361214.695329953</v>
      </c>
    </row>
    <row r="83" spans="1:2" x14ac:dyDescent="0.25">
      <c r="A83" s="65">
        <v>82</v>
      </c>
      <c r="B83" s="64">
        <v>28911437.957168404</v>
      </c>
    </row>
    <row r="84" spans="1:2" x14ac:dyDescent="0.25">
      <c r="A84" s="65">
        <v>83</v>
      </c>
      <c r="B84" s="64">
        <v>29779963.079340272</v>
      </c>
    </row>
    <row r="85" spans="1:2" x14ac:dyDescent="0.25">
      <c r="A85" s="65">
        <v>84</v>
      </c>
      <c r="B85" s="64">
        <v>30077649.270132422</v>
      </c>
    </row>
    <row r="86" spans="1:2" x14ac:dyDescent="0.25">
      <c r="A86" s="65">
        <v>85</v>
      </c>
      <c r="B86" s="64">
        <v>29199521.526072934</v>
      </c>
    </row>
    <row r="87" spans="1:2" x14ac:dyDescent="0.25">
      <c r="A87" s="65">
        <v>86</v>
      </c>
      <c r="B87" s="64">
        <v>28775251.323809575</v>
      </c>
    </row>
    <row r="88" spans="1:2" x14ac:dyDescent="0.25">
      <c r="A88" s="65">
        <v>87</v>
      </c>
      <c r="B88" s="64">
        <v>28447806.952252008</v>
      </c>
    </row>
    <row r="89" spans="1:2" x14ac:dyDescent="0.25">
      <c r="A89" s="65">
        <v>88</v>
      </c>
      <c r="B89" s="64">
        <v>29081422.413892649</v>
      </c>
    </row>
    <row r="90" spans="1:2" x14ac:dyDescent="0.25">
      <c r="A90" s="65">
        <v>89</v>
      </c>
      <c r="B90" s="64">
        <v>28941953.116100147</v>
      </c>
    </row>
    <row r="91" spans="1:2" x14ac:dyDescent="0.25">
      <c r="A91" s="65">
        <v>90</v>
      </c>
      <c r="B91" s="64">
        <v>29496357.290612962</v>
      </c>
    </row>
    <row r="92" spans="1:2" x14ac:dyDescent="0.25">
      <c r="A92" s="65">
        <v>91</v>
      </c>
      <c r="B92" s="64">
        <v>29241583.888892211</v>
      </c>
    </row>
    <row r="93" spans="1:2" x14ac:dyDescent="0.25">
      <c r="A93" s="65">
        <v>92</v>
      </c>
      <c r="B93" s="64">
        <v>29938944.294803113</v>
      </c>
    </row>
    <row r="94" spans="1:2" x14ac:dyDescent="0.25">
      <c r="A94" s="65">
        <v>93</v>
      </c>
      <c r="B94" s="64">
        <v>28796598.801191662</v>
      </c>
    </row>
    <row r="95" spans="1:2" x14ac:dyDescent="0.25">
      <c r="A95" s="65">
        <v>94</v>
      </c>
      <c r="B95" s="64">
        <v>28956094.824442036</v>
      </c>
    </row>
    <row r="96" spans="1:2" x14ac:dyDescent="0.25">
      <c r="A96" s="65">
        <v>95</v>
      </c>
      <c r="B96" s="64">
        <v>29488737.668983683</v>
      </c>
    </row>
    <row r="97" spans="1:2" x14ac:dyDescent="0.25">
      <c r="A97" s="65">
        <v>96</v>
      </c>
      <c r="B97" s="64">
        <v>28783499.308536705</v>
      </c>
    </row>
    <row r="98" spans="1:2" x14ac:dyDescent="0.25">
      <c r="A98" s="65">
        <v>97</v>
      </c>
      <c r="B98" s="64">
        <v>29729276.796275627</v>
      </c>
    </row>
    <row r="99" spans="1:2" x14ac:dyDescent="0.25">
      <c r="A99" s="65">
        <v>98</v>
      </c>
      <c r="B99" s="64">
        <v>29603079.04536923</v>
      </c>
    </row>
    <row r="100" spans="1:2" x14ac:dyDescent="0.25">
      <c r="A100" s="65">
        <v>99</v>
      </c>
      <c r="B100" s="64">
        <v>29487286.495550264</v>
      </c>
    </row>
    <row r="101" spans="1:2" x14ac:dyDescent="0.25">
      <c r="A101" s="65">
        <v>100</v>
      </c>
      <c r="B101" s="64">
        <v>28473398.356876791</v>
      </c>
    </row>
    <row r="102" spans="1:2" x14ac:dyDescent="0.25">
      <c r="A102" s="65">
        <v>101</v>
      </c>
      <c r="B102" s="139">
        <v>29468919.780386563</v>
      </c>
    </row>
    <row r="103" spans="1:2" x14ac:dyDescent="0.25">
      <c r="A103" s="65">
        <v>102</v>
      </c>
      <c r="B103" s="139">
        <v>29302480.662699416</v>
      </c>
    </row>
    <row r="104" spans="1:2" x14ac:dyDescent="0.25">
      <c r="A104" s="65">
        <v>103</v>
      </c>
      <c r="B104" s="139">
        <v>28493967.160611402</v>
      </c>
    </row>
    <row r="105" spans="1:2" x14ac:dyDescent="0.25">
      <c r="A105" s="65">
        <v>104</v>
      </c>
      <c r="B105" s="139">
        <v>28371877.961050089</v>
      </c>
    </row>
    <row r="106" spans="1:2" x14ac:dyDescent="0.25">
      <c r="A106" s="65">
        <v>105</v>
      </c>
      <c r="B106" s="139">
        <v>29635918.290985387</v>
      </c>
    </row>
    <row r="107" spans="1:2" x14ac:dyDescent="0.25">
      <c r="A107" s="65">
        <v>106</v>
      </c>
      <c r="B107" s="139">
        <v>28753285.308110241</v>
      </c>
    </row>
    <row r="108" spans="1:2" x14ac:dyDescent="0.25">
      <c r="A108" s="65">
        <v>107</v>
      </c>
      <c r="B108" s="139">
        <v>29062017.881226923</v>
      </c>
    </row>
    <row r="109" spans="1:2" x14ac:dyDescent="0.25">
      <c r="A109" s="65">
        <v>108</v>
      </c>
      <c r="B109" s="139">
        <v>29000835.798480649</v>
      </c>
    </row>
    <row r="110" spans="1:2" x14ac:dyDescent="0.25">
      <c r="A110" s="65">
        <v>109</v>
      </c>
      <c r="B110" s="139">
        <v>29012527.394294992</v>
      </c>
    </row>
    <row r="111" spans="1:2" x14ac:dyDescent="0.25">
      <c r="A111" s="65">
        <v>110</v>
      </c>
      <c r="B111" s="139">
        <v>29229920.829462323</v>
      </c>
    </row>
    <row r="112" spans="1:2" x14ac:dyDescent="0.25">
      <c r="A112" s="65">
        <v>111</v>
      </c>
      <c r="B112" s="139">
        <v>29151172.944128904</v>
      </c>
    </row>
    <row r="113" spans="1:2" x14ac:dyDescent="0.25">
      <c r="A113" s="65">
        <v>112</v>
      </c>
      <c r="B113" s="139">
        <v>29165898.649274427</v>
      </c>
    </row>
    <row r="114" spans="1:2" x14ac:dyDescent="0.25">
      <c r="A114" s="65">
        <v>113</v>
      </c>
      <c r="B114" s="139">
        <v>33398498.174814403</v>
      </c>
    </row>
    <row r="115" spans="1:2" x14ac:dyDescent="0.25">
      <c r="A115" s="65">
        <v>114</v>
      </c>
      <c r="B115" s="139">
        <v>28906195.027783602</v>
      </c>
    </row>
    <row r="116" spans="1:2" x14ac:dyDescent="0.25">
      <c r="A116" s="65">
        <v>115</v>
      </c>
      <c r="B116" s="139">
        <v>29295114.506558042</v>
      </c>
    </row>
    <row r="117" spans="1:2" x14ac:dyDescent="0.25">
      <c r="A117" s="65">
        <v>116</v>
      </c>
      <c r="B117" s="139">
        <v>28787575.958349261</v>
      </c>
    </row>
    <row r="118" spans="1:2" x14ac:dyDescent="0.25">
      <c r="A118" s="65">
        <v>117</v>
      </c>
      <c r="B118" s="139">
        <v>28904588.66661882</v>
      </c>
    </row>
    <row r="119" spans="1:2" x14ac:dyDescent="0.25">
      <c r="A119" s="65">
        <v>118</v>
      </c>
      <c r="B119" s="139">
        <v>29033726.472906761</v>
      </c>
    </row>
    <row r="120" spans="1:2" x14ac:dyDescent="0.25">
      <c r="A120" s="65">
        <v>119</v>
      </c>
      <c r="B120" s="139">
        <v>32575291.129086025</v>
      </c>
    </row>
    <row r="121" spans="1:2" x14ac:dyDescent="0.25">
      <c r="A121" s="65">
        <v>120</v>
      </c>
      <c r="B121" s="139">
        <v>29756499.911725711</v>
      </c>
    </row>
    <row r="122" spans="1:2" x14ac:dyDescent="0.25">
      <c r="A122" s="65">
        <v>121</v>
      </c>
      <c r="B122" s="139">
        <v>30268990.138764929</v>
      </c>
    </row>
    <row r="123" spans="1:2" x14ac:dyDescent="0.25">
      <c r="A123" s="65">
        <v>122</v>
      </c>
      <c r="B123" s="139">
        <v>29256296.033079341</v>
      </c>
    </row>
    <row r="124" spans="1:2" x14ac:dyDescent="0.25">
      <c r="A124" s="65">
        <v>123</v>
      </c>
      <c r="B124" s="139">
        <v>29172458.233691156</v>
      </c>
    </row>
    <row r="125" spans="1:2" x14ac:dyDescent="0.25">
      <c r="A125" s="65">
        <v>124</v>
      </c>
      <c r="B125" s="139">
        <v>29954540.326114845</v>
      </c>
    </row>
    <row r="126" spans="1:2" x14ac:dyDescent="0.25">
      <c r="A126" s="65">
        <v>125</v>
      </c>
      <c r="B126" s="139">
        <v>29941345.810473654</v>
      </c>
    </row>
    <row r="127" spans="1:2" x14ac:dyDescent="0.25">
      <c r="A127" s="65">
        <v>126</v>
      </c>
      <c r="B127" s="139">
        <v>28769988.026104666</v>
      </c>
    </row>
    <row r="128" spans="1:2" x14ac:dyDescent="0.25">
      <c r="A128" s="65">
        <v>127</v>
      </c>
      <c r="B128" s="139">
        <v>28836774.010969304</v>
      </c>
    </row>
    <row r="129" spans="1:2" x14ac:dyDescent="0.25">
      <c r="A129" s="65">
        <v>128</v>
      </c>
      <c r="B129" s="139">
        <v>28570917.548910435</v>
      </c>
    </row>
    <row r="130" spans="1:2" x14ac:dyDescent="0.25">
      <c r="A130" s="65">
        <v>129</v>
      </c>
      <c r="B130" s="139">
        <v>28718473.442449201</v>
      </c>
    </row>
    <row r="131" spans="1:2" x14ac:dyDescent="0.25">
      <c r="A131" s="65">
        <v>130</v>
      </c>
      <c r="B131" s="139">
        <v>29203011.300301958</v>
      </c>
    </row>
    <row r="132" spans="1:2" x14ac:dyDescent="0.25">
      <c r="A132" s="65">
        <v>131</v>
      </c>
      <c r="B132" s="139">
        <v>30090577.911943782</v>
      </c>
    </row>
    <row r="133" spans="1:2" x14ac:dyDescent="0.25">
      <c r="A133" s="65">
        <v>132</v>
      </c>
      <c r="B133" s="139">
        <v>29436776.195536017</v>
      </c>
    </row>
    <row r="134" spans="1:2" x14ac:dyDescent="0.25">
      <c r="A134" s="65">
        <v>133</v>
      </c>
      <c r="B134" s="139">
        <v>28823926.808606133</v>
      </c>
    </row>
    <row r="135" spans="1:2" x14ac:dyDescent="0.25">
      <c r="A135" s="65">
        <v>134</v>
      </c>
      <c r="B135" s="139">
        <v>28654745.666598991</v>
      </c>
    </row>
    <row r="136" spans="1:2" x14ac:dyDescent="0.25">
      <c r="A136" s="65">
        <v>135</v>
      </c>
      <c r="B136" s="139">
        <v>33143155.188141216</v>
      </c>
    </row>
    <row r="137" spans="1:2" x14ac:dyDescent="0.25">
      <c r="A137" s="65">
        <v>136</v>
      </c>
      <c r="B137" s="139">
        <v>28806623.912923176</v>
      </c>
    </row>
    <row r="138" spans="1:2" x14ac:dyDescent="0.25">
      <c r="A138" s="65">
        <v>137</v>
      </c>
      <c r="B138" s="139">
        <v>29232329.258333951</v>
      </c>
    </row>
    <row r="139" spans="1:2" x14ac:dyDescent="0.25">
      <c r="A139" s="65">
        <v>138</v>
      </c>
      <c r="B139" s="139">
        <v>29018945.057884745</v>
      </c>
    </row>
    <row r="140" spans="1:2" x14ac:dyDescent="0.25">
      <c r="A140" s="65">
        <v>139</v>
      </c>
      <c r="B140" s="139">
        <v>29239273.920120362</v>
      </c>
    </row>
    <row r="141" spans="1:2" x14ac:dyDescent="0.25">
      <c r="A141" s="65">
        <v>140</v>
      </c>
      <c r="B141" s="139">
        <v>29552583.088860478</v>
      </c>
    </row>
    <row r="142" spans="1:2" x14ac:dyDescent="0.25">
      <c r="A142" s="65">
        <v>141</v>
      </c>
      <c r="B142" s="139">
        <v>30969661.070390441</v>
      </c>
    </row>
    <row r="143" spans="1:2" x14ac:dyDescent="0.25">
      <c r="A143" s="65">
        <v>142</v>
      </c>
      <c r="B143" s="139">
        <v>28382969.514467683</v>
      </c>
    </row>
    <row r="144" spans="1:2" x14ac:dyDescent="0.25">
      <c r="A144" s="65">
        <v>143</v>
      </c>
      <c r="B144" s="139">
        <v>29276118.16394002</v>
      </c>
    </row>
    <row r="145" spans="1:2" x14ac:dyDescent="0.25">
      <c r="A145" s="65">
        <v>144</v>
      </c>
      <c r="B145" s="139">
        <v>29459734.368109137</v>
      </c>
    </row>
    <row r="146" spans="1:2" x14ac:dyDescent="0.25">
      <c r="A146" s="65">
        <v>145</v>
      </c>
      <c r="B146" s="139">
        <v>30016070.100473434</v>
      </c>
    </row>
    <row r="147" spans="1:2" x14ac:dyDescent="0.25">
      <c r="A147" s="65">
        <v>146</v>
      </c>
      <c r="B147" s="139">
        <v>28811057.511613272</v>
      </c>
    </row>
    <row r="148" spans="1:2" x14ac:dyDescent="0.25">
      <c r="A148" s="65">
        <v>147</v>
      </c>
      <c r="B148" s="139">
        <v>28524653.106627285</v>
      </c>
    </row>
    <row r="149" spans="1:2" x14ac:dyDescent="0.25">
      <c r="A149" s="65">
        <v>148</v>
      </c>
      <c r="B149" s="139">
        <v>29927642.015117157</v>
      </c>
    </row>
    <row r="150" spans="1:2" x14ac:dyDescent="0.25">
      <c r="A150" s="65">
        <v>149</v>
      </c>
      <c r="B150" s="139">
        <v>30339345.848198235</v>
      </c>
    </row>
    <row r="151" spans="1:2" x14ac:dyDescent="0.25">
      <c r="A151" s="65">
        <v>150</v>
      </c>
      <c r="B151" s="139">
        <v>29960252.050603542</v>
      </c>
    </row>
    <row r="152" spans="1:2" x14ac:dyDescent="0.25">
      <c r="A152" s="65">
        <v>151</v>
      </c>
      <c r="B152" s="139">
        <v>28757777.791930884</v>
      </c>
    </row>
    <row r="153" spans="1:2" x14ac:dyDescent="0.25">
      <c r="A153" s="65">
        <v>152</v>
      </c>
      <c r="B153" s="139">
        <v>29124166.472781315</v>
      </c>
    </row>
    <row r="154" spans="1:2" x14ac:dyDescent="0.25">
      <c r="A154" s="65">
        <v>153</v>
      </c>
      <c r="B154" s="139">
        <v>28676127.716335271</v>
      </c>
    </row>
    <row r="155" spans="1:2" x14ac:dyDescent="0.25">
      <c r="A155" s="65">
        <v>154</v>
      </c>
      <c r="B155" s="139">
        <v>29089733.298099652</v>
      </c>
    </row>
    <row r="156" spans="1:2" x14ac:dyDescent="0.25">
      <c r="A156" s="65">
        <v>155</v>
      </c>
      <c r="B156" s="139">
        <v>29076957.133157127</v>
      </c>
    </row>
    <row r="157" spans="1:2" x14ac:dyDescent="0.25">
      <c r="A157" s="65">
        <v>156</v>
      </c>
      <c r="B157" s="139">
        <v>28797572.018747181</v>
      </c>
    </row>
    <row r="158" spans="1:2" x14ac:dyDescent="0.25">
      <c r="A158" s="65">
        <v>157</v>
      </c>
      <c r="B158" s="139">
        <v>28855841.682624657</v>
      </c>
    </row>
    <row r="159" spans="1:2" x14ac:dyDescent="0.25">
      <c r="A159" s="65">
        <v>158</v>
      </c>
      <c r="B159" s="139">
        <v>28674041.401022036</v>
      </c>
    </row>
    <row r="160" spans="1:2" x14ac:dyDescent="0.25">
      <c r="A160" s="65">
        <v>159</v>
      </c>
      <c r="B160" s="139">
        <v>29357527.296489246</v>
      </c>
    </row>
    <row r="161" spans="1:2" x14ac:dyDescent="0.25">
      <c r="A161" s="65">
        <v>160</v>
      </c>
      <c r="B161" s="139">
        <v>32883428.423816413</v>
      </c>
    </row>
    <row r="162" spans="1:2" x14ac:dyDescent="0.25">
      <c r="A162" s="65">
        <v>161</v>
      </c>
      <c r="B162" s="139">
        <v>28818408.221207049</v>
      </c>
    </row>
    <row r="163" spans="1:2" x14ac:dyDescent="0.25">
      <c r="A163" s="65">
        <v>162</v>
      </c>
      <c r="B163" s="139">
        <v>29444080.447598204</v>
      </c>
    </row>
    <row r="164" spans="1:2" x14ac:dyDescent="0.25">
      <c r="A164" s="65">
        <v>163</v>
      </c>
      <c r="B164" s="139">
        <v>28754550.099819399</v>
      </c>
    </row>
    <row r="165" spans="1:2" x14ac:dyDescent="0.25">
      <c r="A165" s="65">
        <v>164</v>
      </c>
      <c r="B165" s="139">
        <v>29784002.412708398</v>
      </c>
    </row>
    <row r="166" spans="1:2" x14ac:dyDescent="0.25">
      <c r="A166" s="65">
        <v>165</v>
      </c>
      <c r="B166" s="139">
        <v>30532081.459846072</v>
      </c>
    </row>
    <row r="167" spans="1:2" x14ac:dyDescent="0.25">
      <c r="A167" s="65">
        <v>166</v>
      </c>
      <c r="B167" s="139">
        <v>28859764.156487793</v>
      </c>
    </row>
    <row r="168" spans="1:2" x14ac:dyDescent="0.25">
      <c r="A168" s="65">
        <v>167</v>
      </c>
      <c r="B168" s="139">
        <v>28833602.779682405</v>
      </c>
    </row>
    <row r="169" spans="1:2" x14ac:dyDescent="0.25">
      <c r="A169" s="65">
        <v>168</v>
      </c>
      <c r="B169" s="139">
        <v>28723170.169763062</v>
      </c>
    </row>
    <row r="170" spans="1:2" x14ac:dyDescent="0.25">
      <c r="A170" s="65">
        <v>169</v>
      </c>
      <c r="B170" s="139">
        <v>29802219.870170277</v>
      </c>
    </row>
    <row r="171" spans="1:2" x14ac:dyDescent="0.25">
      <c r="A171" s="65">
        <v>170</v>
      </c>
      <c r="B171" s="139">
        <v>29901224.783547398</v>
      </c>
    </row>
    <row r="172" spans="1:2" x14ac:dyDescent="0.25">
      <c r="A172" s="65">
        <v>171</v>
      </c>
      <c r="B172" s="139">
        <v>29157106.915461779</v>
      </c>
    </row>
    <row r="173" spans="1:2" x14ac:dyDescent="0.25">
      <c r="A173" s="65">
        <v>172</v>
      </c>
      <c r="B173" s="139">
        <v>28961076.067417439</v>
      </c>
    </row>
    <row r="174" spans="1:2" x14ac:dyDescent="0.25">
      <c r="A174" s="65">
        <v>173</v>
      </c>
      <c r="B174" s="139">
        <v>28503427.580431048</v>
      </c>
    </row>
    <row r="175" spans="1:2" x14ac:dyDescent="0.25">
      <c r="A175" s="65">
        <v>174</v>
      </c>
      <c r="B175" s="139">
        <v>28655588.906914264</v>
      </c>
    </row>
    <row r="176" spans="1:2" x14ac:dyDescent="0.25">
      <c r="A176" s="65">
        <v>175</v>
      </c>
      <c r="B176" s="139">
        <v>29014787.237277251</v>
      </c>
    </row>
    <row r="177" spans="1:2" x14ac:dyDescent="0.25">
      <c r="A177" s="65">
        <v>176</v>
      </c>
      <c r="B177" s="139">
        <v>28809196.123912536</v>
      </c>
    </row>
    <row r="178" spans="1:2" x14ac:dyDescent="0.25">
      <c r="A178" s="65">
        <v>177</v>
      </c>
      <c r="B178" s="139">
        <v>28963470.990052156</v>
      </c>
    </row>
    <row r="179" spans="1:2" x14ac:dyDescent="0.25">
      <c r="A179" s="65">
        <v>178</v>
      </c>
      <c r="B179" s="139">
        <v>29512664.507364452</v>
      </c>
    </row>
    <row r="180" spans="1:2" x14ac:dyDescent="0.25">
      <c r="A180" s="65">
        <v>179</v>
      </c>
      <c r="B180" s="139">
        <v>28663632.694559619</v>
      </c>
    </row>
    <row r="181" spans="1:2" x14ac:dyDescent="0.25">
      <c r="A181" s="65">
        <v>180</v>
      </c>
      <c r="B181" s="139">
        <v>30133825.763363123</v>
      </c>
    </row>
    <row r="182" spans="1:2" x14ac:dyDescent="0.25">
      <c r="A182" s="65">
        <v>181</v>
      </c>
      <c r="B182" s="139">
        <v>28804157.455363002</v>
      </c>
    </row>
    <row r="183" spans="1:2" x14ac:dyDescent="0.25">
      <c r="A183" s="65">
        <v>182</v>
      </c>
      <c r="B183" s="139">
        <v>28749659.094454374</v>
      </c>
    </row>
    <row r="184" spans="1:2" x14ac:dyDescent="0.25">
      <c r="A184" s="65">
        <v>183</v>
      </c>
      <c r="B184" s="139">
        <v>29078559.040853992</v>
      </c>
    </row>
    <row r="185" spans="1:2" x14ac:dyDescent="0.25">
      <c r="A185" s="65">
        <v>184</v>
      </c>
      <c r="B185" s="139">
        <v>29440771.51269358</v>
      </c>
    </row>
    <row r="186" spans="1:2" x14ac:dyDescent="0.25">
      <c r="A186" s="65">
        <v>185</v>
      </c>
      <c r="B186" s="139">
        <v>30433453.846370198</v>
      </c>
    </row>
    <row r="187" spans="1:2" x14ac:dyDescent="0.25">
      <c r="A187" s="65">
        <v>186</v>
      </c>
      <c r="B187" s="139">
        <v>30444189.725508213</v>
      </c>
    </row>
    <row r="188" spans="1:2" x14ac:dyDescent="0.25">
      <c r="A188" s="65">
        <v>187</v>
      </c>
      <c r="B188" s="139">
        <v>29040620.470149223</v>
      </c>
    </row>
    <row r="189" spans="1:2" x14ac:dyDescent="0.25">
      <c r="A189" s="65">
        <v>188</v>
      </c>
      <c r="B189" s="139">
        <v>28954151.880864624</v>
      </c>
    </row>
    <row r="190" spans="1:2" x14ac:dyDescent="0.25">
      <c r="A190" s="65">
        <v>189</v>
      </c>
      <c r="B190" s="139">
        <v>28832818.486726195</v>
      </c>
    </row>
    <row r="191" spans="1:2" x14ac:dyDescent="0.25">
      <c r="A191" s="65">
        <v>190</v>
      </c>
      <c r="B191" s="139">
        <v>30653803.121428706</v>
      </c>
    </row>
    <row r="192" spans="1:2" x14ac:dyDescent="0.25">
      <c r="A192" s="65">
        <v>191</v>
      </c>
      <c r="B192" s="139">
        <v>28863613.631998718</v>
      </c>
    </row>
    <row r="193" spans="1:2" x14ac:dyDescent="0.25">
      <c r="A193" s="65">
        <v>192</v>
      </c>
      <c r="B193" s="139">
        <v>29251267.346242674</v>
      </c>
    </row>
    <row r="194" spans="1:2" x14ac:dyDescent="0.25">
      <c r="A194" s="65">
        <v>193</v>
      </c>
      <c r="B194" s="139">
        <v>28993301.4697823</v>
      </c>
    </row>
    <row r="195" spans="1:2" x14ac:dyDescent="0.25">
      <c r="A195" s="65">
        <v>194</v>
      </c>
      <c r="B195" s="139">
        <v>28712393.895342045</v>
      </c>
    </row>
    <row r="196" spans="1:2" x14ac:dyDescent="0.25">
      <c r="A196" s="65">
        <v>195</v>
      </c>
      <c r="B196" s="139">
        <v>28896157.036826968</v>
      </c>
    </row>
    <row r="197" spans="1:2" x14ac:dyDescent="0.25">
      <c r="A197" s="65">
        <v>196</v>
      </c>
      <c r="B197" s="139">
        <v>30207056.873773113</v>
      </c>
    </row>
    <row r="198" spans="1:2" x14ac:dyDescent="0.25">
      <c r="A198" s="65">
        <v>197</v>
      </c>
      <c r="B198" s="139">
        <v>28592454.622321475</v>
      </c>
    </row>
    <row r="199" spans="1:2" x14ac:dyDescent="0.25">
      <c r="A199" s="65">
        <v>198</v>
      </c>
      <c r="B199" s="139">
        <v>29334161.639636885</v>
      </c>
    </row>
    <row r="200" spans="1:2" x14ac:dyDescent="0.25">
      <c r="A200" s="65">
        <v>199</v>
      </c>
      <c r="B200" s="139">
        <v>28885699.986905593</v>
      </c>
    </row>
    <row r="201" spans="1:2" x14ac:dyDescent="0.25">
      <c r="A201" s="65">
        <v>200</v>
      </c>
      <c r="B201" s="139">
        <v>29042443.144603528</v>
      </c>
    </row>
    <row r="202" spans="1:2" x14ac:dyDescent="0.25">
      <c r="A202" s="65">
        <v>201</v>
      </c>
      <c r="B202" s="139">
        <v>28794788.56049962</v>
      </c>
    </row>
    <row r="203" spans="1:2" x14ac:dyDescent="0.25">
      <c r="A203" s="65">
        <v>202</v>
      </c>
      <c r="B203" s="139">
        <v>29957186.748258065</v>
      </c>
    </row>
    <row r="204" spans="1:2" x14ac:dyDescent="0.25">
      <c r="A204" s="65">
        <v>203</v>
      </c>
      <c r="B204" s="139">
        <v>28744177.565809984</v>
      </c>
    </row>
    <row r="205" spans="1:2" x14ac:dyDescent="0.25">
      <c r="A205" s="65">
        <v>204</v>
      </c>
      <c r="B205" s="139">
        <v>29219541.342091586</v>
      </c>
    </row>
    <row r="206" spans="1:2" x14ac:dyDescent="0.25">
      <c r="A206" s="65">
        <v>205</v>
      </c>
      <c r="B206" s="139">
        <v>30243805.547376439</v>
      </c>
    </row>
    <row r="207" spans="1:2" x14ac:dyDescent="0.25">
      <c r="A207" s="65">
        <v>206</v>
      </c>
      <c r="B207" s="139">
        <v>29210129.112011235</v>
      </c>
    </row>
    <row r="208" spans="1:2" x14ac:dyDescent="0.25">
      <c r="A208" s="65">
        <v>207</v>
      </c>
      <c r="B208" s="139">
        <v>28834215.807715312</v>
      </c>
    </row>
    <row r="209" spans="1:2" x14ac:dyDescent="0.25">
      <c r="A209" s="65">
        <v>208</v>
      </c>
      <c r="B209" s="139">
        <v>29401510.282135624</v>
      </c>
    </row>
    <row r="210" spans="1:2" x14ac:dyDescent="0.25">
      <c r="A210" s="65">
        <v>209</v>
      </c>
      <c r="B210" s="139">
        <v>28466608.86992209</v>
      </c>
    </row>
    <row r="211" spans="1:2" x14ac:dyDescent="0.25">
      <c r="A211" s="65">
        <v>210</v>
      </c>
      <c r="B211" s="139">
        <v>28580723.654694106</v>
      </c>
    </row>
    <row r="212" spans="1:2" x14ac:dyDescent="0.25">
      <c r="A212" s="65">
        <v>211</v>
      </c>
      <c r="B212" s="139">
        <v>29247207.313418571</v>
      </c>
    </row>
    <row r="213" spans="1:2" x14ac:dyDescent="0.25">
      <c r="A213" s="65">
        <v>212</v>
      </c>
      <c r="B213" s="139">
        <v>28517034.886578329</v>
      </c>
    </row>
    <row r="214" spans="1:2" x14ac:dyDescent="0.25">
      <c r="A214" s="65">
        <v>213</v>
      </c>
      <c r="B214" s="139">
        <v>33607454.29673373</v>
      </c>
    </row>
    <row r="215" spans="1:2" x14ac:dyDescent="0.25">
      <c r="A215" s="65">
        <v>214</v>
      </c>
      <c r="B215" s="139">
        <v>29077722.047926739</v>
      </c>
    </row>
    <row r="216" spans="1:2" x14ac:dyDescent="0.25">
      <c r="A216" s="65">
        <v>215</v>
      </c>
      <c r="B216" s="139">
        <v>29393607.817075025</v>
      </c>
    </row>
    <row r="217" spans="1:2" x14ac:dyDescent="0.25">
      <c r="A217" s="65">
        <v>216</v>
      </c>
      <c r="B217" s="139">
        <v>29334914.922621649</v>
      </c>
    </row>
    <row r="218" spans="1:2" x14ac:dyDescent="0.25">
      <c r="A218" s="65">
        <v>217</v>
      </c>
      <c r="B218" s="139">
        <v>29971453.581320506</v>
      </c>
    </row>
    <row r="219" spans="1:2" x14ac:dyDescent="0.25">
      <c r="A219" s="65">
        <v>218</v>
      </c>
      <c r="B219" s="139">
        <v>29674202.103508603</v>
      </c>
    </row>
    <row r="220" spans="1:2" x14ac:dyDescent="0.25">
      <c r="A220" s="65">
        <v>219</v>
      </c>
      <c r="B220" s="139">
        <v>29010815.711664908</v>
      </c>
    </row>
    <row r="221" spans="1:2" x14ac:dyDescent="0.25">
      <c r="A221" s="65">
        <v>220</v>
      </c>
      <c r="B221" s="139">
        <v>29141200.798922397</v>
      </c>
    </row>
    <row r="222" spans="1:2" x14ac:dyDescent="0.25">
      <c r="A222" s="65">
        <v>221</v>
      </c>
      <c r="B222" s="139">
        <v>28768004.392735839</v>
      </c>
    </row>
    <row r="223" spans="1:2" x14ac:dyDescent="0.25">
      <c r="A223" s="65">
        <v>222</v>
      </c>
      <c r="B223" s="139">
        <v>28850718.212148789</v>
      </c>
    </row>
    <row r="224" spans="1:2" x14ac:dyDescent="0.25">
      <c r="A224" s="65">
        <v>223</v>
      </c>
      <c r="B224" s="139">
        <v>28580034.046731625</v>
      </c>
    </row>
    <row r="225" spans="1:2" x14ac:dyDescent="0.25">
      <c r="A225" s="65">
        <v>224</v>
      </c>
      <c r="B225" s="139">
        <v>28870945.386277542</v>
      </c>
    </row>
    <row r="226" spans="1:2" x14ac:dyDescent="0.25">
      <c r="A226" s="65">
        <v>225</v>
      </c>
      <c r="B226" s="139">
        <v>29003465.023877256</v>
      </c>
    </row>
    <row r="227" spans="1:2" x14ac:dyDescent="0.25">
      <c r="A227" s="65">
        <v>226</v>
      </c>
      <c r="B227" s="139">
        <v>28979696.805817295</v>
      </c>
    </row>
    <row r="228" spans="1:2" x14ac:dyDescent="0.25">
      <c r="A228" s="65">
        <v>227</v>
      </c>
      <c r="B228" s="139">
        <v>28873162.660807438</v>
      </c>
    </row>
    <row r="229" spans="1:2" x14ac:dyDescent="0.25">
      <c r="A229" s="65">
        <v>228</v>
      </c>
      <c r="B229" s="139">
        <v>29352485.53913907</v>
      </c>
    </row>
    <row r="230" spans="1:2" x14ac:dyDescent="0.25">
      <c r="A230" s="65">
        <v>229</v>
      </c>
      <c r="B230" s="139">
        <v>31343024.905774478</v>
      </c>
    </row>
    <row r="231" spans="1:2" x14ac:dyDescent="0.25">
      <c r="A231" s="65">
        <v>230</v>
      </c>
      <c r="B231" s="139">
        <v>29544079.536409732</v>
      </c>
    </row>
    <row r="232" spans="1:2" x14ac:dyDescent="0.25">
      <c r="A232" s="65">
        <v>231</v>
      </c>
      <c r="B232" s="139">
        <v>28870434.875042487</v>
      </c>
    </row>
    <row r="233" spans="1:2" x14ac:dyDescent="0.25">
      <c r="A233" s="65">
        <v>232</v>
      </c>
      <c r="B233" s="139">
        <v>28923935.120923609</v>
      </c>
    </row>
    <row r="234" spans="1:2" x14ac:dyDescent="0.25">
      <c r="A234" s="65">
        <v>233</v>
      </c>
      <c r="B234" s="139">
        <v>28531246.199388739</v>
      </c>
    </row>
    <row r="235" spans="1:2" x14ac:dyDescent="0.25">
      <c r="A235" s="65">
        <v>234</v>
      </c>
      <c r="B235" s="139">
        <v>30457098.251481116</v>
      </c>
    </row>
    <row r="236" spans="1:2" x14ac:dyDescent="0.25">
      <c r="A236" s="65">
        <v>235</v>
      </c>
      <c r="B236" s="139">
        <v>28899524.922820989</v>
      </c>
    </row>
    <row r="237" spans="1:2" x14ac:dyDescent="0.25">
      <c r="A237" s="65">
        <v>236</v>
      </c>
      <c r="B237" s="139">
        <v>28470534.529025801</v>
      </c>
    </row>
    <row r="238" spans="1:2" x14ac:dyDescent="0.25">
      <c r="A238" s="65">
        <v>237</v>
      </c>
      <c r="B238" s="139">
        <v>29533624.477454316</v>
      </c>
    </row>
    <row r="239" spans="1:2" x14ac:dyDescent="0.25">
      <c r="A239" s="65">
        <v>238</v>
      </c>
      <c r="B239" s="139">
        <v>28846003.650154524</v>
      </c>
    </row>
    <row r="240" spans="1:2" x14ac:dyDescent="0.25">
      <c r="A240" s="65">
        <v>239</v>
      </c>
      <c r="B240" s="139">
        <v>28713843.956661873</v>
      </c>
    </row>
    <row r="241" spans="1:2" x14ac:dyDescent="0.25">
      <c r="A241" s="65">
        <v>240</v>
      </c>
      <c r="B241" s="139">
        <v>29069719.259538565</v>
      </c>
    </row>
    <row r="242" spans="1:2" x14ac:dyDescent="0.25">
      <c r="A242" s="65">
        <v>241</v>
      </c>
      <c r="B242" s="139">
        <v>33051644.144688234</v>
      </c>
    </row>
    <row r="243" spans="1:2" x14ac:dyDescent="0.25">
      <c r="A243" s="65">
        <v>242</v>
      </c>
      <c r="B243" s="139">
        <v>29218189.681065481</v>
      </c>
    </row>
    <row r="244" spans="1:2" x14ac:dyDescent="0.25">
      <c r="A244" s="65">
        <v>243</v>
      </c>
      <c r="B244" s="139">
        <v>29030570.977519765</v>
      </c>
    </row>
    <row r="245" spans="1:2" x14ac:dyDescent="0.25">
      <c r="A245" s="65">
        <v>244</v>
      </c>
      <c r="B245" s="139">
        <v>29299930.438177839</v>
      </c>
    </row>
    <row r="246" spans="1:2" x14ac:dyDescent="0.25">
      <c r="A246" s="65">
        <v>245</v>
      </c>
      <c r="B246" s="139">
        <v>28639364.714371018</v>
      </c>
    </row>
    <row r="247" spans="1:2" x14ac:dyDescent="0.25">
      <c r="A247" s="65">
        <v>246</v>
      </c>
      <c r="B247" s="139">
        <v>30459410.552651625</v>
      </c>
    </row>
    <row r="248" spans="1:2" x14ac:dyDescent="0.25">
      <c r="A248" s="65">
        <v>247</v>
      </c>
      <c r="B248" s="139">
        <v>28777563.847178519</v>
      </c>
    </row>
    <row r="249" spans="1:2" x14ac:dyDescent="0.25">
      <c r="A249" s="65">
        <v>248</v>
      </c>
      <c r="B249" s="139">
        <v>29492219.285300694</v>
      </c>
    </row>
    <row r="250" spans="1:2" x14ac:dyDescent="0.25">
      <c r="A250" s="65">
        <v>249</v>
      </c>
      <c r="B250" s="139">
        <v>29887145.297503781</v>
      </c>
    </row>
    <row r="251" spans="1:2" x14ac:dyDescent="0.25">
      <c r="A251" s="65">
        <v>250</v>
      </c>
      <c r="B251" s="139">
        <v>29644793.217553593</v>
      </c>
    </row>
    <row r="252" spans="1:2" x14ac:dyDescent="0.25">
      <c r="A252" s="65">
        <v>251</v>
      </c>
      <c r="B252" s="139">
        <v>30356976.478094202</v>
      </c>
    </row>
    <row r="253" spans="1:2" x14ac:dyDescent="0.25">
      <c r="A253" s="65">
        <v>252</v>
      </c>
      <c r="B253" s="139">
        <v>29696627.11306534</v>
      </c>
    </row>
    <row r="254" spans="1:2" x14ac:dyDescent="0.25">
      <c r="A254" s="65">
        <v>253</v>
      </c>
      <c r="B254" s="139">
        <v>29510354.963904079</v>
      </c>
    </row>
    <row r="255" spans="1:2" x14ac:dyDescent="0.25">
      <c r="A255" s="65">
        <v>254</v>
      </c>
      <c r="B255" s="139">
        <v>29028769.698938668</v>
      </c>
    </row>
    <row r="256" spans="1:2" x14ac:dyDescent="0.25">
      <c r="A256" s="65">
        <v>255</v>
      </c>
      <c r="B256" s="139">
        <v>28390868.607814346</v>
      </c>
    </row>
    <row r="257" spans="1:2" x14ac:dyDescent="0.25">
      <c r="A257" s="65">
        <v>256</v>
      </c>
      <c r="B257" s="139">
        <v>29606900.717286944</v>
      </c>
    </row>
    <row r="258" spans="1:2" x14ac:dyDescent="0.25">
      <c r="A258" s="65">
        <v>257</v>
      </c>
      <c r="B258" s="139">
        <v>28565904.253081687</v>
      </c>
    </row>
    <row r="259" spans="1:2" x14ac:dyDescent="0.25">
      <c r="A259" s="65">
        <v>258</v>
      </c>
      <c r="B259" s="139">
        <v>30215491.424406506</v>
      </c>
    </row>
    <row r="260" spans="1:2" x14ac:dyDescent="0.25">
      <c r="A260" s="65">
        <v>259</v>
      </c>
      <c r="B260" s="139">
        <v>30276954.212268215</v>
      </c>
    </row>
    <row r="261" spans="1:2" x14ac:dyDescent="0.25">
      <c r="A261" s="65">
        <v>260</v>
      </c>
      <c r="B261" s="139">
        <v>28985237.787070386</v>
      </c>
    </row>
    <row r="262" spans="1:2" x14ac:dyDescent="0.25">
      <c r="A262" s="65">
        <v>261</v>
      </c>
      <c r="B262" s="139">
        <v>29185757.475081731</v>
      </c>
    </row>
    <row r="263" spans="1:2" x14ac:dyDescent="0.25">
      <c r="A263" s="65">
        <v>262</v>
      </c>
      <c r="B263" s="139">
        <v>30668711.457362197</v>
      </c>
    </row>
    <row r="264" spans="1:2" x14ac:dyDescent="0.25">
      <c r="A264" s="65">
        <v>263</v>
      </c>
      <c r="B264" s="139">
        <v>29612790.234292101</v>
      </c>
    </row>
    <row r="265" spans="1:2" x14ac:dyDescent="0.25">
      <c r="A265" s="65">
        <v>264</v>
      </c>
      <c r="B265" s="139">
        <v>29442124.394340497</v>
      </c>
    </row>
    <row r="266" spans="1:2" x14ac:dyDescent="0.25">
      <c r="A266" s="65">
        <v>265</v>
      </c>
      <c r="B266" s="139">
        <v>29045102.508527182</v>
      </c>
    </row>
    <row r="267" spans="1:2" x14ac:dyDescent="0.25">
      <c r="A267" s="65">
        <v>266</v>
      </c>
      <c r="B267" s="139">
        <v>28950509.685945392</v>
      </c>
    </row>
    <row r="268" spans="1:2" x14ac:dyDescent="0.25">
      <c r="A268" s="65">
        <v>267</v>
      </c>
      <c r="B268" s="139">
        <v>29601026.650750916</v>
      </c>
    </row>
    <row r="269" spans="1:2" x14ac:dyDescent="0.25">
      <c r="A269" s="65">
        <v>268</v>
      </c>
      <c r="B269" s="139">
        <v>28699931.407698996</v>
      </c>
    </row>
    <row r="270" spans="1:2" x14ac:dyDescent="0.25">
      <c r="A270" s="65">
        <v>269</v>
      </c>
      <c r="B270" s="139">
        <v>30895295.27023783</v>
      </c>
    </row>
    <row r="271" spans="1:2" x14ac:dyDescent="0.25">
      <c r="A271" s="65">
        <v>270</v>
      </c>
      <c r="B271" s="139">
        <v>32610573.150568731</v>
      </c>
    </row>
    <row r="272" spans="1:2" x14ac:dyDescent="0.25">
      <c r="A272" s="65">
        <v>271</v>
      </c>
      <c r="B272" s="139">
        <v>29168123.444199529</v>
      </c>
    </row>
    <row r="273" spans="1:2" x14ac:dyDescent="0.25">
      <c r="A273" s="65">
        <v>272</v>
      </c>
      <c r="B273" s="139">
        <v>29060930.730329115</v>
      </c>
    </row>
    <row r="274" spans="1:2" x14ac:dyDescent="0.25">
      <c r="A274" s="65">
        <v>273</v>
      </c>
      <c r="B274" s="139">
        <v>28686431.015393209</v>
      </c>
    </row>
    <row r="275" spans="1:2" x14ac:dyDescent="0.25">
      <c r="A275" s="65">
        <v>274</v>
      </c>
      <c r="B275" s="139">
        <v>28945322.838008102</v>
      </c>
    </row>
    <row r="276" spans="1:2" x14ac:dyDescent="0.25">
      <c r="A276" s="65">
        <v>275</v>
      </c>
      <c r="B276" s="139">
        <v>29732903.446542885</v>
      </c>
    </row>
    <row r="277" spans="1:2" x14ac:dyDescent="0.25">
      <c r="A277" s="65">
        <v>276</v>
      </c>
      <c r="B277" s="139">
        <v>28802185.880937804</v>
      </c>
    </row>
    <row r="278" spans="1:2" x14ac:dyDescent="0.25">
      <c r="A278" s="65">
        <v>277</v>
      </c>
      <c r="B278" s="139">
        <v>29827301.292456642</v>
      </c>
    </row>
    <row r="279" spans="1:2" x14ac:dyDescent="0.25">
      <c r="A279" s="65">
        <v>278</v>
      </c>
      <c r="B279" s="139">
        <v>28939039.876237098</v>
      </c>
    </row>
    <row r="280" spans="1:2" x14ac:dyDescent="0.25">
      <c r="A280" s="65">
        <v>279</v>
      </c>
      <c r="B280" s="139">
        <v>29951533.954189528</v>
      </c>
    </row>
    <row r="281" spans="1:2" x14ac:dyDescent="0.25">
      <c r="A281" s="65">
        <v>280</v>
      </c>
      <c r="B281" s="139">
        <v>30907238.569043256</v>
      </c>
    </row>
    <row r="282" spans="1:2" x14ac:dyDescent="0.25">
      <c r="A282" s="65">
        <v>281</v>
      </c>
      <c r="B282" s="139">
        <v>28585445.046725627</v>
      </c>
    </row>
    <row r="283" spans="1:2" x14ac:dyDescent="0.25">
      <c r="A283" s="65">
        <v>282</v>
      </c>
      <c r="B283" s="139">
        <v>30424926.838889685</v>
      </c>
    </row>
    <row r="284" spans="1:2" x14ac:dyDescent="0.25">
      <c r="A284" s="65">
        <v>283</v>
      </c>
      <c r="B284" s="139">
        <v>28846091.564015243</v>
      </c>
    </row>
    <row r="285" spans="1:2" x14ac:dyDescent="0.25">
      <c r="A285" s="65">
        <v>284</v>
      </c>
      <c r="B285" s="139">
        <v>29207966.509297818</v>
      </c>
    </row>
    <row r="286" spans="1:2" x14ac:dyDescent="0.25">
      <c r="A286" s="65">
        <v>285</v>
      </c>
      <c r="B286" s="139">
        <v>29087748.296116326</v>
      </c>
    </row>
    <row r="287" spans="1:2" x14ac:dyDescent="0.25">
      <c r="A287" s="65">
        <v>286</v>
      </c>
      <c r="B287" s="139">
        <v>28355151.216180723</v>
      </c>
    </row>
    <row r="288" spans="1:2" x14ac:dyDescent="0.25">
      <c r="A288" s="65">
        <v>287</v>
      </c>
      <c r="B288" s="139">
        <v>29806390.747231867</v>
      </c>
    </row>
    <row r="289" spans="1:2" x14ac:dyDescent="0.25">
      <c r="A289" s="65">
        <v>288</v>
      </c>
      <c r="B289" s="139">
        <v>28773268.773194168</v>
      </c>
    </row>
    <row r="290" spans="1:2" x14ac:dyDescent="0.25">
      <c r="A290" s="65">
        <v>289</v>
      </c>
      <c r="B290" s="139">
        <v>30588092.762930304</v>
      </c>
    </row>
    <row r="291" spans="1:2" x14ac:dyDescent="0.25">
      <c r="A291" s="65">
        <v>290</v>
      </c>
      <c r="B291" s="139">
        <v>29028793.100973617</v>
      </c>
    </row>
    <row r="292" spans="1:2" x14ac:dyDescent="0.25">
      <c r="A292" s="65">
        <v>291</v>
      </c>
      <c r="B292" s="139">
        <v>30208029.610581625</v>
      </c>
    </row>
    <row r="293" spans="1:2" x14ac:dyDescent="0.25">
      <c r="A293" s="65">
        <v>292</v>
      </c>
      <c r="B293" s="139">
        <v>29107591.828414038</v>
      </c>
    </row>
    <row r="294" spans="1:2" x14ac:dyDescent="0.25">
      <c r="A294" s="65">
        <v>293</v>
      </c>
      <c r="B294" s="139">
        <v>29122396.13019108</v>
      </c>
    </row>
    <row r="295" spans="1:2" x14ac:dyDescent="0.25">
      <c r="A295" s="65">
        <v>294</v>
      </c>
      <c r="B295" s="139">
        <v>28830395.488168646</v>
      </c>
    </row>
    <row r="296" spans="1:2" x14ac:dyDescent="0.25">
      <c r="A296" s="65">
        <v>295</v>
      </c>
      <c r="B296" s="139">
        <v>28863882.527963575</v>
      </c>
    </row>
    <row r="297" spans="1:2" x14ac:dyDescent="0.25">
      <c r="A297" s="65">
        <v>296</v>
      </c>
      <c r="B297" s="139">
        <v>28688051.099899095</v>
      </c>
    </row>
    <row r="298" spans="1:2" x14ac:dyDescent="0.25">
      <c r="A298" s="65">
        <v>297</v>
      </c>
      <c r="B298" s="139">
        <v>28614305.790086668</v>
      </c>
    </row>
    <row r="299" spans="1:2" x14ac:dyDescent="0.25">
      <c r="A299" s="65">
        <v>298</v>
      </c>
      <c r="B299" s="139">
        <v>30014791.477893863</v>
      </c>
    </row>
    <row r="300" spans="1:2" x14ac:dyDescent="0.25">
      <c r="A300" s="65">
        <v>299</v>
      </c>
      <c r="B300" s="139">
        <v>28803588.775700752</v>
      </c>
    </row>
    <row r="301" spans="1:2" x14ac:dyDescent="0.25">
      <c r="A301" s="65">
        <v>300</v>
      </c>
      <c r="B301" s="139">
        <v>30114847.545612682</v>
      </c>
    </row>
    <row r="302" spans="1:2" x14ac:dyDescent="0.25">
      <c r="A302" s="65">
        <v>301</v>
      </c>
      <c r="B302" s="139">
        <v>28951858.734440632</v>
      </c>
    </row>
    <row r="303" spans="1:2" x14ac:dyDescent="0.25">
      <c r="A303" s="65">
        <v>302</v>
      </c>
      <c r="B303" s="139">
        <v>29238863.413070932</v>
      </c>
    </row>
    <row r="304" spans="1:2" x14ac:dyDescent="0.25">
      <c r="A304" s="65">
        <v>303</v>
      </c>
      <c r="B304" s="139">
        <v>33373029.659648072</v>
      </c>
    </row>
    <row r="305" spans="1:2" x14ac:dyDescent="0.25">
      <c r="A305" s="65">
        <v>304</v>
      </c>
      <c r="B305" s="139">
        <v>28881176.43104244</v>
      </c>
    </row>
    <row r="306" spans="1:2" x14ac:dyDescent="0.25">
      <c r="A306" s="65">
        <v>305</v>
      </c>
      <c r="B306" s="139">
        <v>29463112.49464589</v>
      </c>
    </row>
    <row r="307" spans="1:2" x14ac:dyDescent="0.25">
      <c r="A307" s="65">
        <v>306</v>
      </c>
      <c r="B307" s="139">
        <v>28552750.969268933</v>
      </c>
    </row>
    <row r="308" spans="1:2" x14ac:dyDescent="0.25">
      <c r="A308" s="65">
        <v>307</v>
      </c>
      <c r="B308" s="139">
        <v>29014578.302984163</v>
      </c>
    </row>
    <row r="309" spans="1:2" x14ac:dyDescent="0.25">
      <c r="A309" s="65">
        <v>308</v>
      </c>
      <c r="B309" s="139">
        <v>28604712.249033969</v>
      </c>
    </row>
    <row r="310" spans="1:2" x14ac:dyDescent="0.25">
      <c r="A310" s="65">
        <v>309</v>
      </c>
      <c r="B310" s="139">
        <v>29272152.731587954</v>
      </c>
    </row>
    <row r="311" spans="1:2" x14ac:dyDescent="0.25">
      <c r="A311" s="65">
        <v>310</v>
      </c>
      <c r="B311" s="139">
        <v>30528814.576882627</v>
      </c>
    </row>
    <row r="312" spans="1:2" x14ac:dyDescent="0.25">
      <c r="A312" s="65">
        <v>311</v>
      </c>
      <c r="B312" s="139">
        <v>28733474.830979101</v>
      </c>
    </row>
    <row r="313" spans="1:2" x14ac:dyDescent="0.25">
      <c r="A313" s="65">
        <v>312</v>
      </c>
      <c r="B313" s="139">
        <v>29526294.351948313</v>
      </c>
    </row>
    <row r="314" spans="1:2" x14ac:dyDescent="0.25">
      <c r="A314" s="65">
        <v>313</v>
      </c>
      <c r="B314" s="139">
        <v>28726279.033977766</v>
      </c>
    </row>
    <row r="315" spans="1:2" x14ac:dyDescent="0.25">
      <c r="A315" s="65">
        <v>314</v>
      </c>
      <c r="B315" s="139">
        <v>28629605.914108451</v>
      </c>
    </row>
    <row r="316" spans="1:2" x14ac:dyDescent="0.25">
      <c r="A316" s="65">
        <v>315</v>
      </c>
      <c r="B316" s="139">
        <v>28997090.077001151</v>
      </c>
    </row>
    <row r="317" spans="1:2" x14ac:dyDescent="0.25">
      <c r="A317" s="65">
        <v>316</v>
      </c>
      <c r="B317" s="139">
        <v>30283743.380359158</v>
      </c>
    </row>
    <row r="318" spans="1:2" x14ac:dyDescent="0.25">
      <c r="A318" s="65">
        <v>317</v>
      </c>
      <c r="B318" s="139">
        <v>28707584.293017931</v>
      </c>
    </row>
    <row r="319" spans="1:2" x14ac:dyDescent="0.25">
      <c r="A319" s="65">
        <v>318</v>
      </c>
      <c r="B319" s="139">
        <v>29938164.295629688</v>
      </c>
    </row>
    <row r="320" spans="1:2" x14ac:dyDescent="0.25">
      <c r="A320" s="65">
        <v>319</v>
      </c>
      <c r="B320" s="139">
        <v>29130684.696642783</v>
      </c>
    </row>
    <row r="321" spans="1:2" x14ac:dyDescent="0.25">
      <c r="A321" s="65">
        <v>320</v>
      </c>
      <c r="B321" s="139">
        <v>29857543.762738135</v>
      </c>
    </row>
    <row r="322" spans="1:2" x14ac:dyDescent="0.25">
      <c r="A322" s="65">
        <v>321</v>
      </c>
      <c r="B322" s="139">
        <v>29747009.202692151</v>
      </c>
    </row>
    <row r="323" spans="1:2" x14ac:dyDescent="0.25">
      <c r="A323" s="65">
        <v>322</v>
      </c>
      <c r="B323" s="139">
        <v>28749902.810127117</v>
      </c>
    </row>
    <row r="324" spans="1:2" x14ac:dyDescent="0.25">
      <c r="A324" s="65">
        <v>323</v>
      </c>
      <c r="B324" s="139">
        <v>29632877.435871288</v>
      </c>
    </row>
    <row r="325" spans="1:2" x14ac:dyDescent="0.25">
      <c r="A325" s="65">
        <v>324</v>
      </c>
      <c r="B325" s="139">
        <v>28609673.606351171</v>
      </c>
    </row>
    <row r="326" spans="1:2" x14ac:dyDescent="0.25">
      <c r="A326" s="65">
        <v>325</v>
      </c>
      <c r="B326" s="139">
        <v>28439904.208175246</v>
      </c>
    </row>
    <row r="327" spans="1:2" x14ac:dyDescent="0.25">
      <c r="A327" s="65">
        <v>326</v>
      </c>
      <c r="B327" s="139">
        <v>28755612.445462197</v>
      </c>
    </row>
    <row r="328" spans="1:2" x14ac:dyDescent="0.25">
      <c r="A328" s="65">
        <v>327</v>
      </c>
      <c r="B328" s="139">
        <v>29295544.816961955</v>
      </c>
    </row>
    <row r="329" spans="1:2" x14ac:dyDescent="0.25">
      <c r="A329" s="65">
        <v>328</v>
      </c>
      <c r="B329" s="139">
        <v>29205184.810050011</v>
      </c>
    </row>
    <row r="330" spans="1:2" x14ac:dyDescent="0.25">
      <c r="A330" s="65">
        <v>329</v>
      </c>
      <c r="B330" s="139">
        <v>29085924.677093238</v>
      </c>
    </row>
    <row r="331" spans="1:2" x14ac:dyDescent="0.25">
      <c r="A331" s="65">
        <v>330</v>
      </c>
      <c r="B331" s="139">
        <v>28727378.515565157</v>
      </c>
    </row>
    <row r="332" spans="1:2" x14ac:dyDescent="0.25">
      <c r="A332" s="65">
        <v>331</v>
      </c>
      <c r="B332" s="139">
        <v>28695994.793414079</v>
      </c>
    </row>
    <row r="333" spans="1:2" x14ac:dyDescent="0.25">
      <c r="A333" s="65">
        <v>332</v>
      </c>
      <c r="B333" s="139">
        <v>29252487.12539443</v>
      </c>
    </row>
    <row r="334" spans="1:2" x14ac:dyDescent="0.25">
      <c r="A334" s="65">
        <v>333</v>
      </c>
      <c r="B334" s="139">
        <v>28675056.20992456</v>
      </c>
    </row>
    <row r="335" spans="1:2" x14ac:dyDescent="0.25">
      <c r="A335" s="65">
        <v>334</v>
      </c>
      <c r="B335" s="139">
        <v>29275989.004361305</v>
      </c>
    </row>
    <row r="336" spans="1:2" x14ac:dyDescent="0.25">
      <c r="A336" s="65">
        <v>335</v>
      </c>
      <c r="B336" s="139">
        <v>29027904.211862791</v>
      </c>
    </row>
    <row r="337" spans="1:2" x14ac:dyDescent="0.25">
      <c r="A337" s="65">
        <v>336</v>
      </c>
      <c r="B337" s="139">
        <v>38663280.776258767</v>
      </c>
    </row>
    <row r="338" spans="1:2" x14ac:dyDescent="0.25">
      <c r="A338" s="65">
        <v>337</v>
      </c>
      <c r="B338" s="139">
        <v>28830234.544127449</v>
      </c>
    </row>
    <row r="339" spans="1:2" x14ac:dyDescent="0.25">
      <c r="A339" s="65">
        <v>338</v>
      </c>
      <c r="B339" s="139">
        <v>29079911.021151427</v>
      </c>
    </row>
    <row r="340" spans="1:2" x14ac:dyDescent="0.25">
      <c r="A340" s="65">
        <v>339</v>
      </c>
      <c r="B340" s="139">
        <v>30199320.965937492</v>
      </c>
    </row>
    <row r="341" spans="1:2" x14ac:dyDescent="0.25">
      <c r="A341" s="65">
        <v>340</v>
      </c>
      <c r="B341" s="139">
        <v>28572345.195361074</v>
      </c>
    </row>
    <row r="342" spans="1:2" x14ac:dyDescent="0.25">
      <c r="A342" s="65">
        <v>341</v>
      </c>
      <c r="B342" s="139">
        <v>28630304.595789801</v>
      </c>
    </row>
    <row r="343" spans="1:2" x14ac:dyDescent="0.25">
      <c r="A343" s="65">
        <v>342</v>
      </c>
      <c r="B343" s="139">
        <v>29007839.373961337</v>
      </c>
    </row>
    <row r="344" spans="1:2" x14ac:dyDescent="0.25">
      <c r="A344" s="65">
        <v>343</v>
      </c>
      <c r="B344" s="139">
        <v>29708450.899806872</v>
      </c>
    </row>
    <row r="345" spans="1:2" x14ac:dyDescent="0.25">
      <c r="A345" s="65">
        <v>344</v>
      </c>
      <c r="B345" s="139">
        <v>28851130.795755222</v>
      </c>
    </row>
    <row r="346" spans="1:2" x14ac:dyDescent="0.25">
      <c r="A346" s="65">
        <v>345</v>
      </c>
      <c r="B346" s="139">
        <v>30131867.824699186</v>
      </c>
    </row>
    <row r="347" spans="1:2" x14ac:dyDescent="0.25">
      <c r="A347" s="65">
        <v>346</v>
      </c>
      <c r="B347" s="139">
        <v>28710987.883787196</v>
      </c>
    </row>
    <row r="348" spans="1:2" x14ac:dyDescent="0.25">
      <c r="A348" s="65">
        <v>347</v>
      </c>
      <c r="B348" s="139">
        <v>28908400.632616419</v>
      </c>
    </row>
    <row r="349" spans="1:2" x14ac:dyDescent="0.25">
      <c r="A349" s="65">
        <v>348</v>
      </c>
      <c r="B349" s="139">
        <v>29840988.271867462</v>
      </c>
    </row>
    <row r="350" spans="1:2" x14ac:dyDescent="0.25">
      <c r="A350" s="65">
        <v>349</v>
      </c>
      <c r="B350" s="139">
        <v>29049911.798130933</v>
      </c>
    </row>
    <row r="351" spans="1:2" x14ac:dyDescent="0.25">
      <c r="A351" s="65">
        <v>350</v>
      </c>
      <c r="B351" s="139">
        <v>29016855.397435974</v>
      </c>
    </row>
    <row r="352" spans="1:2" x14ac:dyDescent="0.25">
      <c r="A352" s="65">
        <v>351</v>
      </c>
      <c r="B352" s="139">
        <v>29442180.938865632</v>
      </c>
    </row>
    <row r="353" spans="1:2" x14ac:dyDescent="0.25">
      <c r="A353" s="65">
        <v>352</v>
      </c>
      <c r="B353" s="139">
        <v>29910091.156530406</v>
      </c>
    </row>
    <row r="354" spans="1:2" x14ac:dyDescent="0.25">
      <c r="A354" s="65">
        <v>353</v>
      </c>
      <c r="B354" s="139">
        <v>29467070.921988025</v>
      </c>
    </row>
    <row r="355" spans="1:2" x14ac:dyDescent="0.25">
      <c r="A355" s="65">
        <v>354</v>
      </c>
      <c r="B355" s="139">
        <v>30186939.811371222</v>
      </c>
    </row>
    <row r="356" spans="1:2" x14ac:dyDescent="0.25">
      <c r="A356" s="65">
        <v>355</v>
      </c>
      <c r="B356" s="139">
        <v>28713347.330654189</v>
      </c>
    </row>
    <row r="357" spans="1:2" x14ac:dyDescent="0.25">
      <c r="A357" s="65">
        <v>356</v>
      </c>
      <c r="B357" s="139">
        <v>28616390.520496871</v>
      </c>
    </row>
    <row r="358" spans="1:2" x14ac:dyDescent="0.25">
      <c r="A358" s="65">
        <v>357</v>
      </c>
      <c r="B358" s="139">
        <v>28844642.967673842</v>
      </c>
    </row>
    <row r="359" spans="1:2" x14ac:dyDescent="0.25">
      <c r="A359" s="65">
        <v>358</v>
      </c>
      <c r="B359" s="139">
        <v>29518191.932095133</v>
      </c>
    </row>
    <row r="360" spans="1:2" x14ac:dyDescent="0.25">
      <c r="A360" s="65">
        <v>359</v>
      </c>
      <c r="B360" s="139">
        <v>29445320.838581678</v>
      </c>
    </row>
    <row r="361" spans="1:2" x14ac:dyDescent="0.25">
      <c r="A361" s="65">
        <v>360</v>
      </c>
      <c r="B361" s="139">
        <v>29274690.307446085</v>
      </c>
    </row>
    <row r="362" spans="1:2" x14ac:dyDescent="0.25">
      <c r="A362" s="65">
        <v>361</v>
      </c>
      <c r="B362" s="139">
        <v>28955236.777558673</v>
      </c>
    </row>
    <row r="363" spans="1:2" x14ac:dyDescent="0.25">
      <c r="A363" s="65">
        <v>362</v>
      </c>
      <c r="B363" s="139">
        <v>30424352.547644291</v>
      </c>
    </row>
    <row r="364" spans="1:2" x14ac:dyDescent="0.25">
      <c r="A364" s="65">
        <v>363</v>
      </c>
      <c r="B364" s="139">
        <v>28785915.238767553</v>
      </c>
    </row>
    <row r="365" spans="1:2" x14ac:dyDescent="0.25">
      <c r="A365" s="65">
        <v>364</v>
      </c>
      <c r="B365" s="139">
        <v>29422316.218422662</v>
      </c>
    </row>
    <row r="366" spans="1:2" x14ac:dyDescent="0.25">
      <c r="A366" s="65">
        <v>365</v>
      </c>
      <c r="B366" s="139">
        <v>30457759.991135102</v>
      </c>
    </row>
    <row r="367" spans="1:2" x14ac:dyDescent="0.25">
      <c r="A367" s="65">
        <v>366</v>
      </c>
      <c r="B367" s="139">
        <v>28739354.666469533</v>
      </c>
    </row>
    <row r="368" spans="1:2" x14ac:dyDescent="0.25">
      <c r="A368" s="65">
        <v>367</v>
      </c>
      <c r="B368" s="139">
        <v>29566291.803848334</v>
      </c>
    </row>
    <row r="369" spans="1:2" x14ac:dyDescent="0.25">
      <c r="A369" s="65">
        <v>368</v>
      </c>
      <c r="B369" s="139">
        <v>28604357.094197378</v>
      </c>
    </row>
    <row r="370" spans="1:2" x14ac:dyDescent="0.25">
      <c r="A370" s="65">
        <v>369</v>
      </c>
      <c r="B370" s="139">
        <v>28730639.168440174</v>
      </c>
    </row>
    <row r="371" spans="1:2" x14ac:dyDescent="0.25">
      <c r="A371" s="65">
        <v>370</v>
      </c>
      <c r="B371" s="139">
        <v>28977914.045073707</v>
      </c>
    </row>
    <row r="372" spans="1:2" x14ac:dyDescent="0.25">
      <c r="A372" s="65">
        <v>371</v>
      </c>
      <c r="B372" s="139">
        <v>29560437.414871603</v>
      </c>
    </row>
    <row r="373" spans="1:2" x14ac:dyDescent="0.25">
      <c r="A373" s="65">
        <v>372</v>
      </c>
      <c r="B373" s="139">
        <v>30082244.32082694</v>
      </c>
    </row>
    <row r="374" spans="1:2" x14ac:dyDescent="0.25">
      <c r="A374" s="65">
        <v>373</v>
      </c>
      <c r="B374" s="139">
        <v>28733191.938976411</v>
      </c>
    </row>
    <row r="375" spans="1:2" x14ac:dyDescent="0.25">
      <c r="A375" s="65">
        <v>374</v>
      </c>
      <c r="B375" s="139">
        <v>29877321.691900965</v>
      </c>
    </row>
    <row r="376" spans="1:2" x14ac:dyDescent="0.25">
      <c r="A376" s="65">
        <v>375</v>
      </c>
      <c r="B376" s="139">
        <v>29659081.744963031</v>
      </c>
    </row>
    <row r="377" spans="1:2" x14ac:dyDescent="0.25">
      <c r="A377" s="65">
        <v>376</v>
      </c>
      <c r="B377" s="139">
        <v>28927443.55659879</v>
      </c>
    </row>
    <row r="378" spans="1:2" x14ac:dyDescent="0.25">
      <c r="A378" s="65">
        <v>377</v>
      </c>
      <c r="B378" s="139">
        <v>29133222.403736379</v>
      </c>
    </row>
    <row r="379" spans="1:2" x14ac:dyDescent="0.25">
      <c r="A379" s="65">
        <v>378</v>
      </c>
      <c r="B379" s="139">
        <v>28929615.284432549</v>
      </c>
    </row>
    <row r="380" spans="1:2" x14ac:dyDescent="0.25">
      <c r="A380" s="65">
        <v>379</v>
      </c>
      <c r="B380" s="139">
        <v>29021311.929263104</v>
      </c>
    </row>
    <row r="381" spans="1:2" x14ac:dyDescent="0.25">
      <c r="A381" s="65">
        <v>380</v>
      </c>
      <c r="B381" s="139">
        <v>28650391.385748871</v>
      </c>
    </row>
    <row r="382" spans="1:2" x14ac:dyDescent="0.25">
      <c r="A382" s="65">
        <v>381</v>
      </c>
      <c r="B382" s="139">
        <v>28993311.284561854</v>
      </c>
    </row>
    <row r="383" spans="1:2" x14ac:dyDescent="0.25">
      <c r="A383" s="65">
        <v>382</v>
      </c>
      <c r="B383" s="139">
        <v>29531462.28041102</v>
      </c>
    </row>
    <row r="384" spans="1:2" x14ac:dyDescent="0.25">
      <c r="A384" s="65">
        <v>383</v>
      </c>
      <c r="B384" s="139">
        <v>30240999.848636001</v>
      </c>
    </row>
    <row r="385" spans="1:2" x14ac:dyDescent="0.25">
      <c r="A385" s="65">
        <v>384</v>
      </c>
      <c r="B385" s="139">
        <v>28919266.957456212</v>
      </c>
    </row>
    <row r="386" spans="1:2" x14ac:dyDescent="0.25">
      <c r="A386" s="65">
        <v>385</v>
      </c>
      <c r="B386" s="139">
        <v>29382324.424446013</v>
      </c>
    </row>
    <row r="387" spans="1:2" x14ac:dyDescent="0.25">
      <c r="A387" s="65">
        <v>386</v>
      </c>
      <c r="B387" s="139">
        <v>29158386.570051856</v>
      </c>
    </row>
    <row r="388" spans="1:2" x14ac:dyDescent="0.25">
      <c r="A388" s="65">
        <v>387</v>
      </c>
      <c r="B388" s="139">
        <v>30125026.7377543</v>
      </c>
    </row>
    <row r="389" spans="1:2" x14ac:dyDescent="0.25">
      <c r="A389" s="65">
        <v>388</v>
      </c>
      <c r="B389" s="139">
        <v>30053985.094993286</v>
      </c>
    </row>
    <row r="390" spans="1:2" x14ac:dyDescent="0.25">
      <c r="A390" s="65">
        <v>389</v>
      </c>
      <c r="B390" s="139">
        <v>33794378.667516313</v>
      </c>
    </row>
    <row r="391" spans="1:2" x14ac:dyDescent="0.25">
      <c r="A391" s="65">
        <v>390</v>
      </c>
      <c r="B391" s="139">
        <v>29508369.067707542</v>
      </c>
    </row>
    <row r="392" spans="1:2" x14ac:dyDescent="0.25">
      <c r="A392" s="65">
        <v>391</v>
      </c>
      <c r="B392" s="139">
        <v>28802705.979687128</v>
      </c>
    </row>
    <row r="393" spans="1:2" x14ac:dyDescent="0.25">
      <c r="A393" s="65">
        <v>392</v>
      </c>
      <c r="B393" s="139">
        <v>30770968.079575002</v>
      </c>
    </row>
    <row r="394" spans="1:2" x14ac:dyDescent="0.25">
      <c r="A394" s="65">
        <v>393</v>
      </c>
      <c r="B394" s="139">
        <v>29763559.809107173</v>
      </c>
    </row>
    <row r="395" spans="1:2" x14ac:dyDescent="0.25">
      <c r="A395" s="65">
        <v>394</v>
      </c>
      <c r="B395" s="139">
        <v>28763692.936604582</v>
      </c>
    </row>
    <row r="396" spans="1:2" x14ac:dyDescent="0.25">
      <c r="A396" s="65">
        <v>395</v>
      </c>
      <c r="B396" s="139">
        <v>29103742.377782296</v>
      </c>
    </row>
    <row r="397" spans="1:2" x14ac:dyDescent="0.25">
      <c r="A397" s="65">
        <v>396</v>
      </c>
      <c r="B397" s="139">
        <v>28910883.543942675</v>
      </c>
    </row>
    <row r="398" spans="1:2" x14ac:dyDescent="0.25">
      <c r="A398" s="65">
        <v>397</v>
      </c>
      <c r="B398" s="139">
        <v>28429378.227969721</v>
      </c>
    </row>
    <row r="399" spans="1:2" x14ac:dyDescent="0.25">
      <c r="A399" s="65">
        <v>398</v>
      </c>
      <c r="B399" s="139">
        <v>29344397.299725771</v>
      </c>
    </row>
    <row r="400" spans="1:2" x14ac:dyDescent="0.25">
      <c r="A400" s="65">
        <v>399</v>
      </c>
      <c r="B400" s="139">
        <v>29743439.049860079</v>
      </c>
    </row>
    <row r="401" spans="1:2" x14ac:dyDescent="0.25">
      <c r="A401" s="65">
        <v>400</v>
      </c>
      <c r="B401" s="139">
        <v>29978013.591544855</v>
      </c>
    </row>
    <row r="402" spans="1:2" x14ac:dyDescent="0.25">
      <c r="A402" s="65">
        <v>401</v>
      </c>
      <c r="B402" s="139">
        <v>33621915.146590166</v>
      </c>
    </row>
    <row r="403" spans="1:2" x14ac:dyDescent="0.25">
      <c r="A403" s="65">
        <v>402</v>
      </c>
      <c r="B403" s="139">
        <v>29372811.172442399</v>
      </c>
    </row>
    <row r="404" spans="1:2" x14ac:dyDescent="0.25">
      <c r="A404" s="65">
        <v>403</v>
      </c>
      <c r="B404" s="139">
        <v>29245658.167436291</v>
      </c>
    </row>
    <row r="405" spans="1:2" x14ac:dyDescent="0.25">
      <c r="A405" s="65">
        <v>404</v>
      </c>
      <c r="B405" s="139">
        <v>30737721.146096505</v>
      </c>
    </row>
    <row r="406" spans="1:2" x14ac:dyDescent="0.25">
      <c r="A406" s="65">
        <v>405</v>
      </c>
      <c r="B406" s="139">
        <v>28954236.607609831</v>
      </c>
    </row>
    <row r="407" spans="1:2" x14ac:dyDescent="0.25">
      <c r="A407" s="65">
        <v>406</v>
      </c>
      <c r="B407" s="139">
        <v>30248071.875701245</v>
      </c>
    </row>
    <row r="408" spans="1:2" x14ac:dyDescent="0.25">
      <c r="A408" s="65">
        <v>407</v>
      </c>
      <c r="B408" s="139">
        <v>30099871.844424643</v>
      </c>
    </row>
    <row r="409" spans="1:2" x14ac:dyDescent="0.25">
      <c r="A409" s="65">
        <v>408</v>
      </c>
      <c r="B409" s="139">
        <v>29074997.589980196</v>
      </c>
    </row>
    <row r="410" spans="1:2" x14ac:dyDescent="0.25">
      <c r="A410" s="65">
        <v>409</v>
      </c>
      <c r="B410" s="139">
        <v>29603337.378674865</v>
      </c>
    </row>
    <row r="411" spans="1:2" x14ac:dyDescent="0.25">
      <c r="A411" s="65">
        <v>410</v>
      </c>
      <c r="B411" s="139">
        <v>29586145.901646797</v>
      </c>
    </row>
    <row r="412" spans="1:2" x14ac:dyDescent="0.25">
      <c r="A412" s="65">
        <v>411</v>
      </c>
      <c r="B412" s="139">
        <v>28742734.51417844</v>
      </c>
    </row>
    <row r="413" spans="1:2" x14ac:dyDescent="0.25">
      <c r="A413" s="65">
        <v>412</v>
      </c>
      <c r="B413" s="139">
        <v>28876243.671080466</v>
      </c>
    </row>
    <row r="414" spans="1:2" x14ac:dyDescent="0.25">
      <c r="A414" s="65">
        <v>413</v>
      </c>
      <c r="B414" s="139">
        <v>29050004.791546077</v>
      </c>
    </row>
    <row r="415" spans="1:2" x14ac:dyDescent="0.25">
      <c r="A415" s="65">
        <v>414</v>
      </c>
      <c r="B415" s="139">
        <v>29770936.586130649</v>
      </c>
    </row>
    <row r="416" spans="1:2" x14ac:dyDescent="0.25">
      <c r="A416" s="65">
        <v>415</v>
      </c>
      <c r="B416" s="139">
        <v>29294377.98885686</v>
      </c>
    </row>
    <row r="417" spans="1:2" x14ac:dyDescent="0.25">
      <c r="A417" s="65">
        <v>416</v>
      </c>
      <c r="B417" s="139">
        <v>30360074.987468526</v>
      </c>
    </row>
    <row r="418" spans="1:2" x14ac:dyDescent="0.25">
      <c r="A418" s="65">
        <v>417</v>
      </c>
      <c r="B418" s="139">
        <v>29228114.38049515</v>
      </c>
    </row>
    <row r="419" spans="1:2" x14ac:dyDescent="0.25">
      <c r="A419" s="65">
        <v>418</v>
      </c>
      <c r="B419" s="139">
        <v>28776781.83401126</v>
      </c>
    </row>
    <row r="420" spans="1:2" x14ac:dyDescent="0.25">
      <c r="A420" s="65">
        <v>419</v>
      </c>
      <c r="B420" s="139">
        <v>29005373.266255949</v>
      </c>
    </row>
    <row r="421" spans="1:2" x14ac:dyDescent="0.25">
      <c r="A421" s="65">
        <v>420</v>
      </c>
      <c r="B421" s="139">
        <v>28466338.728890859</v>
      </c>
    </row>
    <row r="422" spans="1:2" x14ac:dyDescent="0.25">
      <c r="A422" s="65">
        <v>421</v>
      </c>
      <c r="B422" s="139">
        <v>28715588.908818588</v>
      </c>
    </row>
    <row r="423" spans="1:2" x14ac:dyDescent="0.25">
      <c r="A423" s="65">
        <v>422</v>
      </c>
      <c r="B423" s="139">
        <v>31034347.946016707</v>
      </c>
    </row>
    <row r="424" spans="1:2" x14ac:dyDescent="0.25">
      <c r="A424" s="65">
        <v>423</v>
      </c>
      <c r="B424" s="139">
        <v>28790144.843126819</v>
      </c>
    </row>
    <row r="425" spans="1:2" x14ac:dyDescent="0.25">
      <c r="A425" s="65">
        <v>424</v>
      </c>
      <c r="B425" s="139">
        <v>29240519.496048212</v>
      </c>
    </row>
    <row r="426" spans="1:2" x14ac:dyDescent="0.25">
      <c r="A426" s="65">
        <v>425</v>
      </c>
      <c r="B426" s="139">
        <v>29639902.132660221</v>
      </c>
    </row>
    <row r="427" spans="1:2" x14ac:dyDescent="0.25">
      <c r="A427" s="65">
        <v>426</v>
      </c>
      <c r="B427" s="139">
        <v>29407216.92370908</v>
      </c>
    </row>
    <row r="428" spans="1:2" x14ac:dyDescent="0.25">
      <c r="A428" s="65">
        <v>427</v>
      </c>
      <c r="B428" s="139">
        <v>28804219.97328205</v>
      </c>
    </row>
    <row r="429" spans="1:2" x14ac:dyDescent="0.25">
      <c r="A429" s="65">
        <v>428</v>
      </c>
      <c r="B429" s="139">
        <v>29776587.117763989</v>
      </c>
    </row>
    <row r="430" spans="1:2" x14ac:dyDescent="0.25">
      <c r="A430" s="65">
        <v>429</v>
      </c>
      <c r="B430" s="139">
        <v>29686496.931422684</v>
      </c>
    </row>
    <row r="431" spans="1:2" x14ac:dyDescent="0.25">
      <c r="A431" s="65">
        <v>430</v>
      </c>
      <c r="B431" s="139">
        <v>28807255.002045281</v>
      </c>
    </row>
    <row r="432" spans="1:2" x14ac:dyDescent="0.25">
      <c r="A432" s="65">
        <v>431</v>
      </c>
      <c r="B432" s="139">
        <v>29210015.066642135</v>
      </c>
    </row>
    <row r="433" spans="1:2" x14ac:dyDescent="0.25">
      <c r="A433" s="65">
        <v>432</v>
      </c>
      <c r="B433" s="139">
        <v>29554594.535590786</v>
      </c>
    </row>
    <row r="434" spans="1:2" x14ac:dyDescent="0.25">
      <c r="A434" s="65">
        <v>433</v>
      </c>
      <c r="B434" s="139">
        <v>30207070.686407775</v>
      </c>
    </row>
    <row r="435" spans="1:2" x14ac:dyDescent="0.25">
      <c r="A435" s="65">
        <v>434</v>
      </c>
      <c r="B435" s="139">
        <v>29951165.244128864</v>
      </c>
    </row>
    <row r="436" spans="1:2" x14ac:dyDescent="0.25">
      <c r="A436" s="65">
        <v>435</v>
      </c>
      <c r="B436" s="139">
        <v>28850426.149575081</v>
      </c>
    </row>
    <row r="437" spans="1:2" x14ac:dyDescent="0.25">
      <c r="A437" s="65">
        <v>436</v>
      </c>
      <c r="B437" s="139">
        <v>29166364.265108231</v>
      </c>
    </row>
    <row r="438" spans="1:2" x14ac:dyDescent="0.25">
      <c r="A438" s="65">
        <v>437</v>
      </c>
      <c r="B438" s="139">
        <v>29285833.357466582</v>
      </c>
    </row>
    <row r="439" spans="1:2" x14ac:dyDescent="0.25">
      <c r="A439" s="65">
        <v>438</v>
      </c>
      <c r="B439" s="139">
        <v>28855786.508729812</v>
      </c>
    </row>
    <row r="440" spans="1:2" x14ac:dyDescent="0.25">
      <c r="A440" s="65">
        <v>439</v>
      </c>
      <c r="B440" s="139">
        <v>30416787.858286858</v>
      </c>
    </row>
    <row r="441" spans="1:2" x14ac:dyDescent="0.25">
      <c r="A441" s="65">
        <v>440</v>
      </c>
      <c r="B441" s="139">
        <v>29567283.943547077</v>
      </c>
    </row>
    <row r="442" spans="1:2" x14ac:dyDescent="0.25">
      <c r="A442" s="65">
        <v>441</v>
      </c>
      <c r="B442" s="139">
        <v>29393707.422590092</v>
      </c>
    </row>
    <row r="443" spans="1:2" x14ac:dyDescent="0.25">
      <c r="A443" s="65">
        <v>442</v>
      </c>
      <c r="B443" s="139">
        <v>29497929.379116897</v>
      </c>
    </row>
    <row r="444" spans="1:2" x14ac:dyDescent="0.25">
      <c r="A444" s="65">
        <v>443</v>
      </c>
      <c r="B444" s="139">
        <v>29079730.610975478</v>
      </c>
    </row>
    <row r="445" spans="1:2" x14ac:dyDescent="0.25">
      <c r="A445" s="65">
        <v>444</v>
      </c>
      <c r="B445" s="139">
        <v>28692489.319598828</v>
      </c>
    </row>
    <row r="446" spans="1:2" x14ac:dyDescent="0.25">
      <c r="A446" s="65">
        <v>445</v>
      </c>
      <c r="B446" s="139">
        <v>28888772.740307324</v>
      </c>
    </row>
    <row r="447" spans="1:2" x14ac:dyDescent="0.25">
      <c r="A447" s="65">
        <v>446</v>
      </c>
      <c r="B447" s="139">
        <v>28796260.020594016</v>
      </c>
    </row>
    <row r="448" spans="1:2" x14ac:dyDescent="0.25">
      <c r="A448" s="65">
        <v>447</v>
      </c>
      <c r="B448" s="139">
        <v>30300387.777612898</v>
      </c>
    </row>
    <row r="449" spans="1:2" x14ac:dyDescent="0.25">
      <c r="A449" s="65">
        <v>448</v>
      </c>
      <c r="B449" s="139">
        <v>29200816.17708952</v>
      </c>
    </row>
    <row r="450" spans="1:2" x14ac:dyDescent="0.25">
      <c r="A450" s="65">
        <v>449</v>
      </c>
      <c r="B450" s="139">
        <v>28770238.634224884</v>
      </c>
    </row>
    <row r="451" spans="1:2" x14ac:dyDescent="0.25">
      <c r="A451" s="65">
        <v>450</v>
      </c>
      <c r="B451" s="139">
        <v>31386418.3785225</v>
      </c>
    </row>
    <row r="452" spans="1:2" x14ac:dyDescent="0.25">
      <c r="A452" s="65">
        <v>451</v>
      </c>
      <c r="B452" s="139">
        <v>28946783.183180701</v>
      </c>
    </row>
    <row r="453" spans="1:2" x14ac:dyDescent="0.25">
      <c r="A453" s="65">
        <v>452</v>
      </c>
      <c r="B453" s="139">
        <v>28666452.500080805</v>
      </c>
    </row>
    <row r="454" spans="1:2" x14ac:dyDescent="0.25">
      <c r="A454" s="65">
        <v>453</v>
      </c>
      <c r="B454" s="139">
        <v>28649094.455573078</v>
      </c>
    </row>
    <row r="455" spans="1:2" x14ac:dyDescent="0.25">
      <c r="A455" s="65">
        <v>454</v>
      </c>
      <c r="B455" s="139">
        <v>29207028.42557928</v>
      </c>
    </row>
    <row r="456" spans="1:2" x14ac:dyDescent="0.25">
      <c r="A456" s="65">
        <v>455</v>
      </c>
      <c r="B456" s="139">
        <v>29508158.492030896</v>
      </c>
    </row>
    <row r="457" spans="1:2" x14ac:dyDescent="0.25">
      <c r="A457" s="65">
        <v>456</v>
      </c>
      <c r="B457" s="139">
        <v>29001299.17594054</v>
      </c>
    </row>
    <row r="458" spans="1:2" x14ac:dyDescent="0.25">
      <c r="A458" s="65">
        <v>457</v>
      </c>
      <c r="B458" s="139">
        <v>28588102.910973076</v>
      </c>
    </row>
    <row r="459" spans="1:2" x14ac:dyDescent="0.25">
      <c r="A459" s="65">
        <v>458</v>
      </c>
      <c r="B459" s="139">
        <v>29147194.975362498</v>
      </c>
    </row>
    <row r="460" spans="1:2" x14ac:dyDescent="0.25">
      <c r="A460" s="65">
        <v>459</v>
      </c>
      <c r="B460" s="139">
        <v>29430931.285955962</v>
      </c>
    </row>
    <row r="461" spans="1:2" x14ac:dyDescent="0.25">
      <c r="A461" s="65">
        <v>460</v>
      </c>
      <c r="B461" s="139">
        <v>30560553.424535356</v>
      </c>
    </row>
    <row r="462" spans="1:2" x14ac:dyDescent="0.25">
      <c r="A462" s="65">
        <v>461</v>
      </c>
      <c r="B462" s="139">
        <v>29519621.930971298</v>
      </c>
    </row>
    <row r="463" spans="1:2" x14ac:dyDescent="0.25">
      <c r="A463" s="65">
        <v>462</v>
      </c>
      <c r="B463" s="139">
        <v>29093645.063781198</v>
      </c>
    </row>
    <row r="464" spans="1:2" x14ac:dyDescent="0.25">
      <c r="A464" s="65">
        <v>463</v>
      </c>
      <c r="B464" s="139">
        <v>28737842.384443402</v>
      </c>
    </row>
    <row r="465" spans="1:2" x14ac:dyDescent="0.25">
      <c r="A465" s="65">
        <v>464</v>
      </c>
      <c r="B465" s="139">
        <v>28594296.597839266</v>
      </c>
    </row>
    <row r="466" spans="1:2" x14ac:dyDescent="0.25">
      <c r="A466" s="65">
        <v>465</v>
      </c>
      <c r="B466" s="139">
        <v>29204054.952310216</v>
      </c>
    </row>
    <row r="467" spans="1:2" x14ac:dyDescent="0.25">
      <c r="A467" s="65">
        <v>466</v>
      </c>
      <c r="B467" s="139">
        <v>28664510.630189858</v>
      </c>
    </row>
    <row r="468" spans="1:2" x14ac:dyDescent="0.25">
      <c r="A468" s="65">
        <v>467</v>
      </c>
      <c r="B468" s="139">
        <v>28989334.488985013</v>
      </c>
    </row>
    <row r="469" spans="1:2" x14ac:dyDescent="0.25">
      <c r="A469" s="65">
        <v>468</v>
      </c>
      <c r="B469" s="139">
        <v>29981314.810082007</v>
      </c>
    </row>
    <row r="470" spans="1:2" x14ac:dyDescent="0.25">
      <c r="A470" s="65">
        <v>469</v>
      </c>
      <c r="B470" s="139">
        <v>28947598.333075639</v>
      </c>
    </row>
    <row r="471" spans="1:2" x14ac:dyDescent="0.25">
      <c r="A471" s="65">
        <v>470</v>
      </c>
      <c r="B471" s="139">
        <v>28993881.106170423</v>
      </c>
    </row>
    <row r="472" spans="1:2" x14ac:dyDescent="0.25">
      <c r="A472" s="65">
        <v>471</v>
      </c>
      <c r="B472" s="139">
        <v>29147773.452821366</v>
      </c>
    </row>
    <row r="473" spans="1:2" x14ac:dyDescent="0.25">
      <c r="A473" s="65">
        <v>472</v>
      </c>
      <c r="B473" s="139">
        <v>28927118.9164326</v>
      </c>
    </row>
    <row r="474" spans="1:2" x14ac:dyDescent="0.25">
      <c r="A474" s="65">
        <v>473</v>
      </c>
      <c r="B474" s="139">
        <v>28817360.24104264</v>
      </c>
    </row>
    <row r="475" spans="1:2" x14ac:dyDescent="0.25">
      <c r="A475" s="65">
        <v>474</v>
      </c>
      <c r="B475" s="139">
        <v>28940003.278991047</v>
      </c>
    </row>
    <row r="476" spans="1:2" x14ac:dyDescent="0.25">
      <c r="A476" s="65">
        <v>475</v>
      </c>
      <c r="B476" s="139">
        <v>28568038.541758079</v>
      </c>
    </row>
    <row r="477" spans="1:2" x14ac:dyDescent="0.25">
      <c r="A477" s="65">
        <v>476</v>
      </c>
      <c r="B477" s="139">
        <v>30230051.981354799</v>
      </c>
    </row>
    <row r="478" spans="1:2" x14ac:dyDescent="0.25">
      <c r="A478" s="65">
        <v>477</v>
      </c>
      <c r="B478" s="139">
        <v>29491437.285681326</v>
      </c>
    </row>
    <row r="479" spans="1:2" x14ac:dyDescent="0.25">
      <c r="A479" s="65">
        <v>478</v>
      </c>
      <c r="B479" s="139">
        <v>30142165.02124067</v>
      </c>
    </row>
    <row r="480" spans="1:2" x14ac:dyDescent="0.25">
      <c r="A480" s="65">
        <v>479</v>
      </c>
      <c r="B480" s="139">
        <v>30516187.456206691</v>
      </c>
    </row>
    <row r="481" spans="1:2" x14ac:dyDescent="0.25">
      <c r="A481" s="65">
        <v>480</v>
      </c>
      <c r="B481" s="139">
        <v>28847901.936167836</v>
      </c>
    </row>
    <row r="482" spans="1:2" x14ac:dyDescent="0.25">
      <c r="A482" s="65">
        <v>481</v>
      </c>
      <c r="B482" s="139">
        <v>34578107.900946222</v>
      </c>
    </row>
    <row r="483" spans="1:2" x14ac:dyDescent="0.25">
      <c r="A483" s="65">
        <v>482</v>
      </c>
      <c r="B483" s="139">
        <v>28911736.480765369</v>
      </c>
    </row>
    <row r="484" spans="1:2" x14ac:dyDescent="0.25">
      <c r="A484" s="65">
        <v>483</v>
      </c>
      <c r="B484" s="139">
        <v>29988332.728775993</v>
      </c>
    </row>
    <row r="485" spans="1:2" x14ac:dyDescent="0.25">
      <c r="A485" s="65">
        <v>484</v>
      </c>
      <c r="B485" s="139">
        <v>30620751.028800819</v>
      </c>
    </row>
    <row r="486" spans="1:2" x14ac:dyDescent="0.25">
      <c r="A486" s="65">
        <v>485</v>
      </c>
      <c r="B486" s="139">
        <v>28764734.874426804</v>
      </c>
    </row>
    <row r="487" spans="1:2" x14ac:dyDescent="0.25">
      <c r="A487" s="65">
        <v>486</v>
      </c>
      <c r="B487" s="139">
        <v>28932248.003737416</v>
      </c>
    </row>
    <row r="488" spans="1:2" x14ac:dyDescent="0.25">
      <c r="A488" s="65">
        <v>487</v>
      </c>
      <c r="B488" s="139">
        <v>28797470.007800989</v>
      </c>
    </row>
    <row r="489" spans="1:2" x14ac:dyDescent="0.25">
      <c r="A489" s="65">
        <v>488</v>
      </c>
      <c r="B489" s="139">
        <v>28800571.677410748</v>
      </c>
    </row>
    <row r="490" spans="1:2" x14ac:dyDescent="0.25">
      <c r="A490" s="65">
        <v>489</v>
      </c>
      <c r="B490" s="139">
        <v>29252055.275306135</v>
      </c>
    </row>
    <row r="491" spans="1:2" x14ac:dyDescent="0.25">
      <c r="A491" s="65">
        <v>490</v>
      </c>
      <c r="B491" s="139">
        <v>29219294.57462737</v>
      </c>
    </row>
    <row r="492" spans="1:2" x14ac:dyDescent="0.25">
      <c r="A492" s="65">
        <v>491</v>
      </c>
      <c r="B492" s="139">
        <v>29781864.112383794</v>
      </c>
    </row>
    <row r="493" spans="1:2" x14ac:dyDescent="0.25">
      <c r="A493" s="65">
        <v>492</v>
      </c>
      <c r="B493" s="139">
        <v>30420736.80793703</v>
      </c>
    </row>
    <row r="494" spans="1:2" x14ac:dyDescent="0.25">
      <c r="A494" s="65">
        <v>493</v>
      </c>
      <c r="B494" s="139">
        <v>28942146.287163936</v>
      </c>
    </row>
    <row r="495" spans="1:2" x14ac:dyDescent="0.25">
      <c r="A495" s="65">
        <v>494</v>
      </c>
      <c r="B495" s="139">
        <v>28413639.547799096</v>
      </c>
    </row>
    <row r="496" spans="1:2" x14ac:dyDescent="0.25">
      <c r="A496" s="65">
        <v>495</v>
      </c>
      <c r="B496" s="139">
        <v>28579453.037207596</v>
      </c>
    </row>
    <row r="497" spans="1:2" x14ac:dyDescent="0.25">
      <c r="A497" s="65">
        <v>496</v>
      </c>
      <c r="B497" s="139">
        <v>32961120.005564339</v>
      </c>
    </row>
    <row r="498" spans="1:2" x14ac:dyDescent="0.25">
      <c r="A498" s="65">
        <v>497</v>
      </c>
      <c r="B498" s="139">
        <v>29162841.30332429</v>
      </c>
    </row>
    <row r="499" spans="1:2" x14ac:dyDescent="0.25">
      <c r="A499" s="65">
        <v>498</v>
      </c>
      <c r="B499" s="139">
        <v>28978647.768303465</v>
      </c>
    </row>
    <row r="500" spans="1:2" x14ac:dyDescent="0.25">
      <c r="A500" s="65">
        <v>499</v>
      </c>
      <c r="B500" s="139">
        <v>28524344.972634848</v>
      </c>
    </row>
    <row r="501" spans="1:2" x14ac:dyDescent="0.25">
      <c r="A501" s="65">
        <v>500</v>
      </c>
      <c r="B501" s="139">
        <v>30599731.313693877</v>
      </c>
    </row>
    <row r="502" spans="1:2" x14ac:dyDescent="0.25">
      <c r="A502" s="65">
        <v>501</v>
      </c>
      <c r="B502" s="139">
        <v>28726088.208852619</v>
      </c>
    </row>
    <row r="503" spans="1:2" x14ac:dyDescent="0.25">
      <c r="A503" s="65">
        <v>502</v>
      </c>
      <c r="B503" s="139">
        <v>28923622.321747612</v>
      </c>
    </row>
    <row r="504" spans="1:2" x14ac:dyDescent="0.25">
      <c r="A504" s="65">
        <v>503</v>
      </c>
      <c r="B504" s="139">
        <v>29821356.322547853</v>
      </c>
    </row>
    <row r="505" spans="1:2" x14ac:dyDescent="0.25">
      <c r="A505" s="65">
        <v>504</v>
      </c>
      <c r="B505" s="139">
        <v>28543852.436224684</v>
      </c>
    </row>
    <row r="506" spans="1:2" x14ac:dyDescent="0.25">
      <c r="A506" s="65">
        <v>505</v>
      </c>
      <c r="B506" s="139">
        <v>29502179.909863576</v>
      </c>
    </row>
    <row r="507" spans="1:2" x14ac:dyDescent="0.25">
      <c r="A507" s="65">
        <v>506</v>
      </c>
      <c r="B507" s="139">
        <v>28575247.164677974</v>
      </c>
    </row>
    <row r="508" spans="1:2" x14ac:dyDescent="0.25">
      <c r="A508" s="65">
        <v>507</v>
      </c>
      <c r="B508" s="139">
        <v>28580771.87185315</v>
      </c>
    </row>
    <row r="509" spans="1:2" x14ac:dyDescent="0.25">
      <c r="A509" s="65">
        <v>508</v>
      </c>
      <c r="B509" s="139">
        <v>28860185.759424139</v>
      </c>
    </row>
    <row r="510" spans="1:2" x14ac:dyDescent="0.25">
      <c r="A510" s="65">
        <v>509</v>
      </c>
      <c r="B510" s="139">
        <v>28881166.056021791</v>
      </c>
    </row>
    <row r="511" spans="1:2" x14ac:dyDescent="0.25">
      <c r="A511" s="65">
        <v>510</v>
      </c>
      <c r="B511" s="139">
        <v>28984280.600679841</v>
      </c>
    </row>
    <row r="512" spans="1:2" x14ac:dyDescent="0.25">
      <c r="A512" s="65">
        <v>511</v>
      </c>
      <c r="B512" s="139">
        <v>29093869.762824766</v>
      </c>
    </row>
    <row r="513" spans="1:2" x14ac:dyDescent="0.25">
      <c r="A513" s="65">
        <v>512</v>
      </c>
      <c r="B513" s="139">
        <v>30498047.930531595</v>
      </c>
    </row>
    <row r="514" spans="1:2" x14ac:dyDescent="0.25">
      <c r="A514" s="65">
        <v>513</v>
      </c>
      <c r="B514" s="139">
        <v>28974658.399280079</v>
      </c>
    </row>
    <row r="515" spans="1:2" x14ac:dyDescent="0.25">
      <c r="A515" s="65">
        <v>514</v>
      </c>
      <c r="B515" s="139">
        <v>28535293.787562694</v>
      </c>
    </row>
    <row r="516" spans="1:2" x14ac:dyDescent="0.25">
      <c r="A516" s="65">
        <v>515</v>
      </c>
      <c r="B516" s="139">
        <v>29266938.558847457</v>
      </c>
    </row>
    <row r="517" spans="1:2" x14ac:dyDescent="0.25">
      <c r="A517" s="65">
        <v>516</v>
      </c>
      <c r="B517" s="139">
        <v>29653985.888433147</v>
      </c>
    </row>
    <row r="518" spans="1:2" x14ac:dyDescent="0.25">
      <c r="A518" s="65">
        <v>517</v>
      </c>
      <c r="B518" s="139">
        <v>29494434.663669702</v>
      </c>
    </row>
    <row r="519" spans="1:2" x14ac:dyDescent="0.25">
      <c r="A519" s="65">
        <v>518</v>
      </c>
      <c r="B519" s="139">
        <v>29266236.856897026</v>
      </c>
    </row>
    <row r="520" spans="1:2" x14ac:dyDescent="0.25">
      <c r="A520" s="65">
        <v>519</v>
      </c>
      <c r="B520" s="139">
        <v>30702803.948859196</v>
      </c>
    </row>
    <row r="521" spans="1:2" x14ac:dyDescent="0.25">
      <c r="A521" s="65">
        <v>520</v>
      </c>
      <c r="B521" s="139">
        <v>28642741.020366114</v>
      </c>
    </row>
    <row r="522" spans="1:2" x14ac:dyDescent="0.25">
      <c r="A522" s="65">
        <v>521</v>
      </c>
      <c r="B522" s="139">
        <v>28710532.069697306</v>
      </c>
    </row>
    <row r="523" spans="1:2" x14ac:dyDescent="0.25">
      <c r="A523" s="65">
        <v>522</v>
      </c>
      <c r="B523" s="139">
        <v>28605613.328088108</v>
      </c>
    </row>
    <row r="524" spans="1:2" x14ac:dyDescent="0.25">
      <c r="A524" s="65">
        <v>523</v>
      </c>
      <c r="B524" s="139">
        <v>28598855.744274732</v>
      </c>
    </row>
    <row r="525" spans="1:2" x14ac:dyDescent="0.25">
      <c r="A525" s="65">
        <v>524</v>
      </c>
      <c r="B525" s="139">
        <v>29871101.143796895</v>
      </c>
    </row>
    <row r="526" spans="1:2" x14ac:dyDescent="0.25">
      <c r="A526" s="65">
        <v>525</v>
      </c>
      <c r="B526" s="139">
        <v>28842642.490148131</v>
      </c>
    </row>
    <row r="527" spans="1:2" x14ac:dyDescent="0.25">
      <c r="A527" s="65">
        <v>526</v>
      </c>
      <c r="B527" s="139">
        <v>29302754.711125866</v>
      </c>
    </row>
    <row r="528" spans="1:2" x14ac:dyDescent="0.25">
      <c r="A528" s="65">
        <v>527</v>
      </c>
      <c r="B528" s="139">
        <v>28727795.825741719</v>
      </c>
    </row>
    <row r="529" spans="1:2" x14ac:dyDescent="0.25">
      <c r="A529" s="65">
        <v>528</v>
      </c>
      <c r="B529" s="139">
        <v>29892761.644232545</v>
      </c>
    </row>
    <row r="530" spans="1:2" x14ac:dyDescent="0.25">
      <c r="A530" s="65">
        <v>529</v>
      </c>
      <c r="B530" s="139">
        <v>28955464.716823503</v>
      </c>
    </row>
    <row r="531" spans="1:2" x14ac:dyDescent="0.25">
      <c r="A531" s="65">
        <v>530</v>
      </c>
      <c r="B531" s="139">
        <v>28795098.309892673</v>
      </c>
    </row>
    <row r="532" spans="1:2" x14ac:dyDescent="0.25">
      <c r="A532" s="65">
        <v>531</v>
      </c>
      <c r="B532" s="139">
        <v>28731154.005072586</v>
      </c>
    </row>
    <row r="533" spans="1:2" x14ac:dyDescent="0.25">
      <c r="A533" s="65">
        <v>532</v>
      </c>
      <c r="B533" s="139">
        <v>28828789.557484098</v>
      </c>
    </row>
    <row r="534" spans="1:2" x14ac:dyDescent="0.25">
      <c r="A534" s="65">
        <v>533</v>
      </c>
      <c r="B534" s="139">
        <v>29219871.766723108</v>
      </c>
    </row>
    <row r="535" spans="1:2" x14ac:dyDescent="0.25">
      <c r="A535" s="65">
        <v>534</v>
      </c>
      <c r="B535" s="139">
        <v>28656423.178786829</v>
      </c>
    </row>
    <row r="536" spans="1:2" x14ac:dyDescent="0.25">
      <c r="A536" s="65">
        <v>535</v>
      </c>
      <c r="B536" s="139">
        <v>30062445.237126857</v>
      </c>
    </row>
    <row r="537" spans="1:2" x14ac:dyDescent="0.25">
      <c r="A537" s="65">
        <v>536</v>
      </c>
      <c r="B537" s="139">
        <v>30726791.71934171</v>
      </c>
    </row>
    <row r="538" spans="1:2" x14ac:dyDescent="0.25">
      <c r="A538" s="65">
        <v>537</v>
      </c>
      <c r="B538" s="139">
        <v>29676689.415251128</v>
      </c>
    </row>
    <row r="539" spans="1:2" x14ac:dyDescent="0.25">
      <c r="A539" s="65">
        <v>538</v>
      </c>
      <c r="B539" s="139">
        <v>28449540.603131894</v>
      </c>
    </row>
    <row r="540" spans="1:2" x14ac:dyDescent="0.25">
      <c r="A540" s="65">
        <v>539</v>
      </c>
      <c r="B540" s="139">
        <v>29149212.714508243</v>
      </c>
    </row>
    <row r="541" spans="1:2" x14ac:dyDescent="0.25">
      <c r="A541" s="65">
        <v>540</v>
      </c>
      <c r="B541" s="139">
        <v>28946144.251681939</v>
      </c>
    </row>
    <row r="542" spans="1:2" x14ac:dyDescent="0.25">
      <c r="A542" s="65">
        <v>541</v>
      </c>
      <c r="B542" s="139">
        <v>30253978.183047827</v>
      </c>
    </row>
    <row r="543" spans="1:2" x14ac:dyDescent="0.25">
      <c r="A543" s="65">
        <v>542</v>
      </c>
      <c r="B543" s="139">
        <v>29940103.927817326</v>
      </c>
    </row>
    <row r="544" spans="1:2" x14ac:dyDescent="0.25">
      <c r="A544" s="65">
        <v>543</v>
      </c>
      <c r="B544" s="139">
        <v>28744737.066409845</v>
      </c>
    </row>
    <row r="545" spans="1:2" x14ac:dyDescent="0.25">
      <c r="A545" s="65">
        <v>544</v>
      </c>
      <c r="B545" s="139">
        <v>29326648.748438746</v>
      </c>
    </row>
    <row r="546" spans="1:2" x14ac:dyDescent="0.25">
      <c r="A546" s="65">
        <v>545</v>
      </c>
      <c r="B546" s="139">
        <v>29034153.056547649</v>
      </c>
    </row>
    <row r="547" spans="1:2" x14ac:dyDescent="0.25">
      <c r="A547" s="65">
        <v>546</v>
      </c>
      <c r="B547" s="139">
        <v>28935552.313655276</v>
      </c>
    </row>
    <row r="548" spans="1:2" x14ac:dyDescent="0.25">
      <c r="A548" s="65">
        <v>547</v>
      </c>
      <c r="B548" s="139">
        <v>29439193.859070897</v>
      </c>
    </row>
    <row r="549" spans="1:2" x14ac:dyDescent="0.25">
      <c r="A549" s="65">
        <v>548</v>
      </c>
      <c r="B549" s="139">
        <v>28602078.160051461</v>
      </c>
    </row>
    <row r="550" spans="1:2" x14ac:dyDescent="0.25">
      <c r="A550" s="65">
        <v>549</v>
      </c>
      <c r="B550" s="139">
        <v>28821239.53582298</v>
      </c>
    </row>
    <row r="551" spans="1:2" x14ac:dyDescent="0.25">
      <c r="A551" s="65">
        <v>550</v>
      </c>
      <c r="B551" s="139">
        <v>28524008.191202454</v>
      </c>
    </row>
    <row r="552" spans="1:2" x14ac:dyDescent="0.25">
      <c r="A552" s="65">
        <v>551</v>
      </c>
      <c r="B552" s="139">
        <v>29047828.020767339</v>
      </c>
    </row>
    <row r="553" spans="1:2" x14ac:dyDescent="0.25">
      <c r="A553" s="65">
        <v>552</v>
      </c>
      <c r="B553" s="139">
        <v>29071062.297217242</v>
      </c>
    </row>
    <row r="554" spans="1:2" x14ac:dyDescent="0.25">
      <c r="A554" s="65">
        <v>553</v>
      </c>
      <c r="B554" s="139">
        <v>28912632.375185248</v>
      </c>
    </row>
    <row r="555" spans="1:2" x14ac:dyDescent="0.25">
      <c r="A555" s="65">
        <v>554</v>
      </c>
      <c r="B555" s="139">
        <v>30093598.218697879</v>
      </c>
    </row>
    <row r="556" spans="1:2" x14ac:dyDescent="0.25">
      <c r="A556" s="65">
        <v>555</v>
      </c>
      <c r="B556" s="139">
        <v>29246840.922483742</v>
      </c>
    </row>
    <row r="557" spans="1:2" x14ac:dyDescent="0.25">
      <c r="A557" s="65">
        <v>556</v>
      </c>
      <c r="B557" s="139">
        <v>28258860.697334427</v>
      </c>
    </row>
    <row r="558" spans="1:2" x14ac:dyDescent="0.25">
      <c r="A558" s="65">
        <v>557</v>
      </c>
      <c r="B558" s="139">
        <v>29045920.888408277</v>
      </c>
    </row>
    <row r="559" spans="1:2" x14ac:dyDescent="0.25">
      <c r="A559" s="65">
        <v>558</v>
      </c>
      <c r="B559" s="139">
        <v>29043300.415486474</v>
      </c>
    </row>
    <row r="560" spans="1:2" x14ac:dyDescent="0.25">
      <c r="A560" s="65">
        <v>559</v>
      </c>
      <c r="B560" s="139">
        <v>30285799.908040531</v>
      </c>
    </row>
    <row r="561" spans="1:2" x14ac:dyDescent="0.25">
      <c r="A561" s="65">
        <v>560</v>
      </c>
      <c r="B561" s="139">
        <v>29145125.70757914</v>
      </c>
    </row>
    <row r="562" spans="1:2" x14ac:dyDescent="0.25">
      <c r="A562" s="65">
        <v>561</v>
      </c>
      <c r="B562" s="139">
        <v>29287883.938835654</v>
      </c>
    </row>
    <row r="563" spans="1:2" x14ac:dyDescent="0.25">
      <c r="A563" s="65">
        <v>562</v>
      </c>
      <c r="B563" s="139">
        <v>29249679.694365896</v>
      </c>
    </row>
    <row r="564" spans="1:2" x14ac:dyDescent="0.25">
      <c r="A564" s="65">
        <v>563</v>
      </c>
      <c r="B564" s="139">
        <v>28699674.571135033</v>
      </c>
    </row>
    <row r="565" spans="1:2" x14ac:dyDescent="0.25">
      <c r="A565" s="65">
        <v>564</v>
      </c>
      <c r="B565" s="139">
        <v>29688433.506594718</v>
      </c>
    </row>
    <row r="566" spans="1:2" x14ac:dyDescent="0.25">
      <c r="A566" s="65">
        <v>565</v>
      </c>
      <c r="B566" s="139">
        <v>28777310.339493349</v>
      </c>
    </row>
    <row r="567" spans="1:2" x14ac:dyDescent="0.25">
      <c r="A567" s="65">
        <v>566</v>
      </c>
      <c r="B567" s="139">
        <v>30003624.338681195</v>
      </c>
    </row>
    <row r="568" spans="1:2" x14ac:dyDescent="0.25">
      <c r="A568" s="65">
        <v>567</v>
      </c>
      <c r="B568" s="139">
        <v>28643743.838492427</v>
      </c>
    </row>
    <row r="569" spans="1:2" x14ac:dyDescent="0.25">
      <c r="A569" s="65">
        <v>568</v>
      </c>
      <c r="B569" s="139">
        <v>28629873.840431996</v>
      </c>
    </row>
    <row r="570" spans="1:2" x14ac:dyDescent="0.25">
      <c r="A570" s="65">
        <v>569</v>
      </c>
      <c r="B570" s="139">
        <v>28892016.965071421</v>
      </c>
    </row>
    <row r="571" spans="1:2" x14ac:dyDescent="0.25">
      <c r="A571" s="65">
        <v>570</v>
      </c>
      <c r="B571" s="139">
        <v>29080916.771843962</v>
      </c>
    </row>
    <row r="572" spans="1:2" x14ac:dyDescent="0.25">
      <c r="A572" s="65">
        <v>571</v>
      </c>
      <c r="B572" s="139">
        <v>29755636.229401294</v>
      </c>
    </row>
    <row r="573" spans="1:2" x14ac:dyDescent="0.25">
      <c r="A573" s="65">
        <v>572</v>
      </c>
      <c r="B573" s="139">
        <v>29815990.053226814</v>
      </c>
    </row>
    <row r="574" spans="1:2" x14ac:dyDescent="0.25">
      <c r="A574" s="65">
        <v>573</v>
      </c>
      <c r="B574" s="139">
        <v>29831436.003271285</v>
      </c>
    </row>
    <row r="575" spans="1:2" x14ac:dyDescent="0.25">
      <c r="A575" s="65">
        <v>574</v>
      </c>
      <c r="B575" s="139">
        <v>29164170.043711185</v>
      </c>
    </row>
    <row r="576" spans="1:2" x14ac:dyDescent="0.25">
      <c r="A576" s="65">
        <v>575</v>
      </c>
      <c r="B576" s="139">
        <v>30602047.503636256</v>
      </c>
    </row>
    <row r="577" spans="1:2" x14ac:dyDescent="0.25">
      <c r="A577" s="65">
        <v>576</v>
      </c>
      <c r="B577" s="139">
        <v>29062097.254853152</v>
      </c>
    </row>
    <row r="578" spans="1:2" x14ac:dyDescent="0.25">
      <c r="A578" s="65">
        <v>577</v>
      </c>
      <c r="B578" s="139">
        <v>29518642.596696172</v>
      </c>
    </row>
    <row r="579" spans="1:2" x14ac:dyDescent="0.25">
      <c r="A579" s="65">
        <v>578</v>
      </c>
      <c r="B579" s="139">
        <v>28488007.871762346</v>
      </c>
    </row>
    <row r="580" spans="1:2" x14ac:dyDescent="0.25">
      <c r="A580" s="65">
        <v>579</v>
      </c>
      <c r="B580" s="139">
        <v>29095463.923714858</v>
      </c>
    </row>
    <row r="581" spans="1:2" x14ac:dyDescent="0.25">
      <c r="A581" s="65">
        <v>580</v>
      </c>
      <c r="B581" s="139">
        <v>28761502.781035528</v>
      </c>
    </row>
    <row r="582" spans="1:2" x14ac:dyDescent="0.25">
      <c r="A582" s="65">
        <v>581</v>
      </c>
      <c r="B582" s="139">
        <v>28817792.41200595</v>
      </c>
    </row>
    <row r="583" spans="1:2" x14ac:dyDescent="0.25">
      <c r="A583" s="65">
        <v>582</v>
      </c>
      <c r="B583" s="139">
        <v>28777476.792512897</v>
      </c>
    </row>
    <row r="584" spans="1:2" x14ac:dyDescent="0.25">
      <c r="A584" s="65">
        <v>583</v>
      </c>
      <c r="B584" s="139">
        <v>29482993.741114225</v>
      </c>
    </row>
    <row r="585" spans="1:2" x14ac:dyDescent="0.25">
      <c r="A585" s="65">
        <v>584</v>
      </c>
      <c r="B585" s="139">
        <v>29238604.599459015</v>
      </c>
    </row>
    <row r="586" spans="1:2" x14ac:dyDescent="0.25">
      <c r="A586" s="65">
        <v>585</v>
      </c>
      <c r="B586" s="139">
        <v>29234373.741874263</v>
      </c>
    </row>
    <row r="587" spans="1:2" x14ac:dyDescent="0.25">
      <c r="A587" s="65">
        <v>586</v>
      </c>
      <c r="B587" s="139">
        <v>28652022.563713796</v>
      </c>
    </row>
    <row r="588" spans="1:2" x14ac:dyDescent="0.25">
      <c r="A588" s="65">
        <v>587</v>
      </c>
      <c r="B588" s="139">
        <v>28799788.500042826</v>
      </c>
    </row>
    <row r="589" spans="1:2" x14ac:dyDescent="0.25">
      <c r="A589" s="65">
        <v>588</v>
      </c>
      <c r="B589" s="139">
        <v>29301852.724968586</v>
      </c>
    </row>
    <row r="590" spans="1:2" x14ac:dyDescent="0.25">
      <c r="A590" s="65">
        <v>589</v>
      </c>
      <c r="B590" s="139">
        <v>30349923.606241953</v>
      </c>
    </row>
    <row r="591" spans="1:2" x14ac:dyDescent="0.25">
      <c r="A591" s="65">
        <v>590</v>
      </c>
      <c r="B591" s="139">
        <v>28578275.272595882</v>
      </c>
    </row>
    <row r="592" spans="1:2" x14ac:dyDescent="0.25">
      <c r="A592" s="65">
        <v>591</v>
      </c>
      <c r="B592" s="139">
        <v>28335556.032210052</v>
      </c>
    </row>
    <row r="593" spans="1:2" x14ac:dyDescent="0.25">
      <c r="A593" s="65">
        <v>592</v>
      </c>
      <c r="B593" s="139">
        <v>30165045.314468421</v>
      </c>
    </row>
    <row r="594" spans="1:2" x14ac:dyDescent="0.25">
      <c r="A594" s="65">
        <v>593</v>
      </c>
      <c r="B594" s="139">
        <v>29891552.486407634</v>
      </c>
    </row>
    <row r="595" spans="1:2" x14ac:dyDescent="0.25">
      <c r="A595" s="65">
        <v>594</v>
      </c>
      <c r="B595" s="139">
        <v>28975592.356336229</v>
      </c>
    </row>
    <row r="596" spans="1:2" x14ac:dyDescent="0.25">
      <c r="A596" s="65">
        <v>595</v>
      </c>
      <c r="B596" s="139">
        <v>29180918.146095376</v>
      </c>
    </row>
    <row r="597" spans="1:2" x14ac:dyDescent="0.25">
      <c r="A597" s="65">
        <v>596</v>
      </c>
      <c r="B597" s="139">
        <v>30462087.293938149</v>
      </c>
    </row>
    <row r="598" spans="1:2" x14ac:dyDescent="0.25">
      <c r="A598" s="65">
        <v>597</v>
      </c>
      <c r="B598" s="139">
        <v>28877495.900737278</v>
      </c>
    </row>
    <row r="599" spans="1:2" x14ac:dyDescent="0.25">
      <c r="A599" s="65">
        <v>598</v>
      </c>
      <c r="B599" s="139">
        <v>28688542.474680919</v>
      </c>
    </row>
    <row r="600" spans="1:2" x14ac:dyDescent="0.25">
      <c r="A600" s="65">
        <v>599</v>
      </c>
      <c r="B600" s="139">
        <v>28753078.903285768</v>
      </c>
    </row>
    <row r="601" spans="1:2" x14ac:dyDescent="0.25">
      <c r="A601" s="65">
        <v>600</v>
      </c>
      <c r="B601" s="139">
        <v>28601163.633483388</v>
      </c>
    </row>
    <row r="602" spans="1:2" x14ac:dyDescent="0.25">
      <c r="A602" s="65">
        <v>601</v>
      </c>
      <c r="B602" s="139">
        <v>30666683.686442349</v>
      </c>
    </row>
    <row r="603" spans="1:2" x14ac:dyDescent="0.25">
      <c r="A603" s="65">
        <v>602</v>
      </c>
      <c r="B603" s="139">
        <v>29302351.07551036</v>
      </c>
    </row>
    <row r="604" spans="1:2" x14ac:dyDescent="0.25">
      <c r="A604" s="65">
        <v>603</v>
      </c>
      <c r="B604" s="139">
        <v>28780649.580425419</v>
      </c>
    </row>
    <row r="605" spans="1:2" x14ac:dyDescent="0.25">
      <c r="A605" s="65">
        <v>604</v>
      </c>
      <c r="B605" s="139">
        <v>28596178.509230468</v>
      </c>
    </row>
    <row r="606" spans="1:2" x14ac:dyDescent="0.25">
      <c r="A606" s="65">
        <v>605</v>
      </c>
      <c r="B606" s="139">
        <v>30328877.887305476</v>
      </c>
    </row>
    <row r="607" spans="1:2" x14ac:dyDescent="0.25">
      <c r="A607" s="65">
        <v>606</v>
      </c>
      <c r="B607" s="139">
        <v>29687830.97550118</v>
      </c>
    </row>
    <row r="608" spans="1:2" x14ac:dyDescent="0.25">
      <c r="A608" s="65">
        <v>607</v>
      </c>
      <c r="B608" s="139">
        <v>30201136.203736082</v>
      </c>
    </row>
    <row r="609" spans="1:2" x14ac:dyDescent="0.25">
      <c r="A609" s="65">
        <v>608</v>
      </c>
      <c r="B609" s="139">
        <v>28602151.812767114</v>
      </c>
    </row>
    <row r="610" spans="1:2" x14ac:dyDescent="0.25">
      <c r="A610" s="65">
        <v>609</v>
      </c>
      <c r="B610" s="139">
        <v>28707672.923520416</v>
      </c>
    </row>
    <row r="611" spans="1:2" x14ac:dyDescent="0.25">
      <c r="A611" s="65">
        <v>610</v>
      </c>
      <c r="B611" s="139">
        <v>29365350.134451464</v>
      </c>
    </row>
    <row r="612" spans="1:2" x14ac:dyDescent="0.25">
      <c r="A612" s="65">
        <v>611</v>
      </c>
      <c r="B612" s="139">
        <v>29341237.461422756</v>
      </c>
    </row>
    <row r="613" spans="1:2" x14ac:dyDescent="0.25">
      <c r="A613" s="65">
        <v>612</v>
      </c>
      <c r="B613" s="139">
        <v>30140743.783696506</v>
      </c>
    </row>
    <row r="614" spans="1:2" x14ac:dyDescent="0.25">
      <c r="A614" s="65">
        <v>613</v>
      </c>
      <c r="B614" s="139">
        <v>28712873.808049276</v>
      </c>
    </row>
    <row r="615" spans="1:2" x14ac:dyDescent="0.25">
      <c r="A615" s="65">
        <v>614</v>
      </c>
      <c r="B615" s="139">
        <v>29084621.464662299</v>
      </c>
    </row>
    <row r="616" spans="1:2" x14ac:dyDescent="0.25">
      <c r="A616" s="65">
        <v>615</v>
      </c>
      <c r="B616" s="139">
        <v>29313926.925580412</v>
      </c>
    </row>
    <row r="617" spans="1:2" x14ac:dyDescent="0.25">
      <c r="A617" s="65">
        <v>616</v>
      </c>
      <c r="B617" s="139">
        <v>28361751.130196691</v>
      </c>
    </row>
    <row r="618" spans="1:2" x14ac:dyDescent="0.25">
      <c r="A618" s="65">
        <v>617</v>
      </c>
      <c r="B618" s="139">
        <v>33556465.020431012</v>
      </c>
    </row>
    <row r="619" spans="1:2" x14ac:dyDescent="0.25">
      <c r="A619" s="65">
        <v>618</v>
      </c>
      <c r="B619" s="139">
        <v>28849084.814363707</v>
      </c>
    </row>
    <row r="620" spans="1:2" x14ac:dyDescent="0.25">
      <c r="A620" s="65">
        <v>619</v>
      </c>
      <c r="B620" s="139">
        <v>29512723.950448725</v>
      </c>
    </row>
    <row r="621" spans="1:2" x14ac:dyDescent="0.25">
      <c r="A621" s="65">
        <v>620</v>
      </c>
      <c r="B621" s="139">
        <v>29186029.093811009</v>
      </c>
    </row>
    <row r="622" spans="1:2" x14ac:dyDescent="0.25">
      <c r="A622" s="65">
        <v>621</v>
      </c>
      <c r="B622" s="139">
        <v>28849406.488466054</v>
      </c>
    </row>
    <row r="623" spans="1:2" x14ac:dyDescent="0.25">
      <c r="A623" s="65">
        <v>622</v>
      </c>
      <c r="B623" s="139">
        <v>33004702.549719866</v>
      </c>
    </row>
    <row r="624" spans="1:2" x14ac:dyDescent="0.25">
      <c r="A624" s="65">
        <v>623</v>
      </c>
      <c r="B624" s="139">
        <v>29305672.495599035</v>
      </c>
    </row>
    <row r="625" spans="1:2" x14ac:dyDescent="0.25">
      <c r="A625" s="65">
        <v>624</v>
      </c>
      <c r="B625" s="139">
        <v>29336926.339140922</v>
      </c>
    </row>
    <row r="626" spans="1:2" x14ac:dyDescent="0.25">
      <c r="A626" s="65">
        <v>625</v>
      </c>
      <c r="B626" s="139">
        <v>29449421.771633014</v>
      </c>
    </row>
    <row r="627" spans="1:2" x14ac:dyDescent="0.25">
      <c r="A627" s="65">
        <v>626</v>
      </c>
      <c r="B627" s="139">
        <v>32775836.48294178</v>
      </c>
    </row>
    <row r="628" spans="1:2" x14ac:dyDescent="0.25">
      <c r="A628" s="65">
        <v>627</v>
      </c>
      <c r="B628" s="139">
        <v>28791481.969924837</v>
      </c>
    </row>
    <row r="629" spans="1:2" x14ac:dyDescent="0.25">
      <c r="A629" s="65">
        <v>628</v>
      </c>
      <c r="B629" s="139">
        <v>29067343.725508105</v>
      </c>
    </row>
    <row r="630" spans="1:2" x14ac:dyDescent="0.25">
      <c r="A630" s="65">
        <v>629</v>
      </c>
      <c r="B630" s="139">
        <v>29709617.890717782</v>
      </c>
    </row>
    <row r="631" spans="1:2" x14ac:dyDescent="0.25">
      <c r="A631" s="65">
        <v>630</v>
      </c>
      <c r="B631" s="139">
        <v>29329966.415909078</v>
      </c>
    </row>
    <row r="632" spans="1:2" x14ac:dyDescent="0.25">
      <c r="A632" s="65">
        <v>631</v>
      </c>
      <c r="B632" s="139">
        <v>29695948.995005514</v>
      </c>
    </row>
    <row r="633" spans="1:2" x14ac:dyDescent="0.25">
      <c r="A633" s="65">
        <v>632</v>
      </c>
      <c r="B633" s="139">
        <v>28685152.765976377</v>
      </c>
    </row>
    <row r="634" spans="1:2" x14ac:dyDescent="0.25">
      <c r="A634" s="65">
        <v>633</v>
      </c>
      <c r="B634" s="139">
        <v>30235157.164107885</v>
      </c>
    </row>
    <row r="635" spans="1:2" x14ac:dyDescent="0.25">
      <c r="A635" s="65">
        <v>634</v>
      </c>
      <c r="B635" s="139">
        <v>29248217.531992931</v>
      </c>
    </row>
    <row r="636" spans="1:2" x14ac:dyDescent="0.25">
      <c r="A636" s="65">
        <v>635</v>
      </c>
      <c r="B636" s="139">
        <v>29408531.644946352</v>
      </c>
    </row>
    <row r="637" spans="1:2" x14ac:dyDescent="0.25">
      <c r="A637" s="65">
        <v>636</v>
      </c>
      <c r="B637" s="139">
        <v>29193137.211373251</v>
      </c>
    </row>
    <row r="638" spans="1:2" x14ac:dyDescent="0.25">
      <c r="A638" s="65">
        <v>637</v>
      </c>
      <c r="B638" s="139">
        <v>29645500.995516784</v>
      </c>
    </row>
    <row r="639" spans="1:2" x14ac:dyDescent="0.25">
      <c r="A639" s="65">
        <v>638</v>
      </c>
      <c r="B639" s="139">
        <v>29027692.077090856</v>
      </c>
    </row>
    <row r="640" spans="1:2" x14ac:dyDescent="0.25">
      <c r="A640" s="65">
        <v>639</v>
      </c>
      <c r="B640" s="139">
        <v>29013119.817776985</v>
      </c>
    </row>
    <row r="641" spans="1:2" x14ac:dyDescent="0.25">
      <c r="A641" s="65">
        <v>640</v>
      </c>
      <c r="B641" s="139">
        <v>29365298.837773979</v>
      </c>
    </row>
    <row r="642" spans="1:2" x14ac:dyDescent="0.25">
      <c r="A642" s="65">
        <v>641</v>
      </c>
      <c r="B642" s="139">
        <v>29482454.88705634</v>
      </c>
    </row>
    <row r="643" spans="1:2" x14ac:dyDescent="0.25">
      <c r="A643" s="65">
        <v>642</v>
      </c>
      <c r="B643" s="139">
        <v>29380192.221199516</v>
      </c>
    </row>
    <row r="644" spans="1:2" x14ac:dyDescent="0.25">
      <c r="A644" s="65">
        <v>643</v>
      </c>
      <c r="B644" s="139">
        <v>28768610.141808219</v>
      </c>
    </row>
    <row r="645" spans="1:2" x14ac:dyDescent="0.25">
      <c r="A645" s="65">
        <v>644</v>
      </c>
      <c r="B645" s="139">
        <v>28871757.86425722</v>
      </c>
    </row>
    <row r="646" spans="1:2" x14ac:dyDescent="0.25">
      <c r="A646" s="65">
        <v>645</v>
      </c>
      <c r="B646" s="139">
        <v>29288620.939485371</v>
      </c>
    </row>
    <row r="647" spans="1:2" x14ac:dyDescent="0.25">
      <c r="A647" s="65">
        <v>646</v>
      </c>
      <c r="B647" s="139">
        <v>28794430.572631255</v>
      </c>
    </row>
    <row r="648" spans="1:2" x14ac:dyDescent="0.25">
      <c r="A648" s="65">
        <v>647</v>
      </c>
      <c r="B648" s="139">
        <v>29517840.474939685</v>
      </c>
    </row>
    <row r="649" spans="1:2" x14ac:dyDescent="0.25">
      <c r="A649" s="65">
        <v>648</v>
      </c>
      <c r="B649" s="139">
        <v>28811755.160291199</v>
      </c>
    </row>
    <row r="650" spans="1:2" x14ac:dyDescent="0.25">
      <c r="A650" s="65">
        <v>649</v>
      </c>
      <c r="B650" s="139">
        <v>28599168.067147192</v>
      </c>
    </row>
    <row r="651" spans="1:2" x14ac:dyDescent="0.25">
      <c r="A651" s="65">
        <v>650</v>
      </c>
      <c r="B651" s="139">
        <v>33095847.13048574</v>
      </c>
    </row>
    <row r="652" spans="1:2" x14ac:dyDescent="0.25">
      <c r="A652" s="65">
        <v>651</v>
      </c>
      <c r="B652" s="139">
        <v>29202870.030535422</v>
      </c>
    </row>
    <row r="653" spans="1:2" x14ac:dyDescent="0.25">
      <c r="A653" s="65">
        <v>652</v>
      </c>
      <c r="B653" s="139">
        <v>28815983.488942295</v>
      </c>
    </row>
    <row r="654" spans="1:2" x14ac:dyDescent="0.25">
      <c r="A654" s="65">
        <v>653</v>
      </c>
      <c r="B654" s="139">
        <v>31188640.7222552</v>
      </c>
    </row>
    <row r="655" spans="1:2" x14ac:dyDescent="0.25">
      <c r="A655" s="65">
        <v>654</v>
      </c>
      <c r="B655" s="139">
        <v>29785418.337851614</v>
      </c>
    </row>
    <row r="656" spans="1:2" x14ac:dyDescent="0.25">
      <c r="A656" s="65">
        <v>655</v>
      </c>
      <c r="B656" s="139">
        <v>28988177.868347213</v>
      </c>
    </row>
    <row r="657" spans="1:2" x14ac:dyDescent="0.25">
      <c r="A657" s="65">
        <v>656</v>
      </c>
      <c r="B657" s="139">
        <v>28669430.966489822</v>
      </c>
    </row>
    <row r="658" spans="1:2" x14ac:dyDescent="0.25">
      <c r="A658" s="65">
        <v>657</v>
      </c>
      <c r="B658" s="139">
        <v>29117693.275239341</v>
      </c>
    </row>
    <row r="659" spans="1:2" x14ac:dyDescent="0.25">
      <c r="A659" s="65">
        <v>658</v>
      </c>
      <c r="B659" s="139">
        <v>29119888.980670657</v>
      </c>
    </row>
    <row r="660" spans="1:2" x14ac:dyDescent="0.25">
      <c r="A660" s="65">
        <v>659</v>
      </c>
      <c r="B660" s="139">
        <v>28838319.444286752</v>
      </c>
    </row>
    <row r="661" spans="1:2" x14ac:dyDescent="0.25">
      <c r="A661" s="65">
        <v>660</v>
      </c>
      <c r="B661" s="139">
        <v>30052819.500946887</v>
      </c>
    </row>
    <row r="662" spans="1:2" x14ac:dyDescent="0.25">
      <c r="A662" s="65">
        <v>661</v>
      </c>
      <c r="B662" s="139">
        <v>30309750.692448914</v>
      </c>
    </row>
    <row r="663" spans="1:2" x14ac:dyDescent="0.25">
      <c r="A663" s="65">
        <v>662</v>
      </c>
      <c r="B663" s="139">
        <v>29182441.626545444</v>
      </c>
    </row>
    <row r="664" spans="1:2" x14ac:dyDescent="0.25">
      <c r="A664" s="65">
        <v>663</v>
      </c>
      <c r="B664" s="139">
        <v>28448805.27771287</v>
      </c>
    </row>
    <row r="665" spans="1:2" x14ac:dyDescent="0.25">
      <c r="A665" s="65">
        <v>664</v>
      </c>
      <c r="B665" s="139">
        <v>30482051.565830506</v>
      </c>
    </row>
    <row r="666" spans="1:2" x14ac:dyDescent="0.25">
      <c r="A666" s="65">
        <v>665</v>
      </c>
      <c r="B666" s="139">
        <v>29243330.81438376</v>
      </c>
    </row>
    <row r="667" spans="1:2" x14ac:dyDescent="0.25">
      <c r="A667" s="65">
        <v>666</v>
      </c>
      <c r="B667" s="139">
        <v>30020376.121988531</v>
      </c>
    </row>
    <row r="668" spans="1:2" x14ac:dyDescent="0.25">
      <c r="A668" s="65">
        <v>667</v>
      </c>
      <c r="B668" s="139">
        <v>28720625.665382337</v>
      </c>
    </row>
    <row r="669" spans="1:2" x14ac:dyDescent="0.25">
      <c r="A669" s="65">
        <v>668</v>
      </c>
      <c r="B669" s="139">
        <v>28931360.206207272</v>
      </c>
    </row>
    <row r="670" spans="1:2" x14ac:dyDescent="0.25">
      <c r="A670" s="65">
        <v>669</v>
      </c>
      <c r="B670" s="139">
        <v>28665566.386903748</v>
      </c>
    </row>
    <row r="671" spans="1:2" x14ac:dyDescent="0.25">
      <c r="A671" s="65">
        <v>670</v>
      </c>
      <c r="B671" s="139">
        <v>28643163.398374885</v>
      </c>
    </row>
    <row r="672" spans="1:2" x14ac:dyDescent="0.25">
      <c r="A672" s="65">
        <v>671</v>
      </c>
      <c r="B672" s="139">
        <v>29042451.258584712</v>
      </c>
    </row>
    <row r="673" spans="1:2" x14ac:dyDescent="0.25">
      <c r="A673" s="65">
        <v>672</v>
      </c>
      <c r="B673" s="139">
        <v>28997388.169196349</v>
      </c>
    </row>
    <row r="674" spans="1:2" x14ac:dyDescent="0.25">
      <c r="A674" s="65">
        <v>673</v>
      </c>
      <c r="B674" s="139">
        <v>29373028.23677722</v>
      </c>
    </row>
    <row r="675" spans="1:2" x14ac:dyDescent="0.25">
      <c r="A675" s="65">
        <v>674</v>
      </c>
      <c r="B675" s="139">
        <v>28955965.520685889</v>
      </c>
    </row>
    <row r="676" spans="1:2" x14ac:dyDescent="0.25">
      <c r="A676" s="65">
        <v>675</v>
      </c>
      <c r="B676" s="139">
        <v>29170070.741179869</v>
      </c>
    </row>
    <row r="677" spans="1:2" x14ac:dyDescent="0.25">
      <c r="A677" s="65">
        <v>676</v>
      </c>
      <c r="B677" s="139">
        <v>28773708.410624776</v>
      </c>
    </row>
    <row r="678" spans="1:2" x14ac:dyDescent="0.25">
      <c r="A678" s="65">
        <v>677</v>
      </c>
      <c r="B678" s="139">
        <v>28687944.906086598</v>
      </c>
    </row>
    <row r="679" spans="1:2" x14ac:dyDescent="0.25">
      <c r="A679" s="65">
        <v>678</v>
      </c>
      <c r="B679" s="139">
        <v>28933168.005658973</v>
      </c>
    </row>
    <row r="680" spans="1:2" x14ac:dyDescent="0.25">
      <c r="A680" s="65">
        <v>679</v>
      </c>
      <c r="B680" s="139">
        <v>29662068.047220185</v>
      </c>
    </row>
    <row r="681" spans="1:2" x14ac:dyDescent="0.25">
      <c r="A681" s="65">
        <v>680</v>
      </c>
      <c r="B681" s="139">
        <v>30866542.685005609</v>
      </c>
    </row>
    <row r="682" spans="1:2" x14ac:dyDescent="0.25">
      <c r="A682" s="65">
        <v>681</v>
      </c>
      <c r="B682" s="139">
        <v>33133753.694897588</v>
      </c>
    </row>
    <row r="683" spans="1:2" x14ac:dyDescent="0.25">
      <c r="A683" s="65">
        <v>682</v>
      </c>
      <c r="B683" s="139">
        <v>29208495.61332345</v>
      </c>
    </row>
    <row r="684" spans="1:2" x14ac:dyDescent="0.25">
      <c r="A684" s="65">
        <v>683</v>
      </c>
      <c r="B684" s="139">
        <v>30026849.317909028</v>
      </c>
    </row>
    <row r="685" spans="1:2" x14ac:dyDescent="0.25">
      <c r="A685" s="65">
        <v>684</v>
      </c>
      <c r="B685" s="139">
        <v>28905907.832662687</v>
      </c>
    </row>
    <row r="686" spans="1:2" x14ac:dyDescent="0.25">
      <c r="A686" s="65">
        <v>685</v>
      </c>
      <c r="B686" s="139">
        <v>29795311.473865449</v>
      </c>
    </row>
    <row r="687" spans="1:2" x14ac:dyDescent="0.25">
      <c r="A687" s="65">
        <v>686</v>
      </c>
      <c r="B687" s="139">
        <v>29675976.97673934</v>
      </c>
    </row>
    <row r="688" spans="1:2" x14ac:dyDescent="0.25">
      <c r="A688" s="65">
        <v>687</v>
      </c>
      <c r="B688" s="139">
        <v>29265766.903989259</v>
      </c>
    </row>
    <row r="689" spans="1:2" x14ac:dyDescent="0.25">
      <c r="A689" s="65">
        <v>688</v>
      </c>
      <c r="B689" s="139">
        <v>28874469.562344532</v>
      </c>
    </row>
    <row r="690" spans="1:2" x14ac:dyDescent="0.25">
      <c r="A690" s="65">
        <v>689</v>
      </c>
      <c r="B690" s="139">
        <v>29728171.982200526</v>
      </c>
    </row>
    <row r="691" spans="1:2" x14ac:dyDescent="0.25">
      <c r="A691" s="65">
        <v>690</v>
      </c>
      <c r="B691" s="139">
        <v>28719078.689979646</v>
      </c>
    </row>
    <row r="692" spans="1:2" x14ac:dyDescent="0.25">
      <c r="A692" s="65">
        <v>691</v>
      </c>
      <c r="B692" s="139">
        <v>28855997.218565397</v>
      </c>
    </row>
    <row r="693" spans="1:2" x14ac:dyDescent="0.25">
      <c r="A693" s="65">
        <v>692</v>
      </c>
      <c r="B693" s="139">
        <v>29017578.670694936</v>
      </c>
    </row>
    <row r="694" spans="1:2" x14ac:dyDescent="0.25">
      <c r="A694" s="65">
        <v>693</v>
      </c>
      <c r="B694" s="139">
        <v>28839223.830799505</v>
      </c>
    </row>
    <row r="695" spans="1:2" x14ac:dyDescent="0.25">
      <c r="A695" s="65">
        <v>694</v>
      </c>
      <c r="B695" s="139">
        <v>29195513.865096617</v>
      </c>
    </row>
    <row r="696" spans="1:2" x14ac:dyDescent="0.25">
      <c r="A696" s="65">
        <v>695</v>
      </c>
      <c r="B696" s="139">
        <v>28665364.54743848</v>
      </c>
    </row>
    <row r="697" spans="1:2" x14ac:dyDescent="0.25">
      <c r="A697" s="65">
        <v>696</v>
      </c>
      <c r="B697" s="139">
        <v>29386778.908923287</v>
      </c>
    </row>
    <row r="698" spans="1:2" x14ac:dyDescent="0.25">
      <c r="A698" s="65">
        <v>697</v>
      </c>
      <c r="B698" s="139">
        <v>28706585.870671332</v>
      </c>
    </row>
    <row r="699" spans="1:2" x14ac:dyDescent="0.25">
      <c r="A699" s="65">
        <v>698</v>
      </c>
      <c r="B699" s="139">
        <v>28847132.176010221</v>
      </c>
    </row>
    <row r="700" spans="1:2" x14ac:dyDescent="0.25">
      <c r="A700" s="65">
        <v>699</v>
      </c>
      <c r="B700" s="139">
        <v>29230975.521196797</v>
      </c>
    </row>
    <row r="701" spans="1:2" x14ac:dyDescent="0.25">
      <c r="A701" s="65">
        <v>700</v>
      </c>
      <c r="B701" s="139">
        <v>28833196.89555753</v>
      </c>
    </row>
    <row r="702" spans="1:2" x14ac:dyDescent="0.25">
      <c r="A702" s="65">
        <v>701</v>
      </c>
      <c r="B702" s="139">
        <v>29875390.282982785</v>
      </c>
    </row>
    <row r="703" spans="1:2" x14ac:dyDescent="0.25">
      <c r="A703" s="65">
        <v>702</v>
      </c>
      <c r="B703" s="139">
        <v>30201762.929629985</v>
      </c>
    </row>
    <row r="704" spans="1:2" x14ac:dyDescent="0.25">
      <c r="A704" s="65">
        <v>703</v>
      </c>
      <c r="B704" s="139">
        <v>28647480.607062072</v>
      </c>
    </row>
    <row r="705" spans="1:2" x14ac:dyDescent="0.25">
      <c r="A705" s="65">
        <v>704</v>
      </c>
      <c r="B705" s="139">
        <v>29245736.390722092</v>
      </c>
    </row>
    <row r="706" spans="1:2" x14ac:dyDescent="0.25">
      <c r="A706" s="65">
        <v>705</v>
      </c>
      <c r="B706" s="139">
        <v>30706368.80366483</v>
      </c>
    </row>
    <row r="707" spans="1:2" x14ac:dyDescent="0.25">
      <c r="A707" s="65">
        <v>706</v>
      </c>
      <c r="B707" s="139">
        <v>28591694.472395718</v>
      </c>
    </row>
    <row r="708" spans="1:2" x14ac:dyDescent="0.25">
      <c r="A708" s="65">
        <v>707</v>
      </c>
      <c r="B708" s="139">
        <v>29603276.340439856</v>
      </c>
    </row>
    <row r="709" spans="1:2" x14ac:dyDescent="0.25">
      <c r="A709" s="65">
        <v>708</v>
      </c>
      <c r="B709" s="139">
        <v>30858150.132048741</v>
      </c>
    </row>
    <row r="710" spans="1:2" x14ac:dyDescent="0.25">
      <c r="A710" s="65">
        <v>709</v>
      </c>
      <c r="B710" s="139">
        <v>28850753.983375318</v>
      </c>
    </row>
    <row r="711" spans="1:2" x14ac:dyDescent="0.25">
      <c r="A711" s="65">
        <v>710</v>
      </c>
      <c r="B711" s="139">
        <v>28836371.602954637</v>
      </c>
    </row>
    <row r="712" spans="1:2" x14ac:dyDescent="0.25">
      <c r="A712" s="65">
        <v>711</v>
      </c>
      <c r="B712" s="139">
        <v>29533963.501100294</v>
      </c>
    </row>
    <row r="713" spans="1:2" x14ac:dyDescent="0.25">
      <c r="A713" s="65">
        <v>712</v>
      </c>
      <c r="B713" s="139">
        <v>28694961.708059393</v>
      </c>
    </row>
    <row r="714" spans="1:2" x14ac:dyDescent="0.25">
      <c r="A714" s="65">
        <v>713</v>
      </c>
      <c r="B714" s="139">
        <v>28742822.886126999</v>
      </c>
    </row>
    <row r="715" spans="1:2" x14ac:dyDescent="0.25">
      <c r="A715" s="65">
        <v>714</v>
      </c>
      <c r="B715" s="139">
        <v>30325649.198866356</v>
      </c>
    </row>
    <row r="716" spans="1:2" x14ac:dyDescent="0.25">
      <c r="A716" s="65">
        <v>715</v>
      </c>
      <c r="B716" s="139">
        <v>30027617.150264394</v>
      </c>
    </row>
    <row r="717" spans="1:2" x14ac:dyDescent="0.25">
      <c r="A717" s="65">
        <v>716</v>
      </c>
      <c r="B717" s="139">
        <v>28676070.20708413</v>
      </c>
    </row>
    <row r="718" spans="1:2" x14ac:dyDescent="0.25">
      <c r="A718" s="65">
        <v>717</v>
      </c>
      <c r="B718" s="139">
        <v>30004091.218265008</v>
      </c>
    </row>
    <row r="719" spans="1:2" x14ac:dyDescent="0.25">
      <c r="A719" s="65">
        <v>718</v>
      </c>
      <c r="B719" s="139">
        <v>28901591.113556013</v>
      </c>
    </row>
    <row r="720" spans="1:2" x14ac:dyDescent="0.25">
      <c r="A720" s="65">
        <v>719</v>
      </c>
      <c r="B720" s="139">
        <v>28779840.776398394</v>
      </c>
    </row>
    <row r="721" spans="1:2" x14ac:dyDescent="0.25">
      <c r="A721" s="65">
        <v>720</v>
      </c>
      <c r="B721" s="139">
        <v>29012064.847035151</v>
      </c>
    </row>
    <row r="722" spans="1:2" x14ac:dyDescent="0.25">
      <c r="A722" s="65">
        <v>721</v>
      </c>
      <c r="B722" s="139">
        <v>28802483.751172386</v>
      </c>
    </row>
    <row r="723" spans="1:2" x14ac:dyDescent="0.25">
      <c r="A723" s="65">
        <v>722</v>
      </c>
      <c r="B723" s="139">
        <v>32368500.405253626</v>
      </c>
    </row>
    <row r="724" spans="1:2" x14ac:dyDescent="0.25">
      <c r="A724" s="65">
        <v>723</v>
      </c>
      <c r="B724" s="139">
        <v>29225831.206362795</v>
      </c>
    </row>
    <row r="725" spans="1:2" x14ac:dyDescent="0.25">
      <c r="A725" s="65">
        <v>724</v>
      </c>
      <c r="B725" s="139">
        <v>28638241.43703511</v>
      </c>
    </row>
    <row r="726" spans="1:2" x14ac:dyDescent="0.25">
      <c r="A726" s="65">
        <v>725</v>
      </c>
      <c r="B726" s="139">
        <v>29379845.669853657</v>
      </c>
    </row>
    <row r="727" spans="1:2" x14ac:dyDescent="0.25">
      <c r="A727" s="65">
        <v>726</v>
      </c>
      <c r="B727" s="139">
        <v>29350012.846378636</v>
      </c>
    </row>
    <row r="728" spans="1:2" x14ac:dyDescent="0.25">
      <c r="A728" s="65">
        <v>727</v>
      </c>
      <c r="B728" s="139">
        <v>29662425.697301149</v>
      </c>
    </row>
    <row r="729" spans="1:2" x14ac:dyDescent="0.25">
      <c r="A729" s="65">
        <v>728</v>
      </c>
      <c r="B729" s="139">
        <v>28915899.145831466</v>
      </c>
    </row>
    <row r="730" spans="1:2" x14ac:dyDescent="0.25">
      <c r="A730" s="65">
        <v>729</v>
      </c>
      <c r="B730" s="139">
        <v>28895989.621126179</v>
      </c>
    </row>
    <row r="731" spans="1:2" x14ac:dyDescent="0.25">
      <c r="A731" s="65">
        <v>730</v>
      </c>
      <c r="B731" s="139">
        <v>28750214.507937003</v>
      </c>
    </row>
    <row r="732" spans="1:2" x14ac:dyDescent="0.25">
      <c r="A732" s="65">
        <v>731</v>
      </c>
      <c r="B732" s="139">
        <v>28821979.939720612</v>
      </c>
    </row>
    <row r="733" spans="1:2" x14ac:dyDescent="0.25">
      <c r="A733" s="65">
        <v>732</v>
      </c>
      <c r="B733" s="139">
        <v>29081696.204134043</v>
      </c>
    </row>
    <row r="734" spans="1:2" x14ac:dyDescent="0.25">
      <c r="A734" s="65">
        <v>733</v>
      </c>
      <c r="B734" s="139">
        <v>29999539.425774302</v>
      </c>
    </row>
    <row r="735" spans="1:2" x14ac:dyDescent="0.25">
      <c r="A735" s="65">
        <v>734</v>
      </c>
      <c r="B735" s="139">
        <v>29608114.641868871</v>
      </c>
    </row>
    <row r="736" spans="1:2" x14ac:dyDescent="0.25">
      <c r="A736" s="65">
        <v>735</v>
      </c>
      <c r="B736" s="139">
        <v>29370918.016372528</v>
      </c>
    </row>
    <row r="737" spans="1:2" x14ac:dyDescent="0.25">
      <c r="A737" s="65">
        <v>736</v>
      </c>
      <c r="B737" s="139">
        <v>29393693.172405884</v>
      </c>
    </row>
    <row r="738" spans="1:2" x14ac:dyDescent="0.25">
      <c r="A738" s="65">
        <v>737</v>
      </c>
      <c r="B738" s="139">
        <v>29141854.165715385</v>
      </c>
    </row>
    <row r="739" spans="1:2" x14ac:dyDescent="0.25">
      <c r="A739" s="65">
        <v>738</v>
      </c>
      <c r="B739" s="139">
        <v>29484725.635203455</v>
      </c>
    </row>
    <row r="740" spans="1:2" x14ac:dyDescent="0.25">
      <c r="A740" s="65">
        <v>739</v>
      </c>
      <c r="B740" s="139">
        <v>28854332.60717715</v>
      </c>
    </row>
    <row r="741" spans="1:2" x14ac:dyDescent="0.25">
      <c r="A741" s="65">
        <v>740</v>
      </c>
      <c r="B741" s="139">
        <v>30876682.968159627</v>
      </c>
    </row>
    <row r="742" spans="1:2" x14ac:dyDescent="0.25">
      <c r="A742" s="65">
        <v>741</v>
      </c>
      <c r="B742" s="139">
        <v>28994621.122913133</v>
      </c>
    </row>
    <row r="743" spans="1:2" x14ac:dyDescent="0.25">
      <c r="A743" s="65">
        <v>742</v>
      </c>
      <c r="B743" s="139">
        <v>29087940.74330321</v>
      </c>
    </row>
    <row r="744" spans="1:2" x14ac:dyDescent="0.25">
      <c r="A744" s="65">
        <v>743</v>
      </c>
      <c r="B744" s="139">
        <v>29127776.530513167</v>
      </c>
    </row>
    <row r="745" spans="1:2" x14ac:dyDescent="0.25">
      <c r="A745" s="65">
        <v>744</v>
      </c>
      <c r="B745" s="139">
        <v>29913097.215404052</v>
      </c>
    </row>
    <row r="746" spans="1:2" x14ac:dyDescent="0.25">
      <c r="A746" s="65">
        <v>745</v>
      </c>
      <c r="B746" s="139">
        <v>33406904.852021344</v>
      </c>
    </row>
    <row r="747" spans="1:2" x14ac:dyDescent="0.25">
      <c r="A747" s="65">
        <v>746</v>
      </c>
      <c r="B747" s="139">
        <v>30213748.026113141</v>
      </c>
    </row>
    <row r="748" spans="1:2" x14ac:dyDescent="0.25">
      <c r="A748" s="65">
        <v>747</v>
      </c>
      <c r="B748" s="139">
        <v>29064189.925956149</v>
      </c>
    </row>
    <row r="749" spans="1:2" x14ac:dyDescent="0.25">
      <c r="A749" s="65">
        <v>748</v>
      </c>
      <c r="B749" s="139">
        <v>28818788.448449574</v>
      </c>
    </row>
    <row r="750" spans="1:2" x14ac:dyDescent="0.25">
      <c r="A750" s="65">
        <v>749</v>
      </c>
      <c r="B750" s="139">
        <v>28526595.189027257</v>
      </c>
    </row>
    <row r="751" spans="1:2" x14ac:dyDescent="0.25">
      <c r="A751" s="65">
        <v>750</v>
      </c>
      <c r="B751" s="139">
        <v>29590854.783511505</v>
      </c>
    </row>
    <row r="752" spans="1:2" x14ac:dyDescent="0.25">
      <c r="A752" s="65">
        <v>751</v>
      </c>
      <c r="B752" s="139">
        <v>28732689.612081625</v>
      </c>
    </row>
    <row r="753" spans="1:2" x14ac:dyDescent="0.25">
      <c r="A753" s="65">
        <v>752</v>
      </c>
      <c r="B753" s="139">
        <v>29421901.377350483</v>
      </c>
    </row>
    <row r="754" spans="1:2" x14ac:dyDescent="0.25">
      <c r="A754" s="65">
        <v>753</v>
      </c>
      <c r="B754" s="139">
        <v>29074994.753579389</v>
      </c>
    </row>
    <row r="755" spans="1:2" x14ac:dyDescent="0.25">
      <c r="A755" s="65">
        <v>754</v>
      </c>
      <c r="B755" s="139">
        <v>28629075.264522851</v>
      </c>
    </row>
    <row r="756" spans="1:2" x14ac:dyDescent="0.25">
      <c r="A756" s="65">
        <v>755</v>
      </c>
      <c r="B756" s="139">
        <v>28774986.779244546</v>
      </c>
    </row>
    <row r="757" spans="1:2" x14ac:dyDescent="0.25">
      <c r="A757" s="65">
        <v>756</v>
      </c>
      <c r="B757" s="139">
        <v>28888840.774550084</v>
      </c>
    </row>
    <row r="758" spans="1:2" x14ac:dyDescent="0.25">
      <c r="A758" s="65">
        <v>757</v>
      </c>
      <c r="B758" s="139">
        <v>28631313.919375412</v>
      </c>
    </row>
    <row r="759" spans="1:2" x14ac:dyDescent="0.25">
      <c r="A759" s="65">
        <v>758</v>
      </c>
      <c r="B759" s="139">
        <v>28523763.408820949</v>
      </c>
    </row>
    <row r="760" spans="1:2" x14ac:dyDescent="0.25">
      <c r="A760" s="65">
        <v>759</v>
      </c>
      <c r="B760" s="139">
        <v>28942053.890967011</v>
      </c>
    </row>
    <row r="761" spans="1:2" x14ac:dyDescent="0.25">
      <c r="A761" s="65">
        <v>760</v>
      </c>
      <c r="B761" s="139">
        <v>29850664.263512958</v>
      </c>
    </row>
    <row r="762" spans="1:2" x14ac:dyDescent="0.25">
      <c r="A762" s="65">
        <v>761</v>
      </c>
      <c r="B762" s="139">
        <v>29240979.463787675</v>
      </c>
    </row>
    <row r="763" spans="1:2" x14ac:dyDescent="0.25">
      <c r="A763" s="65">
        <v>762</v>
      </c>
      <c r="B763" s="139">
        <v>29750357.093960717</v>
      </c>
    </row>
    <row r="764" spans="1:2" x14ac:dyDescent="0.25">
      <c r="A764" s="65">
        <v>763</v>
      </c>
      <c r="B764" s="139">
        <v>28924213.903493974</v>
      </c>
    </row>
    <row r="765" spans="1:2" x14ac:dyDescent="0.25">
      <c r="A765" s="65">
        <v>764</v>
      </c>
      <c r="B765" s="139">
        <v>30194652.169780247</v>
      </c>
    </row>
    <row r="766" spans="1:2" x14ac:dyDescent="0.25">
      <c r="A766" s="65">
        <v>765</v>
      </c>
      <c r="B766" s="139">
        <v>31312122.245935652</v>
      </c>
    </row>
    <row r="767" spans="1:2" x14ac:dyDescent="0.25">
      <c r="A767" s="65">
        <v>766</v>
      </c>
      <c r="B767" s="139">
        <v>28930428.630288713</v>
      </c>
    </row>
    <row r="768" spans="1:2" x14ac:dyDescent="0.25">
      <c r="A768" s="65">
        <v>767</v>
      </c>
      <c r="B768" s="139">
        <v>29366792.402946983</v>
      </c>
    </row>
    <row r="769" spans="1:2" x14ac:dyDescent="0.25">
      <c r="A769" s="65">
        <v>768</v>
      </c>
      <c r="B769" s="139">
        <v>28391181.244464237</v>
      </c>
    </row>
    <row r="770" spans="1:2" x14ac:dyDescent="0.25">
      <c r="A770" s="65">
        <v>769</v>
      </c>
      <c r="B770" s="139">
        <v>28795009.719038013</v>
      </c>
    </row>
    <row r="771" spans="1:2" x14ac:dyDescent="0.25">
      <c r="A771" s="65">
        <v>770</v>
      </c>
      <c r="B771" s="139">
        <v>28821864.858490061</v>
      </c>
    </row>
    <row r="772" spans="1:2" x14ac:dyDescent="0.25">
      <c r="A772" s="65">
        <v>771</v>
      </c>
      <c r="B772" s="139">
        <v>28617681.059764273</v>
      </c>
    </row>
    <row r="773" spans="1:2" x14ac:dyDescent="0.25">
      <c r="A773" s="65">
        <v>772</v>
      </c>
      <c r="B773" s="139">
        <v>28838234.515743237</v>
      </c>
    </row>
    <row r="774" spans="1:2" x14ac:dyDescent="0.25">
      <c r="A774" s="65">
        <v>773</v>
      </c>
      <c r="B774" s="139">
        <v>28806958.606418006</v>
      </c>
    </row>
    <row r="775" spans="1:2" x14ac:dyDescent="0.25">
      <c r="A775" s="65">
        <v>774</v>
      </c>
      <c r="B775" s="139">
        <v>30253522.765524827</v>
      </c>
    </row>
    <row r="776" spans="1:2" x14ac:dyDescent="0.25">
      <c r="A776" s="65">
        <v>775</v>
      </c>
      <c r="B776" s="139">
        <v>28620698.127830893</v>
      </c>
    </row>
    <row r="777" spans="1:2" x14ac:dyDescent="0.25">
      <c r="A777" s="65">
        <v>776</v>
      </c>
      <c r="B777" s="139">
        <v>29108560.487995312</v>
      </c>
    </row>
    <row r="778" spans="1:2" x14ac:dyDescent="0.25">
      <c r="A778" s="65">
        <v>777</v>
      </c>
      <c r="B778" s="139">
        <v>29403705.77444873</v>
      </c>
    </row>
    <row r="779" spans="1:2" x14ac:dyDescent="0.25">
      <c r="A779" s="65">
        <v>778</v>
      </c>
      <c r="B779" s="139">
        <v>28854591.337523036</v>
      </c>
    </row>
    <row r="780" spans="1:2" x14ac:dyDescent="0.25">
      <c r="A780" s="65">
        <v>779</v>
      </c>
      <c r="B780" s="139">
        <v>29258736.864845015</v>
      </c>
    </row>
    <row r="781" spans="1:2" x14ac:dyDescent="0.25">
      <c r="A781" s="65">
        <v>780</v>
      </c>
      <c r="B781" s="139">
        <v>29451838.361534834</v>
      </c>
    </row>
    <row r="782" spans="1:2" x14ac:dyDescent="0.25">
      <c r="A782" s="65">
        <v>781</v>
      </c>
      <c r="B782" s="139">
        <v>28775790.166477401</v>
      </c>
    </row>
    <row r="783" spans="1:2" x14ac:dyDescent="0.25">
      <c r="A783" s="65">
        <v>782</v>
      </c>
      <c r="B783" s="139">
        <v>28728063.575598802</v>
      </c>
    </row>
    <row r="784" spans="1:2" x14ac:dyDescent="0.25">
      <c r="A784" s="65">
        <v>783</v>
      </c>
      <c r="B784" s="139">
        <v>28549646.695568625</v>
      </c>
    </row>
    <row r="785" spans="1:2" x14ac:dyDescent="0.25">
      <c r="A785" s="65">
        <v>784</v>
      </c>
      <c r="B785" s="139">
        <v>29732637.20418423</v>
      </c>
    </row>
    <row r="786" spans="1:2" x14ac:dyDescent="0.25">
      <c r="A786" s="65">
        <v>785</v>
      </c>
      <c r="B786" s="139">
        <v>30446818.903196137</v>
      </c>
    </row>
    <row r="787" spans="1:2" x14ac:dyDescent="0.25">
      <c r="A787" s="65">
        <v>786</v>
      </c>
      <c r="B787" s="139">
        <v>28679477.47451292</v>
      </c>
    </row>
    <row r="788" spans="1:2" x14ac:dyDescent="0.25">
      <c r="A788" s="65">
        <v>787</v>
      </c>
      <c r="B788" s="139">
        <v>29011949.960733917</v>
      </c>
    </row>
    <row r="789" spans="1:2" x14ac:dyDescent="0.25">
      <c r="A789" s="65">
        <v>788</v>
      </c>
      <c r="B789" s="139">
        <v>28856454.987622898</v>
      </c>
    </row>
    <row r="790" spans="1:2" x14ac:dyDescent="0.25">
      <c r="A790" s="65">
        <v>789</v>
      </c>
      <c r="B790" s="139">
        <v>28873802.333859745</v>
      </c>
    </row>
    <row r="791" spans="1:2" x14ac:dyDescent="0.25">
      <c r="A791" s="65">
        <v>790</v>
      </c>
      <c r="B791" s="139">
        <v>31593716.69837736</v>
      </c>
    </row>
    <row r="792" spans="1:2" x14ac:dyDescent="0.25">
      <c r="A792" s="65">
        <v>791</v>
      </c>
      <c r="B792" s="139">
        <v>29891774.776815455</v>
      </c>
    </row>
    <row r="793" spans="1:2" x14ac:dyDescent="0.25">
      <c r="A793" s="65">
        <v>792</v>
      </c>
      <c r="B793" s="139">
        <v>29424919.80172826</v>
      </c>
    </row>
    <row r="794" spans="1:2" x14ac:dyDescent="0.25">
      <c r="A794" s="65">
        <v>793</v>
      </c>
      <c r="B794" s="139">
        <v>28867433.359091166</v>
      </c>
    </row>
    <row r="795" spans="1:2" x14ac:dyDescent="0.25">
      <c r="A795" s="65">
        <v>794</v>
      </c>
      <c r="B795" s="139">
        <v>28974668.81230763</v>
      </c>
    </row>
    <row r="796" spans="1:2" x14ac:dyDescent="0.25">
      <c r="A796" s="65">
        <v>795</v>
      </c>
      <c r="B796" s="139">
        <v>28734163.309287924</v>
      </c>
    </row>
    <row r="797" spans="1:2" x14ac:dyDescent="0.25">
      <c r="A797" s="65">
        <v>796</v>
      </c>
      <c r="B797" s="139">
        <v>29374541.591009468</v>
      </c>
    </row>
    <row r="798" spans="1:2" x14ac:dyDescent="0.25">
      <c r="A798" s="65">
        <v>797</v>
      </c>
      <c r="B798" s="139">
        <v>28978095.080100924</v>
      </c>
    </row>
    <row r="799" spans="1:2" x14ac:dyDescent="0.25">
      <c r="A799" s="65">
        <v>798</v>
      </c>
      <c r="B799" s="139">
        <v>28602160.843729515</v>
      </c>
    </row>
    <row r="800" spans="1:2" x14ac:dyDescent="0.25">
      <c r="A800" s="65">
        <v>799</v>
      </c>
      <c r="B800" s="139">
        <v>30301907.856489707</v>
      </c>
    </row>
    <row r="801" spans="1:2" x14ac:dyDescent="0.25">
      <c r="A801" s="65">
        <v>800</v>
      </c>
      <c r="B801" s="139">
        <v>28900500.093696341</v>
      </c>
    </row>
    <row r="802" spans="1:2" x14ac:dyDescent="0.25">
      <c r="A802" s="65">
        <v>801</v>
      </c>
      <c r="B802" s="139">
        <v>28877530.60186268</v>
      </c>
    </row>
    <row r="803" spans="1:2" x14ac:dyDescent="0.25">
      <c r="A803" s="65">
        <v>802</v>
      </c>
      <c r="B803" s="139">
        <v>28979966.641737621</v>
      </c>
    </row>
    <row r="804" spans="1:2" x14ac:dyDescent="0.25">
      <c r="A804" s="65">
        <v>803</v>
      </c>
      <c r="B804" s="139">
        <v>28756987.121408205</v>
      </c>
    </row>
    <row r="805" spans="1:2" x14ac:dyDescent="0.25">
      <c r="A805" s="65">
        <v>804</v>
      </c>
      <c r="B805" s="139">
        <v>28721567.388710465</v>
      </c>
    </row>
    <row r="806" spans="1:2" x14ac:dyDescent="0.25">
      <c r="A806" s="65">
        <v>805</v>
      </c>
      <c r="B806" s="139">
        <v>29819610.454872869</v>
      </c>
    </row>
    <row r="807" spans="1:2" x14ac:dyDescent="0.25">
      <c r="A807" s="65">
        <v>806</v>
      </c>
      <c r="B807" s="139">
        <v>30317697.102795444</v>
      </c>
    </row>
    <row r="808" spans="1:2" x14ac:dyDescent="0.25">
      <c r="A808" s="65">
        <v>807</v>
      </c>
      <c r="B808" s="139">
        <v>29434766.559750836</v>
      </c>
    </row>
    <row r="809" spans="1:2" x14ac:dyDescent="0.25">
      <c r="A809" s="65">
        <v>808</v>
      </c>
      <c r="B809" s="139">
        <v>29470759.764181241</v>
      </c>
    </row>
    <row r="810" spans="1:2" x14ac:dyDescent="0.25">
      <c r="A810" s="65">
        <v>809</v>
      </c>
      <c r="B810" s="139">
        <v>28836179.805568781</v>
      </c>
    </row>
    <row r="811" spans="1:2" x14ac:dyDescent="0.25">
      <c r="A811" s="65">
        <v>810</v>
      </c>
      <c r="B811" s="139">
        <v>29526302.937570244</v>
      </c>
    </row>
    <row r="812" spans="1:2" x14ac:dyDescent="0.25">
      <c r="A812" s="65">
        <v>811</v>
      </c>
      <c r="B812" s="139">
        <v>29345538.267966121</v>
      </c>
    </row>
    <row r="813" spans="1:2" x14ac:dyDescent="0.25">
      <c r="A813" s="65">
        <v>812</v>
      </c>
      <c r="B813" s="139">
        <v>28757166.720256105</v>
      </c>
    </row>
    <row r="814" spans="1:2" x14ac:dyDescent="0.25">
      <c r="A814" s="65">
        <v>813</v>
      </c>
      <c r="B814" s="139">
        <v>29216660.086074382</v>
      </c>
    </row>
    <row r="815" spans="1:2" x14ac:dyDescent="0.25">
      <c r="A815" s="65">
        <v>814</v>
      </c>
      <c r="B815" s="139">
        <v>29437087.840013389</v>
      </c>
    </row>
    <row r="816" spans="1:2" x14ac:dyDescent="0.25">
      <c r="A816" s="65">
        <v>815</v>
      </c>
      <c r="B816" s="139">
        <v>28899062.131731417</v>
      </c>
    </row>
    <row r="817" spans="1:2" x14ac:dyDescent="0.25">
      <c r="A817" s="65">
        <v>816</v>
      </c>
      <c r="B817" s="139">
        <v>28888538.081564359</v>
      </c>
    </row>
    <row r="818" spans="1:2" x14ac:dyDescent="0.25">
      <c r="A818" s="65">
        <v>817</v>
      </c>
      <c r="B818" s="139">
        <v>31335352.70760769</v>
      </c>
    </row>
    <row r="819" spans="1:2" x14ac:dyDescent="0.25">
      <c r="A819" s="65">
        <v>818</v>
      </c>
      <c r="B819" s="139">
        <v>29558665.969365664</v>
      </c>
    </row>
    <row r="820" spans="1:2" x14ac:dyDescent="0.25">
      <c r="A820" s="65">
        <v>819</v>
      </c>
      <c r="B820" s="139">
        <v>29498899.119875744</v>
      </c>
    </row>
    <row r="821" spans="1:2" x14ac:dyDescent="0.25">
      <c r="A821" s="65">
        <v>820</v>
      </c>
      <c r="B821" s="139">
        <v>29275357.416205507</v>
      </c>
    </row>
    <row r="822" spans="1:2" x14ac:dyDescent="0.25">
      <c r="A822" s="65">
        <v>821</v>
      </c>
      <c r="B822" s="139">
        <v>29304351.218274374</v>
      </c>
    </row>
    <row r="823" spans="1:2" x14ac:dyDescent="0.25">
      <c r="A823" s="65">
        <v>822</v>
      </c>
      <c r="B823" s="139">
        <v>28576287.838933084</v>
      </c>
    </row>
    <row r="824" spans="1:2" x14ac:dyDescent="0.25">
      <c r="A824" s="65">
        <v>823</v>
      </c>
      <c r="B824" s="139">
        <v>28771279.805605017</v>
      </c>
    </row>
    <row r="825" spans="1:2" x14ac:dyDescent="0.25">
      <c r="A825" s="65">
        <v>824</v>
      </c>
      <c r="B825" s="139">
        <v>29117171.322344221</v>
      </c>
    </row>
    <row r="826" spans="1:2" x14ac:dyDescent="0.25">
      <c r="A826" s="65">
        <v>825</v>
      </c>
      <c r="B826" s="139">
        <v>29276927.578539461</v>
      </c>
    </row>
    <row r="827" spans="1:2" x14ac:dyDescent="0.25">
      <c r="A827" s="65">
        <v>826</v>
      </c>
      <c r="B827" s="139">
        <v>28768161.494764965</v>
      </c>
    </row>
    <row r="828" spans="1:2" x14ac:dyDescent="0.25">
      <c r="A828" s="65">
        <v>827</v>
      </c>
      <c r="B828" s="139">
        <v>29195656.227355156</v>
      </c>
    </row>
    <row r="829" spans="1:2" x14ac:dyDescent="0.25">
      <c r="A829" s="65">
        <v>828</v>
      </c>
      <c r="B829" s="139">
        <v>28658034.242099877</v>
      </c>
    </row>
    <row r="830" spans="1:2" x14ac:dyDescent="0.25">
      <c r="A830" s="65">
        <v>829</v>
      </c>
      <c r="B830" s="139">
        <v>30589898.143617846</v>
      </c>
    </row>
    <row r="831" spans="1:2" x14ac:dyDescent="0.25">
      <c r="A831" s="65">
        <v>830</v>
      </c>
      <c r="B831" s="139">
        <v>28785571.841943659</v>
      </c>
    </row>
    <row r="832" spans="1:2" x14ac:dyDescent="0.25">
      <c r="A832" s="65">
        <v>831</v>
      </c>
      <c r="B832" s="139">
        <v>30852658.008712985</v>
      </c>
    </row>
    <row r="833" spans="1:2" x14ac:dyDescent="0.25">
      <c r="A833" s="65">
        <v>832</v>
      </c>
      <c r="B833" s="139">
        <v>32861061.581631482</v>
      </c>
    </row>
    <row r="834" spans="1:2" x14ac:dyDescent="0.25">
      <c r="A834" s="65">
        <v>833</v>
      </c>
      <c r="B834" s="139">
        <v>28639637.308703147</v>
      </c>
    </row>
    <row r="835" spans="1:2" x14ac:dyDescent="0.25">
      <c r="A835" s="65">
        <v>834</v>
      </c>
      <c r="B835" s="139">
        <v>29658576.316027388</v>
      </c>
    </row>
    <row r="836" spans="1:2" x14ac:dyDescent="0.25">
      <c r="A836" s="65">
        <v>835</v>
      </c>
      <c r="B836" s="139">
        <v>28739451.564829219</v>
      </c>
    </row>
    <row r="837" spans="1:2" x14ac:dyDescent="0.25">
      <c r="A837" s="65">
        <v>836</v>
      </c>
      <c r="B837" s="139">
        <v>29639133.091087703</v>
      </c>
    </row>
    <row r="838" spans="1:2" x14ac:dyDescent="0.25">
      <c r="A838" s="65">
        <v>837</v>
      </c>
      <c r="B838" s="139">
        <v>29371517.136718642</v>
      </c>
    </row>
    <row r="839" spans="1:2" x14ac:dyDescent="0.25">
      <c r="A839" s="65">
        <v>838</v>
      </c>
      <c r="B839" s="139">
        <v>29795667.357754525</v>
      </c>
    </row>
    <row r="840" spans="1:2" x14ac:dyDescent="0.25">
      <c r="A840" s="65">
        <v>839</v>
      </c>
      <c r="B840" s="139">
        <v>29420452.61481401</v>
      </c>
    </row>
    <row r="841" spans="1:2" x14ac:dyDescent="0.25">
      <c r="A841" s="65">
        <v>840</v>
      </c>
      <c r="B841" s="139">
        <v>29145985.292648073</v>
      </c>
    </row>
    <row r="842" spans="1:2" x14ac:dyDescent="0.25">
      <c r="A842" s="65">
        <v>841</v>
      </c>
      <c r="B842" s="139">
        <v>28561268.350632574</v>
      </c>
    </row>
    <row r="843" spans="1:2" x14ac:dyDescent="0.25">
      <c r="A843" s="65">
        <v>842</v>
      </c>
      <c r="B843" s="139">
        <v>29607706.291851878</v>
      </c>
    </row>
    <row r="844" spans="1:2" x14ac:dyDescent="0.25">
      <c r="A844" s="65">
        <v>843</v>
      </c>
      <c r="B844" s="139">
        <v>28885106.88220812</v>
      </c>
    </row>
    <row r="845" spans="1:2" x14ac:dyDescent="0.25">
      <c r="A845" s="65">
        <v>844</v>
      </c>
      <c r="B845" s="139">
        <v>28818006.66330066</v>
      </c>
    </row>
    <row r="846" spans="1:2" x14ac:dyDescent="0.25">
      <c r="A846" s="65">
        <v>845</v>
      </c>
      <c r="B846" s="139">
        <v>28871175.287529524</v>
      </c>
    </row>
    <row r="847" spans="1:2" x14ac:dyDescent="0.25">
      <c r="A847" s="65">
        <v>846</v>
      </c>
      <c r="B847" s="139">
        <v>28647310.381226256</v>
      </c>
    </row>
    <row r="848" spans="1:2" x14ac:dyDescent="0.25">
      <c r="A848" s="65">
        <v>847</v>
      </c>
      <c r="B848" s="139">
        <v>28808525.2973634</v>
      </c>
    </row>
    <row r="849" spans="1:2" x14ac:dyDescent="0.25">
      <c r="A849" s="65">
        <v>848</v>
      </c>
      <c r="B849" s="139">
        <v>28583442.065657623</v>
      </c>
    </row>
    <row r="850" spans="1:2" x14ac:dyDescent="0.25">
      <c r="A850" s="65">
        <v>849</v>
      </c>
      <c r="B850" s="139">
        <v>28781328.73292587</v>
      </c>
    </row>
    <row r="851" spans="1:2" x14ac:dyDescent="0.25">
      <c r="A851" s="65">
        <v>850</v>
      </c>
      <c r="B851" s="139">
        <v>29335044.754690386</v>
      </c>
    </row>
    <row r="852" spans="1:2" x14ac:dyDescent="0.25">
      <c r="A852" s="65">
        <v>851</v>
      </c>
      <c r="B852" s="139">
        <v>28791383.972686052</v>
      </c>
    </row>
    <row r="853" spans="1:2" x14ac:dyDescent="0.25">
      <c r="A853" s="65">
        <v>852</v>
      </c>
      <c r="B853" s="139">
        <v>28956320.882836621</v>
      </c>
    </row>
    <row r="854" spans="1:2" x14ac:dyDescent="0.25">
      <c r="A854" s="65">
        <v>853</v>
      </c>
      <c r="B854" s="139">
        <v>29171704.093708657</v>
      </c>
    </row>
    <row r="855" spans="1:2" x14ac:dyDescent="0.25">
      <c r="A855" s="65">
        <v>854</v>
      </c>
      <c r="B855" s="139">
        <v>28986404.525758624</v>
      </c>
    </row>
    <row r="856" spans="1:2" x14ac:dyDescent="0.25">
      <c r="A856" s="65">
        <v>855</v>
      </c>
      <c r="B856" s="139">
        <v>29351493.467568126</v>
      </c>
    </row>
    <row r="857" spans="1:2" x14ac:dyDescent="0.25">
      <c r="A857" s="65">
        <v>856</v>
      </c>
      <c r="B857" s="139">
        <v>30278602.027304076</v>
      </c>
    </row>
    <row r="858" spans="1:2" x14ac:dyDescent="0.25">
      <c r="A858" s="65">
        <v>857</v>
      </c>
      <c r="B858" s="139">
        <v>28588580.493290905</v>
      </c>
    </row>
    <row r="859" spans="1:2" x14ac:dyDescent="0.25">
      <c r="A859" s="65">
        <v>858</v>
      </c>
      <c r="B859" s="139">
        <v>29620661.123738233</v>
      </c>
    </row>
    <row r="860" spans="1:2" x14ac:dyDescent="0.25">
      <c r="A860" s="65">
        <v>859</v>
      </c>
      <c r="B860" s="139">
        <v>28698460.831894975</v>
      </c>
    </row>
    <row r="861" spans="1:2" x14ac:dyDescent="0.25">
      <c r="A861" s="65">
        <v>860</v>
      </c>
      <c r="B861" s="139">
        <v>29463018.132670827</v>
      </c>
    </row>
    <row r="862" spans="1:2" x14ac:dyDescent="0.25">
      <c r="A862" s="65">
        <v>861</v>
      </c>
      <c r="B862" s="139">
        <v>29152240.796358768</v>
      </c>
    </row>
    <row r="863" spans="1:2" x14ac:dyDescent="0.25">
      <c r="A863" s="65">
        <v>862</v>
      </c>
      <c r="B863" s="139">
        <v>28729184.406573709</v>
      </c>
    </row>
    <row r="864" spans="1:2" x14ac:dyDescent="0.25">
      <c r="A864" s="65">
        <v>863</v>
      </c>
      <c r="B864" s="139">
        <v>28787108.423059694</v>
      </c>
    </row>
    <row r="865" spans="1:2" x14ac:dyDescent="0.25">
      <c r="A865" s="65">
        <v>864</v>
      </c>
      <c r="B865" s="139">
        <v>28971836.240731116</v>
      </c>
    </row>
    <row r="866" spans="1:2" x14ac:dyDescent="0.25">
      <c r="A866" s="65">
        <v>865</v>
      </c>
      <c r="B866" s="139">
        <v>29133059.313524988</v>
      </c>
    </row>
    <row r="867" spans="1:2" x14ac:dyDescent="0.25">
      <c r="A867" s="65">
        <v>866</v>
      </c>
      <c r="B867" s="139">
        <v>29324037.505538698</v>
      </c>
    </row>
    <row r="868" spans="1:2" x14ac:dyDescent="0.25">
      <c r="A868" s="65">
        <v>867</v>
      </c>
      <c r="B868" s="139">
        <v>29051109.5965681</v>
      </c>
    </row>
    <row r="869" spans="1:2" x14ac:dyDescent="0.25">
      <c r="A869" s="65">
        <v>868</v>
      </c>
      <c r="B869" s="139">
        <v>28819861.537927069</v>
      </c>
    </row>
    <row r="870" spans="1:2" x14ac:dyDescent="0.25">
      <c r="A870" s="65">
        <v>869</v>
      </c>
      <c r="B870" s="139">
        <v>30077185.502237108</v>
      </c>
    </row>
    <row r="871" spans="1:2" x14ac:dyDescent="0.25">
      <c r="A871" s="65">
        <v>870</v>
      </c>
      <c r="B871" s="139">
        <v>29889155.860474538</v>
      </c>
    </row>
    <row r="872" spans="1:2" x14ac:dyDescent="0.25">
      <c r="A872" s="65">
        <v>871</v>
      </c>
      <c r="B872" s="139">
        <v>29563731.964188728</v>
      </c>
    </row>
    <row r="873" spans="1:2" x14ac:dyDescent="0.25">
      <c r="A873" s="65">
        <v>872</v>
      </c>
      <c r="B873" s="139">
        <v>28967227.218030583</v>
      </c>
    </row>
    <row r="874" spans="1:2" x14ac:dyDescent="0.25">
      <c r="A874" s="65">
        <v>873</v>
      </c>
      <c r="B874" s="139">
        <v>30366398.215007458</v>
      </c>
    </row>
    <row r="875" spans="1:2" x14ac:dyDescent="0.25">
      <c r="A875" s="65">
        <v>874</v>
      </c>
      <c r="B875" s="139">
        <v>29985398.372639496</v>
      </c>
    </row>
    <row r="876" spans="1:2" x14ac:dyDescent="0.25">
      <c r="A876" s="65">
        <v>875</v>
      </c>
      <c r="B876" s="139">
        <v>28732415.397167217</v>
      </c>
    </row>
    <row r="877" spans="1:2" x14ac:dyDescent="0.25">
      <c r="A877" s="65">
        <v>876</v>
      </c>
      <c r="B877" s="139">
        <v>29014246.754033953</v>
      </c>
    </row>
    <row r="878" spans="1:2" x14ac:dyDescent="0.25">
      <c r="A878" s="65">
        <v>877</v>
      </c>
      <c r="B878" s="139">
        <v>30019905.667286154</v>
      </c>
    </row>
    <row r="879" spans="1:2" x14ac:dyDescent="0.25">
      <c r="A879" s="65">
        <v>878</v>
      </c>
      <c r="B879" s="139">
        <v>28911756.341236126</v>
      </c>
    </row>
    <row r="880" spans="1:2" x14ac:dyDescent="0.25">
      <c r="A880" s="65">
        <v>879</v>
      </c>
      <c r="B880" s="139">
        <v>28507112.9817493</v>
      </c>
    </row>
    <row r="881" spans="1:2" x14ac:dyDescent="0.25">
      <c r="A881" s="65">
        <v>880</v>
      </c>
      <c r="B881" s="139">
        <v>29410831.246056855</v>
      </c>
    </row>
    <row r="882" spans="1:2" x14ac:dyDescent="0.25">
      <c r="A882" s="65">
        <v>881</v>
      </c>
      <c r="B882" s="139">
        <v>29310884.427179743</v>
      </c>
    </row>
    <row r="883" spans="1:2" x14ac:dyDescent="0.25">
      <c r="A883" s="65">
        <v>882</v>
      </c>
      <c r="B883" s="139">
        <v>28798115.900852669</v>
      </c>
    </row>
    <row r="884" spans="1:2" x14ac:dyDescent="0.25">
      <c r="A884" s="65">
        <v>883</v>
      </c>
      <c r="B884" s="139">
        <v>29973059.684517473</v>
      </c>
    </row>
    <row r="885" spans="1:2" x14ac:dyDescent="0.25">
      <c r="A885" s="65">
        <v>884</v>
      </c>
      <c r="B885" s="139">
        <v>32548168.458666135</v>
      </c>
    </row>
    <row r="886" spans="1:2" x14ac:dyDescent="0.25">
      <c r="A886" s="65">
        <v>885</v>
      </c>
      <c r="B886" s="139">
        <v>28547421.748287361</v>
      </c>
    </row>
    <row r="887" spans="1:2" x14ac:dyDescent="0.25">
      <c r="A887" s="65">
        <v>886</v>
      </c>
      <c r="B887" s="139">
        <v>28624204.746227462</v>
      </c>
    </row>
    <row r="888" spans="1:2" x14ac:dyDescent="0.25">
      <c r="A888" s="65">
        <v>887</v>
      </c>
      <c r="B888" s="139">
        <v>29643556.620720852</v>
      </c>
    </row>
    <row r="889" spans="1:2" x14ac:dyDescent="0.25">
      <c r="A889" s="65">
        <v>888</v>
      </c>
      <c r="B889" s="139">
        <v>33704791.774731673</v>
      </c>
    </row>
    <row r="890" spans="1:2" x14ac:dyDescent="0.25">
      <c r="A890" s="65">
        <v>889</v>
      </c>
      <c r="B890" s="139">
        <v>28951935.429203853</v>
      </c>
    </row>
    <row r="891" spans="1:2" x14ac:dyDescent="0.25">
      <c r="A891" s="65">
        <v>890</v>
      </c>
      <c r="B891" s="139">
        <v>29926210.941320982</v>
      </c>
    </row>
    <row r="892" spans="1:2" x14ac:dyDescent="0.25">
      <c r="A892" s="65">
        <v>891</v>
      </c>
      <c r="B892" s="139">
        <v>28799416.607902762</v>
      </c>
    </row>
    <row r="893" spans="1:2" x14ac:dyDescent="0.25">
      <c r="A893" s="65">
        <v>892</v>
      </c>
      <c r="B893" s="139">
        <v>29543476.168456763</v>
      </c>
    </row>
    <row r="894" spans="1:2" x14ac:dyDescent="0.25">
      <c r="A894" s="65">
        <v>893</v>
      </c>
      <c r="B894" s="139">
        <v>29123067.390313562</v>
      </c>
    </row>
    <row r="895" spans="1:2" x14ac:dyDescent="0.25">
      <c r="A895" s="65">
        <v>894</v>
      </c>
      <c r="B895" s="139">
        <v>29468421.353776317</v>
      </c>
    </row>
    <row r="896" spans="1:2" x14ac:dyDescent="0.25">
      <c r="A896" s="65">
        <v>895</v>
      </c>
      <c r="B896" s="139">
        <v>30249243.630253084</v>
      </c>
    </row>
    <row r="897" spans="1:2" x14ac:dyDescent="0.25">
      <c r="A897" s="65">
        <v>896</v>
      </c>
      <c r="B897" s="139">
        <v>28854748.698167678</v>
      </c>
    </row>
    <row r="898" spans="1:2" x14ac:dyDescent="0.25">
      <c r="A898" s="65">
        <v>897</v>
      </c>
      <c r="B898" s="139">
        <v>28796162.227147605</v>
      </c>
    </row>
    <row r="899" spans="1:2" x14ac:dyDescent="0.25">
      <c r="A899" s="65">
        <v>898</v>
      </c>
      <c r="B899" s="139">
        <v>28531766.05437652</v>
      </c>
    </row>
    <row r="900" spans="1:2" x14ac:dyDescent="0.25">
      <c r="A900" s="65">
        <v>899</v>
      </c>
      <c r="B900" s="139">
        <v>28908389.697100058</v>
      </c>
    </row>
    <row r="901" spans="1:2" x14ac:dyDescent="0.25">
      <c r="A901" s="65">
        <v>900</v>
      </c>
      <c r="B901" s="139">
        <v>28736067.938188292</v>
      </c>
    </row>
    <row r="902" spans="1:2" x14ac:dyDescent="0.25">
      <c r="A902" s="65">
        <v>901</v>
      </c>
      <c r="B902" s="139">
        <v>28616446.353996977</v>
      </c>
    </row>
    <row r="903" spans="1:2" x14ac:dyDescent="0.25">
      <c r="A903" s="65">
        <v>902</v>
      </c>
      <c r="B903" s="139">
        <v>29363430.240406353</v>
      </c>
    </row>
    <row r="904" spans="1:2" x14ac:dyDescent="0.25">
      <c r="A904" s="65">
        <v>903</v>
      </c>
      <c r="B904" s="139">
        <v>29026103.341827139</v>
      </c>
    </row>
    <row r="905" spans="1:2" x14ac:dyDescent="0.25">
      <c r="A905" s="65">
        <v>904</v>
      </c>
      <c r="B905" s="139">
        <v>28866369.931724604</v>
      </c>
    </row>
    <row r="906" spans="1:2" x14ac:dyDescent="0.25">
      <c r="A906" s="65">
        <v>905</v>
      </c>
      <c r="B906" s="139">
        <v>28856573.379309967</v>
      </c>
    </row>
    <row r="907" spans="1:2" x14ac:dyDescent="0.25">
      <c r="A907" s="65">
        <v>906</v>
      </c>
      <c r="B907" s="139">
        <v>30060083.305345032</v>
      </c>
    </row>
    <row r="908" spans="1:2" x14ac:dyDescent="0.25">
      <c r="A908" s="65">
        <v>907</v>
      </c>
      <c r="B908" s="139">
        <v>29398031.064162169</v>
      </c>
    </row>
    <row r="909" spans="1:2" x14ac:dyDescent="0.25">
      <c r="A909" s="65">
        <v>908</v>
      </c>
      <c r="B909" s="139">
        <v>29992197.382865097</v>
      </c>
    </row>
    <row r="910" spans="1:2" x14ac:dyDescent="0.25">
      <c r="A910" s="65">
        <v>909</v>
      </c>
      <c r="B910" s="139">
        <v>28981628.458988313</v>
      </c>
    </row>
    <row r="911" spans="1:2" x14ac:dyDescent="0.25">
      <c r="A911" s="65">
        <v>910</v>
      </c>
      <c r="B911" s="139">
        <v>29071577.815513257</v>
      </c>
    </row>
    <row r="912" spans="1:2" x14ac:dyDescent="0.25">
      <c r="A912" s="65">
        <v>911</v>
      </c>
      <c r="B912" s="139">
        <v>28917452.216447122</v>
      </c>
    </row>
    <row r="913" spans="1:2" x14ac:dyDescent="0.25">
      <c r="A913" s="65">
        <v>912</v>
      </c>
      <c r="B913" s="139">
        <v>28489802.030672304</v>
      </c>
    </row>
    <row r="914" spans="1:2" x14ac:dyDescent="0.25">
      <c r="A914" s="65">
        <v>913</v>
      </c>
      <c r="B914" s="139">
        <v>29080605.10975147</v>
      </c>
    </row>
    <row r="915" spans="1:2" x14ac:dyDescent="0.25">
      <c r="A915" s="65">
        <v>914</v>
      </c>
      <c r="B915" s="139">
        <v>29468789.357699197</v>
      </c>
    </row>
    <row r="916" spans="1:2" x14ac:dyDescent="0.25">
      <c r="A916" s="65">
        <v>915</v>
      </c>
      <c r="B916" s="139">
        <v>30790022.08151909</v>
      </c>
    </row>
    <row r="917" spans="1:2" x14ac:dyDescent="0.25">
      <c r="A917" s="65">
        <v>916</v>
      </c>
      <c r="B917" s="139">
        <v>30591058.684877645</v>
      </c>
    </row>
    <row r="918" spans="1:2" x14ac:dyDescent="0.25">
      <c r="A918" s="65">
        <v>917</v>
      </c>
      <c r="B918" s="139">
        <v>29952284.585244283</v>
      </c>
    </row>
    <row r="919" spans="1:2" x14ac:dyDescent="0.25">
      <c r="A919" s="65">
        <v>918</v>
      </c>
      <c r="B919" s="139">
        <v>29257220.495839085</v>
      </c>
    </row>
    <row r="920" spans="1:2" x14ac:dyDescent="0.25">
      <c r="A920" s="65">
        <v>919</v>
      </c>
      <c r="B920" s="139">
        <v>29363783.961111289</v>
      </c>
    </row>
    <row r="921" spans="1:2" x14ac:dyDescent="0.25">
      <c r="A921" s="65">
        <v>920</v>
      </c>
      <c r="B921" s="139">
        <v>29250174.364401575</v>
      </c>
    </row>
    <row r="922" spans="1:2" x14ac:dyDescent="0.25">
      <c r="A922" s="65">
        <v>921</v>
      </c>
      <c r="B922" s="139">
        <v>29828319.5030885</v>
      </c>
    </row>
    <row r="923" spans="1:2" x14ac:dyDescent="0.25">
      <c r="A923" s="65">
        <v>922</v>
      </c>
      <c r="B923" s="139">
        <v>28494102.157292984</v>
      </c>
    </row>
    <row r="924" spans="1:2" x14ac:dyDescent="0.25">
      <c r="A924" s="65">
        <v>923</v>
      </c>
      <c r="B924" s="139">
        <v>29735772.738914024</v>
      </c>
    </row>
    <row r="925" spans="1:2" x14ac:dyDescent="0.25">
      <c r="A925" s="65">
        <v>924</v>
      </c>
      <c r="B925" s="139">
        <v>28784872.042808738</v>
      </c>
    </row>
    <row r="926" spans="1:2" x14ac:dyDescent="0.25">
      <c r="A926" s="65">
        <v>925</v>
      </c>
      <c r="B926" s="139">
        <v>29344847.841603626</v>
      </c>
    </row>
    <row r="927" spans="1:2" x14ac:dyDescent="0.25">
      <c r="A927" s="65">
        <v>926</v>
      </c>
      <c r="B927" s="139">
        <v>28619639.666960683</v>
      </c>
    </row>
    <row r="928" spans="1:2" x14ac:dyDescent="0.25">
      <c r="A928" s="65">
        <v>927</v>
      </c>
      <c r="B928" s="139">
        <v>29384318.40748151</v>
      </c>
    </row>
    <row r="929" spans="1:2" x14ac:dyDescent="0.25">
      <c r="A929" s="65">
        <v>928</v>
      </c>
      <c r="B929" s="139">
        <v>29404801.507606782</v>
      </c>
    </row>
    <row r="930" spans="1:2" x14ac:dyDescent="0.25">
      <c r="A930" s="65">
        <v>929</v>
      </c>
      <c r="B930" s="139">
        <v>30231294.817483518</v>
      </c>
    </row>
    <row r="931" spans="1:2" x14ac:dyDescent="0.25">
      <c r="A931" s="65">
        <v>930</v>
      </c>
      <c r="B931" s="139">
        <v>29173192.181864854</v>
      </c>
    </row>
    <row r="932" spans="1:2" x14ac:dyDescent="0.25">
      <c r="A932" s="65">
        <v>931</v>
      </c>
      <c r="B932" s="139">
        <v>34242955.369568527</v>
      </c>
    </row>
    <row r="933" spans="1:2" x14ac:dyDescent="0.25">
      <c r="A933" s="65">
        <v>932</v>
      </c>
      <c r="B933" s="139">
        <v>29406237.40935865</v>
      </c>
    </row>
    <row r="934" spans="1:2" x14ac:dyDescent="0.25">
      <c r="A934" s="65">
        <v>933</v>
      </c>
      <c r="B934" s="139">
        <v>31107977.581012711</v>
      </c>
    </row>
    <row r="935" spans="1:2" x14ac:dyDescent="0.25">
      <c r="A935" s="65">
        <v>934</v>
      </c>
      <c r="B935" s="139">
        <v>28924113.268921003</v>
      </c>
    </row>
    <row r="936" spans="1:2" x14ac:dyDescent="0.25">
      <c r="A936" s="65">
        <v>935</v>
      </c>
      <c r="B936" s="139">
        <v>28755219.788159046</v>
      </c>
    </row>
    <row r="937" spans="1:2" x14ac:dyDescent="0.25">
      <c r="A937" s="65">
        <v>936</v>
      </c>
      <c r="B937" s="139">
        <v>29380994.419166584</v>
      </c>
    </row>
    <row r="938" spans="1:2" x14ac:dyDescent="0.25">
      <c r="A938" s="65">
        <v>937</v>
      </c>
      <c r="B938" s="139">
        <v>30688760.954625908</v>
      </c>
    </row>
    <row r="939" spans="1:2" x14ac:dyDescent="0.25">
      <c r="A939" s="65">
        <v>938</v>
      </c>
      <c r="B939" s="139">
        <v>31197502.281755485</v>
      </c>
    </row>
    <row r="940" spans="1:2" x14ac:dyDescent="0.25">
      <c r="A940" s="65">
        <v>939</v>
      </c>
      <c r="B940" s="139">
        <v>28685715.474122673</v>
      </c>
    </row>
    <row r="941" spans="1:2" x14ac:dyDescent="0.25">
      <c r="A941" s="65">
        <v>940</v>
      </c>
      <c r="B941" s="139">
        <v>28898368.857704114</v>
      </c>
    </row>
    <row r="942" spans="1:2" x14ac:dyDescent="0.25">
      <c r="A942" s="65">
        <v>941</v>
      </c>
      <c r="B942" s="139">
        <v>29500646.199898306</v>
      </c>
    </row>
    <row r="943" spans="1:2" x14ac:dyDescent="0.25">
      <c r="A943" s="65">
        <v>942</v>
      </c>
      <c r="B943" s="139">
        <v>28591600.222851738</v>
      </c>
    </row>
    <row r="944" spans="1:2" x14ac:dyDescent="0.25">
      <c r="A944" s="65">
        <v>943</v>
      </c>
      <c r="B944" s="139">
        <v>29126016.419697814</v>
      </c>
    </row>
    <row r="945" spans="1:2" x14ac:dyDescent="0.25">
      <c r="A945" s="65">
        <v>944</v>
      </c>
      <c r="B945" s="139">
        <v>29008096.277012751</v>
      </c>
    </row>
    <row r="946" spans="1:2" x14ac:dyDescent="0.25">
      <c r="A946" s="65">
        <v>945</v>
      </c>
      <c r="B946" s="139">
        <v>29090034.552643191</v>
      </c>
    </row>
    <row r="947" spans="1:2" x14ac:dyDescent="0.25">
      <c r="A947" s="65">
        <v>946</v>
      </c>
      <c r="B947" s="139">
        <v>28649940.809862599</v>
      </c>
    </row>
    <row r="948" spans="1:2" x14ac:dyDescent="0.25">
      <c r="A948" s="65">
        <v>947</v>
      </c>
      <c r="B948" s="139">
        <v>28855363.947170313</v>
      </c>
    </row>
    <row r="949" spans="1:2" x14ac:dyDescent="0.25">
      <c r="A949" s="65">
        <v>948</v>
      </c>
      <c r="B949" s="139">
        <v>29147221.148084842</v>
      </c>
    </row>
    <row r="950" spans="1:2" x14ac:dyDescent="0.25">
      <c r="A950" s="65">
        <v>949</v>
      </c>
      <c r="B950" s="139">
        <v>31887437.878020946</v>
      </c>
    </row>
    <row r="951" spans="1:2" x14ac:dyDescent="0.25">
      <c r="A951" s="65">
        <v>950</v>
      </c>
      <c r="B951" s="139">
        <v>29001548.421916809</v>
      </c>
    </row>
    <row r="952" spans="1:2" x14ac:dyDescent="0.25">
      <c r="A952" s="65">
        <v>951</v>
      </c>
      <c r="B952" s="139">
        <v>29550077.425242875</v>
      </c>
    </row>
    <row r="953" spans="1:2" x14ac:dyDescent="0.25">
      <c r="A953" s="65">
        <v>952</v>
      </c>
      <c r="B953" s="139">
        <v>28613627.228720993</v>
      </c>
    </row>
    <row r="954" spans="1:2" x14ac:dyDescent="0.25">
      <c r="A954" s="65">
        <v>953</v>
      </c>
      <c r="B954" s="139">
        <v>29672887.097172152</v>
      </c>
    </row>
    <row r="955" spans="1:2" x14ac:dyDescent="0.25">
      <c r="A955" s="65">
        <v>954</v>
      </c>
      <c r="B955" s="139">
        <v>28540891.74207576</v>
      </c>
    </row>
    <row r="956" spans="1:2" x14ac:dyDescent="0.25">
      <c r="A956" s="65">
        <v>955</v>
      </c>
      <c r="B956" s="139">
        <v>28998652.96783128</v>
      </c>
    </row>
    <row r="957" spans="1:2" x14ac:dyDescent="0.25">
      <c r="A957" s="65">
        <v>956</v>
      </c>
      <c r="B957" s="139">
        <v>29581211.017470762</v>
      </c>
    </row>
    <row r="958" spans="1:2" x14ac:dyDescent="0.25">
      <c r="A958" s="65">
        <v>957</v>
      </c>
      <c r="B958" s="139">
        <v>28759958.484808844</v>
      </c>
    </row>
    <row r="959" spans="1:2" x14ac:dyDescent="0.25">
      <c r="A959" s="65">
        <v>958</v>
      </c>
      <c r="B959" s="139">
        <v>29169927.126204237</v>
      </c>
    </row>
    <row r="960" spans="1:2" x14ac:dyDescent="0.25">
      <c r="A960" s="65">
        <v>959</v>
      </c>
      <c r="B960" s="139">
        <v>28496523.636497848</v>
      </c>
    </row>
    <row r="961" spans="1:2" x14ac:dyDescent="0.25">
      <c r="A961" s="65">
        <v>960</v>
      </c>
      <c r="B961" s="139">
        <v>28666483.008936536</v>
      </c>
    </row>
    <row r="962" spans="1:2" x14ac:dyDescent="0.25">
      <c r="A962" s="65">
        <v>961</v>
      </c>
      <c r="B962" s="139">
        <v>29496850.823491931</v>
      </c>
    </row>
    <row r="963" spans="1:2" x14ac:dyDescent="0.25">
      <c r="A963" s="65">
        <v>962</v>
      </c>
      <c r="B963" s="139">
        <v>28397389.995030127</v>
      </c>
    </row>
    <row r="964" spans="1:2" x14ac:dyDescent="0.25">
      <c r="A964" s="65">
        <v>963</v>
      </c>
      <c r="B964" s="139">
        <v>28903555.260500401</v>
      </c>
    </row>
    <row r="965" spans="1:2" x14ac:dyDescent="0.25">
      <c r="A965" s="65">
        <v>964</v>
      </c>
      <c r="B965" s="139">
        <v>29250641.375388563</v>
      </c>
    </row>
    <row r="966" spans="1:2" x14ac:dyDescent="0.25">
      <c r="A966" s="65">
        <v>965</v>
      </c>
      <c r="B966" s="139">
        <v>34041395.705471545</v>
      </c>
    </row>
    <row r="967" spans="1:2" x14ac:dyDescent="0.25">
      <c r="A967" s="65">
        <v>966</v>
      </c>
      <c r="B967" s="139">
        <v>28769538.046670645</v>
      </c>
    </row>
    <row r="968" spans="1:2" x14ac:dyDescent="0.25">
      <c r="A968" s="65">
        <v>967</v>
      </c>
      <c r="B968" s="139">
        <v>28986161.296066172</v>
      </c>
    </row>
    <row r="969" spans="1:2" x14ac:dyDescent="0.25">
      <c r="A969" s="65">
        <v>968</v>
      </c>
      <c r="B969" s="139">
        <v>30078692.90252988</v>
      </c>
    </row>
    <row r="970" spans="1:2" x14ac:dyDescent="0.25">
      <c r="A970" s="65">
        <v>969</v>
      </c>
      <c r="B970" s="139">
        <v>29328367.79086775</v>
      </c>
    </row>
    <row r="971" spans="1:2" x14ac:dyDescent="0.25">
      <c r="A971" s="65">
        <v>970</v>
      </c>
      <c r="B971" s="139">
        <v>29136389.722724903</v>
      </c>
    </row>
    <row r="972" spans="1:2" x14ac:dyDescent="0.25">
      <c r="A972" s="65">
        <v>971</v>
      </c>
      <c r="B972" s="139">
        <v>29220457.643012207</v>
      </c>
    </row>
    <row r="973" spans="1:2" x14ac:dyDescent="0.25">
      <c r="A973" s="65">
        <v>972</v>
      </c>
      <c r="B973" s="139">
        <v>31547634.685047034</v>
      </c>
    </row>
    <row r="974" spans="1:2" x14ac:dyDescent="0.25">
      <c r="A974" s="65">
        <v>973</v>
      </c>
      <c r="B974" s="139">
        <v>29307849.373436097</v>
      </c>
    </row>
    <row r="975" spans="1:2" x14ac:dyDescent="0.25">
      <c r="A975" s="65">
        <v>974</v>
      </c>
      <c r="B975" s="139">
        <v>28853521.953709777</v>
      </c>
    </row>
    <row r="976" spans="1:2" x14ac:dyDescent="0.25">
      <c r="A976" s="65">
        <v>975</v>
      </c>
      <c r="B976" s="139">
        <v>30415560.002165824</v>
      </c>
    </row>
    <row r="977" spans="1:2" x14ac:dyDescent="0.25">
      <c r="A977" s="65">
        <v>976</v>
      </c>
      <c r="B977" s="139">
        <v>29190322.052086845</v>
      </c>
    </row>
    <row r="978" spans="1:2" x14ac:dyDescent="0.25">
      <c r="A978" s="65">
        <v>977</v>
      </c>
      <c r="B978" s="139">
        <v>29982809.14352129</v>
      </c>
    </row>
    <row r="979" spans="1:2" x14ac:dyDescent="0.25">
      <c r="A979" s="65">
        <v>978</v>
      </c>
      <c r="B979" s="139">
        <v>29249393.775923323</v>
      </c>
    </row>
    <row r="980" spans="1:2" x14ac:dyDescent="0.25">
      <c r="A980" s="65">
        <v>979</v>
      </c>
      <c r="B980" s="139">
        <v>28913938.800827533</v>
      </c>
    </row>
    <row r="981" spans="1:2" x14ac:dyDescent="0.25">
      <c r="A981" s="65">
        <v>980</v>
      </c>
      <c r="B981" s="139">
        <v>30295989.37496702</v>
      </c>
    </row>
    <row r="982" spans="1:2" x14ac:dyDescent="0.25">
      <c r="A982" s="65">
        <v>981</v>
      </c>
      <c r="B982" s="139">
        <v>29547639.857210129</v>
      </c>
    </row>
    <row r="983" spans="1:2" x14ac:dyDescent="0.25">
      <c r="A983" s="65">
        <v>982</v>
      </c>
      <c r="B983" s="139">
        <v>28967516.568239123</v>
      </c>
    </row>
    <row r="984" spans="1:2" x14ac:dyDescent="0.25">
      <c r="A984" s="65">
        <v>983</v>
      </c>
      <c r="B984" s="139">
        <v>28538856.955124341</v>
      </c>
    </row>
    <row r="985" spans="1:2" x14ac:dyDescent="0.25">
      <c r="A985" s="65">
        <v>984</v>
      </c>
      <c r="B985" s="139">
        <v>29019340.599557098</v>
      </c>
    </row>
    <row r="986" spans="1:2" x14ac:dyDescent="0.25">
      <c r="A986" s="65">
        <v>985</v>
      </c>
      <c r="B986" s="139">
        <v>29917164.750878543</v>
      </c>
    </row>
    <row r="987" spans="1:2" x14ac:dyDescent="0.25">
      <c r="A987" s="65">
        <v>986</v>
      </c>
      <c r="B987" s="139">
        <v>28866305.004338484</v>
      </c>
    </row>
    <row r="988" spans="1:2" x14ac:dyDescent="0.25">
      <c r="A988" s="65">
        <v>987</v>
      </c>
      <c r="B988" s="139">
        <v>29265102.978169039</v>
      </c>
    </row>
    <row r="989" spans="1:2" x14ac:dyDescent="0.25">
      <c r="A989" s="65">
        <v>988</v>
      </c>
      <c r="B989" s="139">
        <v>28839789.310519729</v>
      </c>
    </row>
    <row r="990" spans="1:2" x14ac:dyDescent="0.25">
      <c r="A990" s="65">
        <v>989</v>
      </c>
      <c r="B990" s="139">
        <v>28368278.167348351</v>
      </c>
    </row>
    <row r="991" spans="1:2" x14ac:dyDescent="0.25">
      <c r="A991" s="65">
        <v>990</v>
      </c>
      <c r="B991" s="139">
        <v>29932613.339596897</v>
      </c>
    </row>
    <row r="992" spans="1:2" x14ac:dyDescent="0.25">
      <c r="A992" s="65">
        <v>991</v>
      </c>
      <c r="B992" s="139">
        <v>29910933.624343932</v>
      </c>
    </row>
    <row r="993" spans="1:2" x14ac:dyDescent="0.25">
      <c r="A993" s="65">
        <v>992</v>
      </c>
      <c r="B993" s="139">
        <v>28630326.906398978</v>
      </c>
    </row>
    <row r="994" spans="1:2" x14ac:dyDescent="0.25">
      <c r="A994" s="65">
        <v>993</v>
      </c>
      <c r="B994" s="139">
        <v>30120979.240928441</v>
      </c>
    </row>
    <row r="995" spans="1:2" x14ac:dyDescent="0.25">
      <c r="A995" s="65">
        <v>994</v>
      </c>
      <c r="B995" s="139">
        <v>28519761.046721</v>
      </c>
    </row>
    <row r="996" spans="1:2" x14ac:dyDescent="0.25">
      <c r="A996" s="65">
        <v>995</v>
      </c>
      <c r="B996" s="139">
        <v>29228210.35306669</v>
      </c>
    </row>
    <row r="997" spans="1:2" x14ac:dyDescent="0.25">
      <c r="A997" s="65">
        <v>996</v>
      </c>
      <c r="B997" s="139">
        <v>29208346.22358641</v>
      </c>
    </row>
    <row r="998" spans="1:2" x14ac:dyDescent="0.25">
      <c r="A998" s="65">
        <v>997</v>
      </c>
      <c r="B998" s="139">
        <v>29959294.86102036</v>
      </c>
    </row>
    <row r="999" spans="1:2" x14ac:dyDescent="0.25">
      <c r="A999" s="65">
        <v>998</v>
      </c>
      <c r="B999" s="139">
        <v>28552368.276719905</v>
      </c>
    </row>
    <row r="1000" spans="1:2" x14ac:dyDescent="0.25">
      <c r="A1000" s="65">
        <v>999</v>
      </c>
      <c r="B1000" s="139">
        <v>29116971.65838312</v>
      </c>
    </row>
    <row r="1001" spans="1:2" x14ac:dyDescent="0.25">
      <c r="A1001" s="65">
        <v>1000</v>
      </c>
      <c r="B1001" s="139">
        <v>28736518.483088613</v>
      </c>
    </row>
    <row r="1002" spans="1:2" x14ac:dyDescent="0.25">
      <c r="A1002" s="65">
        <v>1001</v>
      </c>
      <c r="B1002" s="64">
        <v>29413208.254261721</v>
      </c>
    </row>
    <row r="1003" spans="1:2" x14ac:dyDescent="0.25">
      <c r="A1003" s="65">
        <v>1002</v>
      </c>
      <c r="B1003" s="64">
        <v>28627495.093753874</v>
      </c>
    </row>
    <row r="1004" spans="1:2" x14ac:dyDescent="0.25">
      <c r="A1004" s="65">
        <v>1003</v>
      </c>
      <c r="B1004" s="64">
        <v>33477793.005791415</v>
      </c>
    </row>
    <row r="1005" spans="1:2" x14ac:dyDescent="0.25">
      <c r="A1005" s="65">
        <v>1004</v>
      </c>
      <c r="B1005" s="64">
        <v>29086024.924032956</v>
      </c>
    </row>
    <row r="1006" spans="1:2" x14ac:dyDescent="0.25">
      <c r="A1006" s="65">
        <v>1005</v>
      </c>
      <c r="B1006" s="64">
        <v>30010193.794673342</v>
      </c>
    </row>
    <row r="1007" spans="1:2" x14ac:dyDescent="0.25">
      <c r="A1007" s="65">
        <v>1006</v>
      </c>
      <c r="B1007" s="64">
        <v>29155065.221719421</v>
      </c>
    </row>
    <row r="1008" spans="1:2" x14ac:dyDescent="0.25">
      <c r="A1008" s="65">
        <v>1007</v>
      </c>
      <c r="B1008" s="64">
        <v>28882822.410184354</v>
      </c>
    </row>
    <row r="1009" spans="1:2" x14ac:dyDescent="0.25">
      <c r="A1009" s="65">
        <v>1008</v>
      </c>
      <c r="B1009" s="64">
        <v>29243434.4504475</v>
      </c>
    </row>
    <row r="1010" spans="1:2" x14ac:dyDescent="0.25">
      <c r="A1010" s="65">
        <v>1009</v>
      </c>
      <c r="B1010" s="64">
        <v>28650902.481410485</v>
      </c>
    </row>
    <row r="1011" spans="1:2" x14ac:dyDescent="0.25">
      <c r="A1011" s="65">
        <v>1010</v>
      </c>
      <c r="B1011" s="64">
        <v>33692680.10350991</v>
      </c>
    </row>
    <row r="1012" spans="1:2" x14ac:dyDescent="0.25">
      <c r="A1012" s="65">
        <v>1011</v>
      </c>
      <c r="B1012" s="64">
        <v>28806777.063783508</v>
      </c>
    </row>
    <row r="1013" spans="1:2" x14ac:dyDescent="0.25">
      <c r="A1013" s="65">
        <v>1012</v>
      </c>
      <c r="B1013" s="64">
        <v>29164791.008518383</v>
      </c>
    </row>
    <row r="1014" spans="1:2" x14ac:dyDescent="0.25">
      <c r="A1014" s="65">
        <v>1013</v>
      </c>
      <c r="B1014" s="64">
        <v>28645062.255844977</v>
      </c>
    </row>
    <row r="1015" spans="1:2" x14ac:dyDescent="0.25">
      <c r="A1015" s="65">
        <v>1014</v>
      </c>
      <c r="B1015" s="64">
        <v>29729509.258383919</v>
      </c>
    </row>
    <row r="1016" spans="1:2" x14ac:dyDescent="0.25">
      <c r="A1016" s="65">
        <v>1015</v>
      </c>
      <c r="B1016" s="64">
        <v>28999778.737034075</v>
      </c>
    </row>
    <row r="1017" spans="1:2" x14ac:dyDescent="0.25">
      <c r="A1017" s="65">
        <v>1016</v>
      </c>
      <c r="B1017" s="64">
        <v>29118979.89146496</v>
      </c>
    </row>
    <row r="1018" spans="1:2" x14ac:dyDescent="0.25">
      <c r="A1018" s="65">
        <v>1017</v>
      </c>
      <c r="B1018" s="64">
        <v>28546038.318690538</v>
      </c>
    </row>
    <row r="1019" spans="1:2" x14ac:dyDescent="0.25">
      <c r="A1019" s="65">
        <v>1018</v>
      </c>
      <c r="B1019" s="64">
        <v>28969510.788921043</v>
      </c>
    </row>
    <row r="1020" spans="1:2" x14ac:dyDescent="0.25">
      <c r="A1020" s="65">
        <v>1019</v>
      </c>
      <c r="B1020" s="64">
        <v>30028626.640832134</v>
      </c>
    </row>
    <row r="1021" spans="1:2" x14ac:dyDescent="0.25">
      <c r="A1021" s="65">
        <v>1020</v>
      </c>
      <c r="B1021" s="64">
        <v>28898403.804474372</v>
      </c>
    </row>
    <row r="1022" spans="1:2" x14ac:dyDescent="0.25">
      <c r="A1022" s="65">
        <v>1021</v>
      </c>
      <c r="B1022" s="64">
        <v>29512776.207530834</v>
      </c>
    </row>
    <row r="1023" spans="1:2" x14ac:dyDescent="0.25">
      <c r="A1023" s="65">
        <v>1022</v>
      </c>
      <c r="B1023" s="64">
        <v>29136699.48684549</v>
      </c>
    </row>
    <row r="1024" spans="1:2" x14ac:dyDescent="0.25">
      <c r="A1024" s="65">
        <v>1023</v>
      </c>
      <c r="B1024" s="64">
        <v>30870485.645970207</v>
      </c>
    </row>
    <row r="1025" spans="1:2" x14ac:dyDescent="0.25">
      <c r="A1025" s="65">
        <v>1024</v>
      </c>
      <c r="B1025" s="64">
        <v>28860239.133408263</v>
      </c>
    </row>
    <row r="1026" spans="1:2" x14ac:dyDescent="0.25">
      <c r="A1026" s="65">
        <v>1025</v>
      </c>
      <c r="B1026" s="64">
        <v>29203434.254354246</v>
      </c>
    </row>
    <row r="1027" spans="1:2" x14ac:dyDescent="0.25">
      <c r="A1027" s="65">
        <v>1026</v>
      </c>
      <c r="B1027" s="64">
        <v>30052638.310275212</v>
      </c>
    </row>
    <row r="1028" spans="1:2" x14ac:dyDescent="0.25">
      <c r="A1028" s="65">
        <v>1027</v>
      </c>
      <c r="B1028" s="64">
        <v>28636412.133276455</v>
      </c>
    </row>
    <row r="1029" spans="1:2" x14ac:dyDescent="0.25">
      <c r="A1029" s="65">
        <v>1028</v>
      </c>
      <c r="B1029" s="64">
        <v>28977926.098234542</v>
      </c>
    </row>
    <row r="1030" spans="1:2" x14ac:dyDescent="0.25">
      <c r="A1030" s="65">
        <v>1029</v>
      </c>
      <c r="B1030" s="64">
        <v>29381772.959222786</v>
      </c>
    </row>
    <row r="1031" spans="1:2" x14ac:dyDescent="0.25">
      <c r="A1031" s="65">
        <v>1030</v>
      </c>
      <c r="B1031" s="64">
        <v>33755661.809662201</v>
      </c>
    </row>
    <row r="1032" spans="1:2" x14ac:dyDescent="0.25">
      <c r="A1032" s="65">
        <v>1031</v>
      </c>
      <c r="B1032" s="64">
        <v>28864829.182140373</v>
      </c>
    </row>
    <row r="1033" spans="1:2" x14ac:dyDescent="0.25">
      <c r="A1033" s="65">
        <v>1032</v>
      </c>
      <c r="B1033" s="64">
        <v>29188863.952410452</v>
      </c>
    </row>
    <row r="1034" spans="1:2" x14ac:dyDescent="0.25">
      <c r="A1034" s="65">
        <v>1033</v>
      </c>
      <c r="B1034" s="64">
        <v>28910718.252610367</v>
      </c>
    </row>
    <row r="1035" spans="1:2" x14ac:dyDescent="0.25">
      <c r="A1035" s="65">
        <v>1034</v>
      </c>
      <c r="B1035" s="64">
        <v>28669487.480515696</v>
      </c>
    </row>
    <row r="1036" spans="1:2" x14ac:dyDescent="0.25">
      <c r="A1036" s="65">
        <v>1035</v>
      </c>
      <c r="B1036" s="64">
        <v>28573910.22379284</v>
      </c>
    </row>
    <row r="1037" spans="1:2" x14ac:dyDescent="0.25">
      <c r="A1037" s="65">
        <v>1036</v>
      </c>
      <c r="B1037" s="64">
        <v>29133796.388620872</v>
      </c>
    </row>
    <row r="1038" spans="1:2" x14ac:dyDescent="0.25">
      <c r="A1038" s="65">
        <v>1037</v>
      </c>
      <c r="B1038" s="64">
        <v>30703578.209500257</v>
      </c>
    </row>
    <row r="1039" spans="1:2" x14ac:dyDescent="0.25">
      <c r="A1039" s="65">
        <v>1038</v>
      </c>
      <c r="B1039" s="64">
        <v>28609205.629579894</v>
      </c>
    </row>
    <row r="1040" spans="1:2" x14ac:dyDescent="0.25">
      <c r="A1040" s="65">
        <v>1039</v>
      </c>
      <c r="B1040" s="64">
        <v>29204658.028629582</v>
      </c>
    </row>
    <row r="1041" spans="1:2" x14ac:dyDescent="0.25">
      <c r="A1041" s="65">
        <v>1040</v>
      </c>
      <c r="B1041" s="64">
        <v>28965907.449954659</v>
      </c>
    </row>
    <row r="1042" spans="1:2" x14ac:dyDescent="0.25">
      <c r="A1042" s="65">
        <v>1041</v>
      </c>
      <c r="B1042" s="64">
        <v>28422897.72865776</v>
      </c>
    </row>
    <row r="1043" spans="1:2" x14ac:dyDescent="0.25">
      <c r="A1043" s="65">
        <v>1042</v>
      </c>
      <c r="B1043" s="64">
        <v>29197503.084773857</v>
      </c>
    </row>
    <row r="1044" spans="1:2" x14ac:dyDescent="0.25">
      <c r="A1044" s="65">
        <v>1043</v>
      </c>
      <c r="B1044" s="64">
        <v>28810167.049808767</v>
      </c>
    </row>
    <row r="1045" spans="1:2" x14ac:dyDescent="0.25">
      <c r="A1045" s="65">
        <v>1044</v>
      </c>
      <c r="B1045" s="64">
        <v>28400016.425882205</v>
      </c>
    </row>
    <row r="1046" spans="1:2" x14ac:dyDescent="0.25">
      <c r="A1046" s="65">
        <v>1045</v>
      </c>
      <c r="B1046" s="64">
        <v>28731609.250117205</v>
      </c>
    </row>
    <row r="1047" spans="1:2" x14ac:dyDescent="0.25">
      <c r="A1047" s="65">
        <v>1046</v>
      </c>
      <c r="B1047" s="64">
        <v>28809537.415285677</v>
      </c>
    </row>
    <row r="1048" spans="1:2" x14ac:dyDescent="0.25">
      <c r="A1048" s="65">
        <v>1047</v>
      </c>
      <c r="B1048" s="64">
        <v>28679676.149755768</v>
      </c>
    </row>
    <row r="1049" spans="1:2" x14ac:dyDescent="0.25">
      <c r="A1049" s="65">
        <v>1048</v>
      </c>
      <c r="B1049" s="64">
        <v>28825011.038217399</v>
      </c>
    </row>
    <row r="1050" spans="1:2" x14ac:dyDescent="0.25">
      <c r="A1050" s="65">
        <v>1049</v>
      </c>
      <c r="B1050" s="64">
        <v>29012781.805691171</v>
      </c>
    </row>
    <row r="1051" spans="1:2" x14ac:dyDescent="0.25">
      <c r="A1051" s="65">
        <v>1050</v>
      </c>
      <c r="B1051" s="64">
        <v>28445177.547934372</v>
      </c>
    </row>
    <row r="1052" spans="1:2" x14ac:dyDescent="0.25">
      <c r="A1052" s="65">
        <v>1051</v>
      </c>
      <c r="B1052" s="64">
        <v>29084254.864220273</v>
      </c>
    </row>
    <row r="1053" spans="1:2" x14ac:dyDescent="0.25">
      <c r="A1053" s="65">
        <v>1052</v>
      </c>
      <c r="B1053" s="64">
        <v>29086203.584389497</v>
      </c>
    </row>
    <row r="1054" spans="1:2" x14ac:dyDescent="0.25">
      <c r="A1054" s="65">
        <v>1053</v>
      </c>
      <c r="B1054" s="64">
        <v>30214353.963875882</v>
      </c>
    </row>
    <row r="1055" spans="1:2" x14ac:dyDescent="0.25">
      <c r="A1055" s="65">
        <v>1054</v>
      </c>
      <c r="B1055" s="64">
        <v>28750599.361776713</v>
      </c>
    </row>
    <row r="1056" spans="1:2" x14ac:dyDescent="0.25">
      <c r="A1056" s="65">
        <v>1055</v>
      </c>
      <c r="B1056" s="64">
        <v>29012206.066537049</v>
      </c>
    </row>
    <row r="1057" spans="1:2" x14ac:dyDescent="0.25">
      <c r="A1057" s="65">
        <v>1056</v>
      </c>
      <c r="B1057" s="64">
        <v>32905710.356378276</v>
      </c>
    </row>
    <row r="1058" spans="1:2" x14ac:dyDescent="0.25">
      <c r="A1058" s="65">
        <v>1057</v>
      </c>
      <c r="B1058" s="64">
        <v>28687854.083920434</v>
      </c>
    </row>
    <row r="1059" spans="1:2" x14ac:dyDescent="0.25">
      <c r="A1059" s="65">
        <v>1058</v>
      </c>
      <c r="B1059" s="64">
        <v>28894319.852049846</v>
      </c>
    </row>
    <row r="1060" spans="1:2" x14ac:dyDescent="0.25">
      <c r="A1060" s="65">
        <v>1059</v>
      </c>
      <c r="B1060" s="64">
        <v>28560172.293961592</v>
      </c>
    </row>
    <row r="1061" spans="1:2" x14ac:dyDescent="0.25">
      <c r="A1061" s="65">
        <v>1060</v>
      </c>
      <c r="B1061" s="64">
        <v>28565299.340350222</v>
      </c>
    </row>
    <row r="1062" spans="1:2" x14ac:dyDescent="0.25">
      <c r="A1062" s="65">
        <v>1061</v>
      </c>
      <c r="B1062" s="64">
        <v>29286976.798312724</v>
      </c>
    </row>
    <row r="1063" spans="1:2" x14ac:dyDescent="0.25">
      <c r="A1063" s="65">
        <v>1062</v>
      </c>
      <c r="B1063" s="64">
        <v>29677006.04968518</v>
      </c>
    </row>
    <row r="1064" spans="1:2" x14ac:dyDescent="0.25">
      <c r="A1064" s="65">
        <v>1063</v>
      </c>
      <c r="B1064" s="64">
        <v>29343271.797549609</v>
      </c>
    </row>
    <row r="1065" spans="1:2" x14ac:dyDescent="0.25">
      <c r="A1065" s="65">
        <v>1064</v>
      </c>
      <c r="B1065" s="64">
        <v>29138255.233500019</v>
      </c>
    </row>
    <row r="1066" spans="1:2" x14ac:dyDescent="0.25">
      <c r="A1066" s="65">
        <v>1065</v>
      </c>
      <c r="B1066" s="64">
        <v>28503818.925505191</v>
      </c>
    </row>
    <row r="1067" spans="1:2" x14ac:dyDescent="0.25">
      <c r="A1067" s="65">
        <v>1066</v>
      </c>
      <c r="B1067" s="64">
        <v>31237160.106665034</v>
      </c>
    </row>
    <row r="1068" spans="1:2" x14ac:dyDescent="0.25">
      <c r="A1068" s="65">
        <v>1067</v>
      </c>
      <c r="B1068" s="64">
        <v>28600291.142845202</v>
      </c>
    </row>
    <row r="1069" spans="1:2" x14ac:dyDescent="0.25">
      <c r="A1069" s="65">
        <v>1068</v>
      </c>
      <c r="B1069" s="64">
        <v>29677049.844211113</v>
      </c>
    </row>
    <row r="1070" spans="1:2" x14ac:dyDescent="0.25">
      <c r="A1070" s="65">
        <v>1069</v>
      </c>
      <c r="B1070" s="64">
        <v>30293645.63020511</v>
      </c>
    </row>
    <row r="1071" spans="1:2" x14ac:dyDescent="0.25">
      <c r="A1071" s="65">
        <v>1070</v>
      </c>
      <c r="B1071" s="64">
        <v>28535265.384993557</v>
      </c>
    </row>
    <row r="1072" spans="1:2" x14ac:dyDescent="0.25">
      <c r="A1072" s="65">
        <v>1071</v>
      </c>
      <c r="B1072" s="64">
        <v>30407399.487830162</v>
      </c>
    </row>
    <row r="1073" spans="1:2" x14ac:dyDescent="0.25">
      <c r="A1073" s="65">
        <v>1072</v>
      </c>
      <c r="B1073" s="64">
        <v>28568382.077055003</v>
      </c>
    </row>
    <row r="1074" spans="1:2" x14ac:dyDescent="0.25">
      <c r="A1074" s="65">
        <v>1073</v>
      </c>
      <c r="B1074" s="64">
        <v>29505693.623639263</v>
      </c>
    </row>
    <row r="1075" spans="1:2" x14ac:dyDescent="0.25">
      <c r="A1075" s="65">
        <v>1074</v>
      </c>
      <c r="B1075" s="64">
        <v>28829785.904634945</v>
      </c>
    </row>
    <row r="1076" spans="1:2" x14ac:dyDescent="0.25">
      <c r="A1076" s="65">
        <v>1075</v>
      </c>
      <c r="B1076" s="64">
        <v>28721174.440113187</v>
      </c>
    </row>
    <row r="1077" spans="1:2" x14ac:dyDescent="0.25">
      <c r="A1077" s="65">
        <v>1076</v>
      </c>
      <c r="B1077" s="64">
        <v>28623285.589617897</v>
      </c>
    </row>
    <row r="1078" spans="1:2" x14ac:dyDescent="0.25">
      <c r="A1078" s="65">
        <v>1077</v>
      </c>
      <c r="B1078" s="64">
        <v>30293663.688152216</v>
      </c>
    </row>
    <row r="1079" spans="1:2" x14ac:dyDescent="0.25">
      <c r="A1079" s="65">
        <v>1078</v>
      </c>
      <c r="B1079" s="64">
        <v>29517753.003835652</v>
      </c>
    </row>
    <row r="1080" spans="1:2" x14ac:dyDescent="0.25">
      <c r="A1080" s="65">
        <v>1079</v>
      </c>
      <c r="B1080" s="64">
        <v>29436899.423071697</v>
      </c>
    </row>
    <row r="1081" spans="1:2" x14ac:dyDescent="0.25">
      <c r="A1081" s="65">
        <v>1080</v>
      </c>
      <c r="B1081" s="64">
        <v>29800088.40343228</v>
      </c>
    </row>
    <row r="1082" spans="1:2" x14ac:dyDescent="0.25">
      <c r="A1082" s="65">
        <v>1081</v>
      </c>
      <c r="B1082" s="64">
        <v>28503809.060171254</v>
      </c>
    </row>
    <row r="1083" spans="1:2" x14ac:dyDescent="0.25">
      <c r="A1083" s="65">
        <v>1082</v>
      </c>
      <c r="B1083" s="64">
        <v>29420416.067501653</v>
      </c>
    </row>
    <row r="1084" spans="1:2" x14ac:dyDescent="0.25">
      <c r="A1084" s="65">
        <v>1083</v>
      </c>
      <c r="B1084" s="64">
        <v>29954741.528870761</v>
      </c>
    </row>
    <row r="1085" spans="1:2" x14ac:dyDescent="0.25">
      <c r="A1085" s="65">
        <v>1084</v>
      </c>
      <c r="B1085" s="64">
        <v>29223722.921829335</v>
      </c>
    </row>
    <row r="1086" spans="1:2" x14ac:dyDescent="0.25">
      <c r="A1086" s="65">
        <v>1085</v>
      </c>
      <c r="B1086" s="64">
        <v>29619346.145430379</v>
      </c>
    </row>
    <row r="1087" spans="1:2" x14ac:dyDescent="0.25">
      <c r="A1087" s="65">
        <v>1086</v>
      </c>
      <c r="B1087" s="64">
        <v>28931188.964429662</v>
      </c>
    </row>
    <row r="1088" spans="1:2" x14ac:dyDescent="0.25">
      <c r="A1088" s="65">
        <v>1087</v>
      </c>
      <c r="B1088" s="64">
        <v>31748641.234752469</v>
      </c>
    </row>
    <row r="1089" spans="1:2" x14ac:dyDescent="0.25">
      <c r="A1089" s="65">
        <v>1088</v>
      </c>
      <c r="B1089" s="64">
        <v>29330370.35853136</v>
      </c>
    </row>
    <row r="1090" spans="1:2" x14ac:dyDescent="0.25">
      <c r="A1090" s="65">
        <v>1089</v>
      </c>
      <c r="B1090" s="64">
        <v>29167167.226786163</v>
      </c>
    </row>
    <row r="1091" spans="1:2" x14ac:dyDescent="0.25">
      <c r="A1091" s="65">
        <v>1090</v>
      </c>
      <c r="B1091" s="64">
        <v>28910703.745000876</v>
      </c>
    </row>
    <row r="1092" spans="1:2" x14ac:dyDescent="0.25">
      <c r="A1092" s="65">
        <v>1091</v>
      </c>
      <c r="B1092" s="64">
        <v>30561201.791400559</v>
      </c>
    </row>
    <row r="1093" spans="1:2" x14ac:dyDescent="0.25">
      <c r="A1093" s="65">
        <v>1092</v>
      </c>
      <c r="B1093" s="64">
        <v>28544655.692062829</v>
      </c>
    </row>
    <row r="1094" spans="1:2" x14ac:dyDescent="0.25">
      <c r="A1094" s="65">
        <v>1093</v>
      </c>
      <c r="B1094" s="64">
        <v>29337770.703699332</v>
      </c>
    </row>
    <row r="1095" spans="1:2" x14ac:dyDescent="0.25">
      <c r="A1095" s="65">
        <v>1094</v>
      </c>
      <c r="B1095" s="64">
        <v>29002376.482459269</v>
      </c>
    </row>
    <row r="1096" spans="1:2" x14ac:dyDescent="0.25">
      <c r="A1096" s="65">
        <v>1095</v>
      </c>
      <c r="B1096" s="64">
        <v>29260753.224730592</v>
      </c>
    </row>
    <row r="1097" spans="1:2" x14ac:dyDescent="0.25">
      <c r="A1097" s="65">
        <v>1096</v>
      </c>
      <c r="B1097" s="64">
        <v>28518382.95607356</v>
      </c>
    </row>
    <row r="1098" spans="1:2" x14ac:dyDescent="0.25">
      <c r="A1098" s="65">
        <v>1097</v>
      </c>
      <c r="B1098" s="64">
        <v>29730702.369441029</v>
      </c>
    </row>
    <row r="1099" spans="1:2" x14ac:dyDescent="0.25">
      <c r="A1099" s="65">
        <v>1098</v>
      </c>
      <c r="B1099" s="64">
        <v>28920388.262806796</v>
      </c>
    </row>
    <row r="1100" spans="1:2" x14ac:dyDescent="0.25">
      <c r="A1100" s="65">
        <v>1099</v>
      </c>
      <c r="B1100" s="64">
        <v>28687073.001584031</v>
      </c>
    </row>
    <row r="1101" spans="1:2" x14ac:dyDescent="0.25">
      <c r="A1101" s="65">
        <v>1100</v>
      </c>
      <c r="B1101" s="64">
        <v>29042962.884307828</v>
      </c>
    </row>
    <row r="1102" spans="1:2" x14ac:dyDescent="0.25">
      <c r="A1102" s="65">
        <v>1101</v>
      </c>
      <c r="B1102" s="64">
        <v>28731872.438418638</v>
      </c>
    </row>
    <row r="1103" spans="1:2" x14ac:dyDescent="0.25">
      <c r="A1103" s="65">
        <v>1102</v>
      </c>
      <c r="B1103" s="64">
        <v>29007289.730931096</v>
      </c>
    </row>
    <row r="1104" spans="1:2" x14ac:dyDescent="0.25">
      <c r="A1104" s="65">
        <v>1103</v>
      </c>
      <c r="B1104" s="64">
        <v>28852960.468489014</v>
      </c>
    </row>
    <row r="1105" spans="1:2" x14ac:dyDescent="0.25">
      <c r="A1105" s="65">
        <v>1104</v>
      </c>
      <c r="B1105" s="64">
        <v>28800618.373385709</v>
      </c>
    </row>
    <row r="1106" spans="1:2" x14ac:dyDescent="0.25">
      <c r="A1106" s="65">
        <v>1105</v>
      </c>
      <c r="B1106" s="64">
        <v>29134548.896893919</v>
      </c>
    </row>
    <row r="1107" spans="1:2" x14ac:dyDescent="0.25">
      <c r="A1107" s="65">
        <v>1106</v>
      </c>
      <c r="B1107" s="64">
        <v>29525657.150522605</v>
      </c>
    </row>
    <row r="1108" spans="1:2" x14ac:dyDescent="0.25">
      <c r="A1108" s="65">
        <v>1107</v>
      </c>
      <c r="B1108" s="64">
        <v>28510381.38665434</v>
      </c>
    </row>
    <row r="1109" spans="1:2" x14ac:dyDescent="0.25">
      <c r="A1109" s="65">
        <v>1108</v>
      </c>
      <c r="B1109" s="64">
        <v>29549203.261846356</v>
      </c>
    </row>
    <row r="1110" spans="1:2" x14ac:dyDescent="0.25">
      <c r="A1110" s="65">
        <v>1109</v>
      </c>
      <c r="B1110" s="64">
        <v>29254664.691061743</v>
      </c>
    </row>
    <row r="1111" spans="1:2" x14ac:dyDescent="0.25">
      <c r="A1111" s="65">
        <v>1110</v>
      </c>
      <c r="B1111" s="64">
        <v>29070150.980315555</v>
      </c>
    </row>
    <row r="1112" spans="1:2" x14ac:dyDescent="0.25">
      <c r="A1112" s="65">
        <v>1111</v>
      </c>
      <c r="B1112" s="64">
        <v>33652535.287482806</v>
      </c>
    </row>
    <row r="1113" spans="1:2" x14ac:dyDescent="0.25">
      <c r="A1113" s="65">
        <v>1112</v>
      </c>
      <c r="B1113" s="64">
        <v>29955160.823142774</v>
      </c>
    </row>
    <row r="1114" spans="1:2" x14ac:dyDescent="0.25">
      <c r="A1114" s="65">
        <v>1113</v>
      </c>
      <c r="B1114" s="64">
        <v>28723306.436208263</v>
      </c>
    </row>
    <row r="1115" spans="1:2" x14ac:dyDescent="0.25">
      <c r="A1115" s="65">
        <v>1114</v>
      </c>
      <c r="B1115" s="64">
        <v>29432612.514381483</v>
      </c>
    </row>
    <row r="1116" spans="1:2" x14ac:dyDescent="0.25">
      <c r="A1116" s="65">
        <v>1115</v>
      </c>
      <c r="B1116" s="64">
        <v>29177383.687226672</v>
      </c>
    </row>
    <row r="1117" spans="1:2" x14ac:dyDescent="0.25">
      <c r="A1117" s="65">
        <v>1116</v>
      </c>
      <c r="B1117" s="64">
        <v>29210305.418784667</v>
      </c>
    </row>
    <row r="1118" spans="1:2" x14ac:dyDescent="0.25">
      <c r="A1118" s="65">
        <v>1117</v>
      </c>
      <c r="B1118" s="64">
        <v>29603494.815313786</v>
      </c>
    </row>
    <row r="1119" spans="1:2" x14ac:dyDescent="0.25">
      <c r="A1119" s="65">
        <v>1118</v>
      </c>
      <c r="B1119" s="64">
        <v>29903000.307386249</v>
      </c>
    </row>
    <row r="1120" spans="1:2" x14ac:dyDescent="0.25">
      <c r="A1120" s="65">
        <v>1119</v>
      </c>
      <c r="B1120" s="64">
        <v>29342497.769359548</v>
      </c>
    </row>
    <row r="1121" spans="1:2" x14ac:dyDescent="0.25">
      <c r="A1121" s="65">
        <v>1120</v>
      </c>
      <c r="B1121" s="64">
        <v>29159471.082916975</v>
      </c>
    </row>
    <row r="1122" spans="1:2" x14ac:dyDescent="0.25">
      <c r="A1122" s="65">
        <v>1121</v>
      </c>
      <c r="B1122" s="64">
        <v>29080119.678330716</v>
      </c>
    </row>
    <row r="1123" spans="1:2" x14ac:dyDescent="0.25">
      <c r="A1123" s="65">
        <v>1122</v>
      </c>
      <c r="B1123" s="64">
        <v>31167362.093897667</v>
      </c>
    </row>
    <row r="1124" spans="1:2" x14ac:dyDescent="0.25">
      <c r="A1124" s="65">
        <v>1123</v>
      </c>
      <c r="B1124" s="64">
        <v>29256869.386634585</v>
      </c>
    </row>
    <row r="1125" spans="1:2" x14ac:dyDescent="0.25">
      <c r="A1125" s="65">
        <v>1124</v>
      </c>
      <c r="B1125" s="64">
        <v>28932087.981116541</v>
      </c>
    </row>
    <row r="1126" spans="1:2" x14ac:dyDescent="0.25">
      <c r="A1126" s="65">
        <v>1125</v>
      </c>
      <c r="B1126" s="64">
        <v>28698855.440280724</v>
      </c>
    </row>
    <row r="1127" spans="1:2" x14ac:dyDescent="0.25">
      <c r="A1127" s="65">
        <v>1126</v>
      </c>
      <c r="B1127" s="64">
        <v>29787646.824807875</v>
      </c>
    </row>
    <row r="1128" spans="1:2" x14ac:dyDescent="0.25">
      <c r="A1128" s="65">
        <v>1127</v>
      </c>
      <c r="B1128" s="64">
        <v>29061789.252183463</v>
      </c>
    </row>
    <row r="1129" spans="1:2" x14ac:dyDescent="0.25">
      <c r="A1129" s="65">
        <v>1128</v>
      </c>
      <c r="B1129" s="64">
        <v>29404079.003852777</v>
      </c>
    </row>
    <row r="1130" spans="1:2" x14ac:dyDescent="0.25">
      <c r="A1130" s="65">
        <v>1129</v>
      </c>
      <c r="B1130" s="64">
        <v>29146363.819419142</v>
      </c>
    </row>
    <row r="1131" spans="1:2" x14ac:dyDescent="0.25">
      <c r="A1131" s="65">
        <v>1130</v>
      </c>
      <c r="B1131" s="64">
        <v>28839431.019529138</v>
      </c>
    </row>
    <row r="1132" spans="1:2" x14ac:dyDescent="0.25">
      <c r="A1132" s="65">
        <v>1131</v>
      </c>
      <c r="B1132" s="64">
        <v>30347923.321672209</v>
      </c>
    </row>
    <row r="1133" spans="1:2" x14ac:dyDescent="0.25">
      <c r="A1133" s="65">
        <v>1132</v>
      </c>
      <c r="B1133" s="64">
        <v>28701223.684446152</v>
      </c>
    </row>
    <row r="1134" spans="1:2" x14ac:dyDescent="0.25">
      <c r="A1134" s="65">
        <v>1133</v>
      </c>
      <c r="B1134" s="64">
        <v>29217125.11895005</v>
      </c>
    </row>
    <row r="1135" spans="1:2" x14ac:dyDescent="0.25">
      <c r="A1135" s="65">
        <v>1134</v>
      </c>
      <c r="B1135" s="64">
        <v>28860093.9079004</v>
      </c>
    </row>
    <row r="1136" spans="1:2" x14ac:dyDescent="0.25">
      <c r="A1136" s="65">
        <v>1135</v>
      </c>
      <c r="B1136" s="64">
        <v>28913965.190277759</v>
      </c>
    </row>
    <row r="1137" spans="1:2" x14ac:dyDescent="0.25">
      <c r="A1137" s="65">
        <v>1136</v>
      </c>
      <c r="B1137" s="64">
        <v>29027254.853061408</v>
      </c>
    </row>
    <row r="1138" spans="1:2" x14ac:dyDescent="0.25">
      <c r="A1138" s="65">
        <v>1137</v>
      </c>
      <c r="B1138" s="64">
        <v>29272938.666771926</v>
      </c>
    </row>
    <row r="1139" spans="1:2" x14ac:dyDescent="0.25">
      <c r="A1139" s="65">
        <v>1138</v>
      </c>
      <c r="B1139" s="64">
        <v>28685336.223440427</v>
      </c>
    </row>
    <row r="1140" spans="1:2" x14ac:dyDescent="0.25">
      <c r="A1140" s="65">
        <v>1139</v>
      </c>
      <c r="B1140" s="64">
        <v>29167362.900337882</v>
      </c>
    </row>
    <row r="1141" spans="1:2" x14ac:dyDescent="0.25">
      <c r="A1141" s="65">
        <v>1140</v>
      </c>
      <c r="B1141" s="64">
        <v>28673141.563588183</v>
      </c>
    </row>
    <row r="1142" spans="1:2" x14ac:dyDescent="0.25">
      <c r="A1142" s="65">
        <v>1141</v>
      </c>
      <c r="B1142" s="64">
        <v>29327477.143133689</v>
      </c>
    </row>
    <row r="1143" spans="1:2" x14ac:dyDescent="0.25">
      <c r="A1143" s="65">
        <v>1142</v>
      </c>
      <c r="B1143" s="64">
        <v>29105896.230125036</v>
      </c>
    </row>
    <row r="1144" spans="1:2" x14ac:dyDescent="0.25">
      <c r="A1144" s="65">
        <v>1143</v>
      </c>
      <c r="B1144" s="64">
        <v>29166895.278805278</v>
      </c>
    </row>
    <row r="1145" spans="1:2" x14ac:dyDescent="0.25">
      <c r="A1145" s="65">
        <v>1144</v>
      </c>
      <c r="B1145" s="64">
        <v>28633296.46837708</v>
      </c>
    </row>
    <row r="1146" spans="1:2" x14ac:dyDescent="0.25">
      <c r="A1146" s="65">
        <v>1145</v>
      </c>
      <c r="B1146" s="64">
        <v>30829129.997129653</v>
      </c>
    </row>
    <row r="1147" spans="1:2" x14ac:dyDescent="0.25">
      <c r="A1147" s="65">
        <v>1146</v>
      </c>
      <c r="B1147" s="64">
        <v>29168339.924451467</v>
      </c>
    </row>
    <row r="1148" spans="1:2" x14ac:dyDescent="0.25">
      <c r="A1148" s="65">
        <v>1147</v>
      </c>
      <c r="B1148" s="64">
        <v>28934007.146570545</v>
      </c>
    </row>
    <row r="1149" spans="1:2" x14ac:dyDescent="0.25">
      <c r="A1149" s="65">
        <v>1148</v>
      </c>
      <c r="B1149" s="64">
        <v>29934421.492302082</v>
      </c>
    </row>
    <row r="1150" spans="1:2" x14ac:dyDescent="0.25">
      <c r="A1150" s="65">
        <v>1149</v>
      </c>
      <c r="B1150" s="64">
        <v>29132947.319584277</v>
      </c>
    </row>
    <row r="1151" spans="1:2" x14ac:dyDescent="0.25">
      <c r="A1151" s="65">
        <v>1150</v>
      </c>
      <c r="B1151" s="64">
        <v>28765216.103784673</v>
      </c>
    </row>
    <row r="1152" spans="1:2" x14ac:dyDescent="0.25">
      <c r="A1152" s="65">
        <v>1151</v>
      </c>
      <c r="B1152" s="64">
        <v>29980503.036373284</v>
      </c>
    </row>
    <row r="1153" spans="1:2" x14ac:dyDescent="0.25">
      <c r="A1153" s="65">
        <v>1152</v>
      </c>
      <c r="B1153" s="64">
        <v>29333642.714834735</v>
      </c>
    </row>
    <row r="1154" spans="1:2" x14ac:dyDescent="0.25">
      <c r="A1154" s="65">
        <v>1153</v>
      </c>
      <c r="B1154" s="64">
        <v>30373160.591838628</v>
      </c>
    </row>
    <row r="1155" spans="1:2" x14ac:dyDescent="0.25">
      <c r="A1155" s="65">
        <v>1154</v>
      </c>
      <c r="B1155" s="64">
        <v>28808486.947977073</v>
      </c>
    </row>
    <row r="1156" spans="1:2" x14ac:dyDescent="0.25">
      <c r="A1156" s="65">
        <v>1155</v>
      </c>
      <c r="B1156" s="64">
        <v>32383409.91825683</v>
      </c>
    </row>
    <row r="1157" spans="1:2" x14ac:dyDescent="0.25">
      <c r="A1157" s="65">
        <v>1156</v>
      </c>
      <c r="B1157" s="64">
        <v>30457062.060899802</v>
      </c>
    </row>
    <row r="1158" spans="1:2" x14ac:dyDescent="0.25">
      <c r="A1158" s="65">
        <v>1157</v>
      </c>
      <c r="B1158" s="64">
        <v>29255504.34507772</v>
      </c>
    </row>
    <row r="1159" spans="1:2" x14ac:dyDescent="0.25">
      <c r="A1159" s="65">
        <v>1158</v>
      </c>
      <c r="B1159" s="64">
        <v>28895697.776303474</v>
      </c>
    </row>
    <row r="1160" spans="1:2" x14ac:dyDescent="0.25">
      <c r="A1160" s="65">
        <v>1159</v>
      </c>
      <c r="B1160" s="64">
        <v>28720971.969804168</v>
      </c>
    </row>
    <row r="1161" spans="1:2" x14ac:dyDescent="0.25">
      <c r="A1161" s="65">
        <v>1160</v>
      </c>
      <c r="B1161" s="64">
        <v>29259737.531977721</v>
      </c>
    </row>
    <row r="1162" spans="1:2" x14ac:dyDescent="0.25">
      <c r="A1162" s="65">
        <v>1161</v>
      </c>
      <c r="B1162" s="64">
        <v>28951446.43078604</v>
      </c>
    </row>
    <row r="1163" spans="1:2" x14ac:dyDescent="0.25">
      <c r="A1163" s="65">
        <v>1162</v>
      </c>
      <c r="B1163" s="64">
        <v>29660272.088505641</v>
      </c>
    </row>
    <row r="1164" spans="1:2" x14ac:dyDescent="0.25">
      <c r="A1164" s="65">
        <v>1163</v>
      </c>
      <c r="B1164" s="64">
        <v>29104327.851245306</v>
      </c>
    </row>
    <row r="1165" spans="1:2" x14ac:dyDescent="0.25">
      <c r="A1165" s="65">
        <v>1164</v>
      </c>
      <c r="B1165" s="64">
        <v>29764303.945986718</v>
      </c>
    </row>
    <row r="1166" spans="1:2" x14ac:dyDescent="0.25">
      <c r="A1166" s="65">
        <v>1165</v>
      </c>
      <c r="B1166" s="64">
        <v>28960480.104880929</v>
      </c>
    </row>
    <row r="1167" spans="1:2" x14ac:dyDescent="0.25">
      <c r="A1167" s="65">
        <v>1166</v>
      </c>
      <c r="B1167" s="64">
        <v>30093102.014485531</v>
      </c>
    </row>
    <row r="1168" spans="1:2" x14ac:dyDescent="0.25">
      <c r="A1168" s="65">
        <v>1167</v>
      </c>
      <c r="B1168" s="64">
        <v>29040753.933801714</v>
      </c>
    </row>
    <row r="1169" spans="1:2" x14ac:dyDescent="0.25">
      <c r="A1169" s="65">
        <v>1168</v>
      </c>
      <c r="B1169" s="64">
        <v>28941885.921581</v>
      </c>
    </row>
    <row r="1170" spans="1:2" x14ac:dyDescent="0.25">
      <c r="A1170" s="65">
        <v>1169</v>
      </c>
      <c r="B1170" s="64">
        <v>29076350.224810194</v>
      </c>
    </row>
    <row r="1171" spans="1:2" x14ac:dyDescent="0.25">
      <c r="A1171" s="65">
        <v>1170</v>
      </c>
      <c r="B1171" s="64">
        <v>28501543.472565003</v>
      </c>
    </row>
    <row r="1172" spans="1:2" x14ac:dyDescent="0.25">
      <c r="A1172" s="65">
        <v>1171</v>
      </c>
      <c r="B1172" s="64">
        <v>33338757.480257925</v>
      </c>
    </row>
    <row r="1173" spans="1:2" x14ac:dyDescent="0.25">
      <c r="A1173" s="65">
        <v>1172</v>
      </c>
      <c r="B1173" s="64">
        <v>28842227.116784908</v>
      </c>
    </row>
    <row r="1174" spans="1:2" x14ac:dyDescent="0.25">
      <c r="A1174" s="65">
        <v>1173</v>
      </c>
      <c r="B1174" s="64">
        <v>28723399.607825048</v>
      </c>
    </row>
    <row r="1175" spans="1:2" x14ac:dyDescent="0.25">
      <c r="A1175" s="65">
        <v>1174</v>
      </c>
      <c r="B1175" s="64">
        <v>32718592.832504667</v>
      </c>
    </row>
    <row r="1176" spans="1:2" x14ac:dyDescent="0.25">
      <c r="A1176" s="65">
        <v>1175</v>
      </c>
      <c r="B1176" s="64">
        <v>29572437.540441003</v>
      </c>
    </row>
    <row r="1177" spans="1:2" x14ac:dyDescent="0.25">
      <c r="A1177" s="65">
        <v>1176</v>
      </c>
      <c r="B1177" s="64">
        <v>28628903.738944769</v>
      </c>
    </row>
    <row r="1178" spans="1:2" x14ac:dyDescent="0.25">
      <c r="A1178" s="65">
        <v>1177</v>
      </c>
      <c r="B1178" s="64">
        <v>29076792.649854183</v>
      </c>
    </row>
    <row r="1179" spans="1:2" x14ac:dyDescent="0.25">
      <c r="A1179" s="65">
        <v>1178</v>
      </c>
      <c r="B1179" s="64">
        <v>29265996.186290603</v>
      </c>
    </row>
    <row r="1180" spans="1:2" x14ac:dyDescent="0.25">
      <c r="A1180" s="65">
        <v>1179</v>
      </c>
      <c r="B1180" s="64">
        <v>29132635.305030677</v>
      </c>
    </row>
    <row r="1181" spans="1:2" x14ac:dyDescent="0.25">
      <c r="A1181" s="65">
        <v>1180</v>
      </c>
      <c r="B1181" s="64">
        <v>29841984.013276692</v>
      </c>
    </row>
    <row r="1182" spans="1:2" x14ac:dyDescent="0.25">
      <c r="A1182" s="65">
        <v>1181</v>
      </c>
      <c r="B1182" s="64">
        <v>29067152.885733429</v>
      </c>
    </row>
    <row r="1183" spans="1:2" x14ac:dyDescent="0.25">
      <c r="A1183" s="65">
        <v>1182</v>
      </c>
      <c r="B1183" s="64">
        <v>29037827.484994192</v>
      </c>
    </row>
    <row r="1184" spans="1:2" x14ac:dyDescent="0.25">
      <c r="A1184" s="65">
        <v>1183</v>
      </c>
      <c r="B1184" s="64">
        <v>28680337.929226458</v>
      </c>
    </row>
    <row r="1185" spans="1:2" x14ac:dyDescent="0.25">
      <c r="A1185" s="65">
        <v>1184</v>
      </c>
      <c r="B1185" s="64">
        <v>29367886.37002179</v>
      </c>
    </row>
    <row r="1186" spans="1:2" x14ac:dyDescent="0.25">
      <c r="A1186" s="65">
        <v>1185</v>
      </c>
      <c r="B1186" s="64">
        <v>29157850.808567237</v>
      </c>
    </row>
    <row r="1187" spans="1:2" x14ac:dyDescent="0.25">
      <c r="A1187" s="65">
        <v>1186</v>
      </c>
      <c r="B1187" s="64">
        <v>28985463.523059282</v>
      </c>
    </row>
    <row r="1188" spans="1:2" x14ac:dyDescent="0.25">
      <c r="A1188" s="65">
        <v>1187</v>
      </c>
      <c r="B1188" s="64">
        <v>28817757.951879829</v>
      </c>
    </row>
    <row r="1189" spans="1:2" x14ac:dyDescent="0.25">
      <c r="A1189" s="65">
        <v>1188</v>
      </c>
      <c r="B1189" s="64">
        <v>30562103.469410088</v>
      </c>
    </row>
    <row r="1190" spans="1:2" x14ac:dyDescent="0.25">
      <c r="A1190" s="65">
        <v>1189</v>
      </c>
      <c r="B1190" s="64">
        <v>28639137.676455602</v>
      </c>
    </row>
    <row r="1191" spans="1:2" x14ac:dyDescent="0.25">
      <c r="A1191" s="65">
        <v>1190</v>
      </c>
      <c r="B1191" s="64">
        <v>28965631.583315611</v>
      </c>
    </row>
    <row r="1192" spans="1:2" x14ac:dyDescent="0.25">
      <c r="A1192" s="65">
        <v>1191</v>
      </c>
      <c r="B1192" s="64">
        <v>29154372.845804572</v>
      </c>
    </row>
    <row r="1193" spans="1:2" x14ac:dyDescent="0.25">
      <c r="A1193" s="65">
        <v>1192</v>
      </c>
      <c r="B1193" s="64">
        <v>30079591.008063946</v>
      </c>
    </row>
    <row r="1194" spans="1:2" x14ac:dyDescent="0.25">
      <c r="A1194" s="65">
        <v>1193</v>
      </c>
      <c r="B1194" s="64">
        <v>29631556.343773972</v>
      </c>
    </row>
    <row r="1195" spans="1:2" x14ac:dyDescent="0.25">
      <c r="A1195" s="65">
        <v>1194</v>
      </c>
      <c r="B1195" s="64">
        <v>30258053.679415852</v>
      </c>
    </row>
    <row r="1196" spans="1:2" x14ac:dyDescent="0.25">
      <c r="A1196" s="65">
        <v>1195</v>
      </c>
      <c r="B1196" s="64">
        <v>28874486.881380528</v>
      </c>
    </row>
    <row r="1197" spans="1:2" x14ac:dyDescent="0.25">
      <c r="A1197" s="65">
        <v>1196</v>
      </c>
      <c r="B1197" s="64">
        <v>29960537.642028611</v>
      </c>
    </row>
    <row r="1198" spans="1:2" x14ac:dyDescent="0.25">
      <c r="A1198" s="65">
        <v>1197</v>
      </c>
      <c r="B1198" s="64">
        <v>28788623.660161056</v>
      </c>
    </row>
    <row r="1199" spans="1:2" x14ac:dyDescent="0.25">
      <c r="A1199" s="65">
        <v>1198</v>
      </c>
      <c r="B1199" s="64">
        <v>29062441.515490644</v>
      </c>
    </row>
    <row r="1200" spans="1:2" x14ac:dyDescent="0.25">
      <c r="A1200" s="65">
        <v>1199</v>
      </c>
      <c r="B1200" s="64">
        <v>29658466.202502977</v>
      </c>
    </row>
    <row r="1201" spans="1:2" x14ac:dyDescent="0.25">
      <c r="A1201" s="65">
        <v>1200</v>
      </c>
      <c r="B1201" s="64">
        <v>29443520.944189709</v>
      </c>
    </row>
    <row r="1202" spans="1:2" x14ac:dyDescent="0.25">
      <c r="A1202" s="65">
        <v>1201</v>
      </c>
      <c r="B1202" s="64">
        <v>30779521.829806145</v>
      </c>
    </row>
    <row r="1203" spans="1:2" x14ac:dyDescent="0.25">
      <c r="A1203" s="65">
        <v>1202</v>
      </c>
      <c r="B1203" s="64">
        <v>29082542.032587819</v>
      </c>
    </row>
    <row r="1204" spans="1:2" x14ac:dyDescent="0.25">
      <c r="A1204" s="65">
        <v>1203</v>
      </c>
      <c r="B1204" s="64">
        <v>28553699.196610712</v>
      </c>
    </row>
    <row r="1205" spans="1:2" x14ac:dyDescent="0.25">
      <c r="A1205" s="65">
        <v>1204</v>
      </c>
      <c r="B1205" s="64">
        <v>29652405.404304795</v>
      </c>
    </row>
    <row r="1206" spans="1:2" x14ac:dyDescent="0.25">
      <c r="A1206" s="65">
        <v>1205</v>
      </c>
      <c r="B1206" s="64">
        <v>28661461.673257127</v>
      </c>
    </row>
    <row r="1207" spans="1:2" x14ac:dyDescent="0.25">
      <c r="A1207" s="65">
        <v>1206</v>
      </c>
      <c r="B1207" s="64">
        <v>29048645.140902601</v>
      </c>
    </row>
    <row r="1208" spans="1:2" x14ac:dyDescent="0.25">
      <c r="A1208" s="65">
        <v>1207</v>
      </c>
      <c r="B1208" s="64">
        <v>30042758.069724783</v>
      </c>
    </row>
    <row r="1209" spans="1:2" x14ac:dyDescent="0.25">
      <c r="A1209" s="65">
        <v>1208</v>
      </c>
      <c r="B1209" s="64">
        <v>31844956.073733795</v>
      </c>
    </row>
    <row r="1210" spans="1:2" x14ac:dyDescent="0.25">
      <c r="A1210" s="65">
        <v>1209</v>
      </c>
      <c r="B1210" s="64">
        <v>28608085.866480984</v>
      </c>
    </row>
    <row r="1211" spans="1:2" x14ac:dyDescent="0.25">
      <c r="A1211" s="65">
        <v>1210</v>
      </c>
      <c r="B1211" s="64">
        <v>28619030.671152294</v>
      </c>
    </row>
    <row r="1212" spans="1:2" x14ac:dyDescent="0.25">
      <c r="A1212" s="65">
        <v>1211</v>
      </c>
      <c r="B1212" s="64">
        <v>28839717.360666163</v>
      </c>
    </row>
    <row r="1213" spans="1:2" x14ac:dyDescent="0.25">
      <c r="A1213" s="65">
        <v>1212</v>
      </c>
      <c r="B1213" s="64">
        <v>28602241.450812731</v>
      </c>
    </row>
    <row r="1214" spans="1:2" x14ac:dyDescent="0.25">
      <c r="A1214" s="65">
        <v>1213</v>
      </c>
      <c r="B1214" s="64">
        <v>28867525.82523182</v>
      </c>
    </row>
    <row r="1215" spans="1:2" x14ac:dyDescent="0.25">
      <c r="A1215" s="65">
        <v>1214</v>
      </c>
      <c r="B1215" s="64">
        <v>28687689.482282277</v>
      </c>
    </row>
    <row r="1216" spans="1:2" x14ac:dyDescent="0.25">
      <c r="A1216" s="65">
        <v>1215</v>
      </c>
      <c r="B1216" s="64">
        <v>32796038.959597811</v>
      </c>
    </row>
    <row r="1217" spans="1:2" x14ac:dyDescent="0.25">
      <c r="A1217" s="65">
        <v>1216</v>
      </c>
      <c r="B1217" s="64">
        <v>28621738.537106816</v>
      </c>
    </row>
    <row r="1218" spans="1:2" x14ac:dyDescent="0.25">
      <c r="A1218" s="65">
        <v>1217</v>
      </c>
      <c r="B1218" s="64">
        <v>28499503.746499013</v>
      </c>
    </row>
    <row r="1219" spans="1:2" x14ac:dyDescent="0.25">
      <c r="A1219" s="65">
        <v>1218</v>
      </c>
      <c r="B1219" s="64">
        <v>28783325.48935286</v>
      </c>
    </row>
    <row r="1220" spans="1:2" x14ac:dyDescent="0.25">
      <c r="A1220" s="65">
        <v>1219</v>
      </c>
      <c r="B1220" s="64">
        <v>29319493.444525011</v>
      </c>
    </row>
    <row r="1221" spans="1:2" x14ac:dyDescent="0.25">
      <c r="A1221" s="65">
        <v>1220</v>
      </c>
      <c r="B1221" s="64">
        <v>28947482.126549292</v>
      </c>
    </row>
    <row r="1222" spans="1:2" x14ac:dyDescent="0.25">
      <c r="A1222" s="65">
        <v>1221</v>
      </c>
      <c r="B1222" s="64">
        <v>29257612.838724595</v>
      </c>
    </row>
    <row r="1223" spans="1:2" x14ac:dyDescent="0.25">
      <c r="A1223" s="65">
        <v>1222</v>
      </c>
      <c r="B1223" s="64">
        <v>28994729.032943495</v>
      </c>
    </row>
    <row r="1224" spans="1:2" x14ac:dyDescent="0.25">
      <c r="A1224" s="65">
        <v>1223</v>
      </c>
      <c r="B1224" s="64">
        <v>30694279.469389971</v>
      </c>
    </row>
    <row r="1225" spans="1:2" x14ac:dyDescent="0.25">
      <c r="A1225" s="65">
        <v>1224</v>
      </c>
      <c r="B1225" s="64">
        <v>30520624.277373541</v>
      </c>
    </row>
    <row r="1226" spans="1:2" x14ac:dyDescent="0.25">
      <c r="A1226" s="65">
        <v>1225</v>
      </c>
      <c r="B1226" s="64">
        <v>28741899.230333153</v>
      </c>
    </row>
    <row r="1227" spans="1:2" x14ac:dyDescent="0.25">
      <c r="A1227" s="65">
        <v>1226</v>
      </c>
      <c r="B1227" s="64">
        <v>29327575.942106657</v>
      </c>
    </row>
    <row r="1228" spans="1:2" x14ac:dyDescent="0.25">
      <c r="A1228" s="65">
        <v>1227</v>
      </c>
      <c r="B1228" s="64">
        <v>29041080.840917833</v>
      </c>
    </row>
    <row r="1229" spans="1:2" x14ac:dyDescent="0.25">
      <c r="A1229" s="65">
        <v>1228</v>
      </c>
      <c r="B1229" s="64">
        <v>29852482.028472587</v>
      </c>
    </row>
    <row r="1230" spans="1:2" x14ac:dyDescent="0.25">
      <c r="A1230" s="65">
        <v>1229</v>
      </c>
      <c r="B1230" s="64">
        <v>29848816.557010945</v>
      </c>
    </row>
    <row r="1231" spans="1:2" x14ac:dyDescent="0.25">
      <c r="A1231" s="65">
        <v>1230</v>
      </c>
      <c r="B1231" s="64">
        <v>28818274.84946521</v>
      </c>
    </row>
    <row r="1232" spans="1:2" x14ac:dyDescent="0.25">
      <c r="A1232" s="65">
        <v>1231</v>
      </c>
      <c r="B1232" s="64">
        <v>29868277.531890087</v>
      </c>
    </row>
    <row r="1233" spans="1:2" x14ac:dyDescent="0.25">
      <c r="A1233" s="65">
        <v>1232</v>
      </c>
      <c r="B1233" s="64">
        <v>28859094.348229006</v>
      </c>
    </row>
    <row r="1234" spans="1:2" x14ac:dyDescent="0.25">
      <c r="A1234" s="65">
        <v>1233</v>
      </c>
      <c r="B1234" s="64">
        <v>29071572.076764781</v>
      </c>
    </row>
    <row r="1235" spans="1:2" x14ac:dyDescent="0.25">
      <c r="A1235" s="65">
        <v>1234</v>
      </c>
      <c r="B1235" s="64">
        <v>28755086.220449988</v>
      </c>
    </row>
    <row r="1236" spans="1:2" x14ac:dyDescent="0.25">
      <c r="A1236" s="65">
        <v>1235</v>
      </c>
      <c r="B1236" s="64">
        <v>28806027.567904398</v>
      </c>
    </row>
    <row r="1237" spans="1:2" x14ac:dyDescent="0.25">
      <c r="A1237" s="65">
        <v>1236</v>
      </c>
      <c r="B1237" s="64">
        <v>28662703.24593471</v>
      </c>
    </row>
    <row r="1238" spans="1:2" x14ac:dyDescent="0.25">
      <c r="A1238" s="65">
        <v>1237</v>
      </c>
      <c r="B1238" s="64">
        <v>30092808.016159873</v>
      </c>
    </row>
    <row r="1239" spans="1:2" x14ac:dyDescent="0.25">
      <c r="A1239" s="65">
        <v>1238</v>
      </c>
      <c r="B1239" s="64">
        <v>30552738.381838404</v>
      </c>
    </row>
    <row r="1240" spans="1:2" x14ac:dyDescent="0.25">
      <c r="A1240" s="65">
        <v>1239</v>
      </c>
      <c r="B1240" s="64">
        <v>29098981.590918999</v>
      </c>
    </row>
    <row r="1241" spans="1:2" x14ac:dyDescent="0.25">
      <c r="A1241" s="65">
        <v>1240</v>
      </c>
      <c r="B1241" s="64">
        <v>29137655.503820661</v>
      </c>
    </row>
    <row r="1242" spans="1:2" x14ac:dyDescent="0.25">
      <c r="A1242" s="65">
        <v>1241</v>
      </c>
      <c r="B1242" s="64">
        <v>29616051.218265679</v>
      </c>
    </row>
    <row r="1243" spans="1:2" x14ac:dyDescent="0.25">
      <c r="A1243" s="65">
        <v>1242</v>
      </c>
      <c r="B1243" s="64">
        <v>28847361.970655441</v>
      </c>
    </row>
    <row r="1244" spans="1:2" x14ac:dyDescent="0.25">
      <c r="A1244" s="65">
        <v>1243</v>
      </c>
      <c r="B1244" s="64">
        <v>32661686.166594166</v>
      </c>
    </row>
    <row r="1245" spans="1:2" x14ac:dyDescent="0.25">
      <c r="A1245" s="65">
        <v>1244</v>
      </c>
      <c r="B1245" s="64">
        <v>28766431.104997557</v>
      </c>
    </row>
    <row r="1246" spans="1:2" x14ac:dyDescent="0.25">
      <c r="A1246" s="65">
        <v>1245</v>
      </c>
      <c r="B1246" s="64">
        <v>30248259.563165903</v>
      </c>
    </row>
    <row r="1247" spans="1:2" x14ac:dyDescent="0.25">
      <c r="A1247" s="65">
        <v>1246</v>
      </c>
      <c r="B1247" s="64">
        <v>29303145.161507994</v>
      </c>
    </row>
    <row r="1248" spans="1:2" x14ac:dyDescent="0.25">
      <c r="A1248" s="65">
        <v>1247</v>
      </c>
      <c r="B1248" s="64">
        <v>29082029.607214607</v>
      </c>
    </row>
    <row r="1249" spans="1:2" x14ac:dyDescent="0.25">
      <c r="A1249" s="65">
        <v>1248</v>
      </c>
      <c r="B1249" s="64">
        <v>29463026.204862092</v>
      </c>
    </row>
    <row r="1250" spans="1:2" x14ac:dyDescent="0.25">
      <c r="A1250" s="65">
        <v>1249</v>
      </c>
      <c r="B1250" s="64">
        <v>29136106.387199622</v>
      </c>
    </row>
    <row r="1251" spans="1:2" x14ac:dyDescent="0.25">
      <c r="A1251" s="65">
        <v>1250</v>
      </c>
      <c r="B1251" s="64">
        <v>28679982.486816127</v>
      </c>
    </row>
    <row r="1252" spans="1:2" x14ac:dyDescent="0.25">
      <c r="A1252" s="65">
        <v>1251</v>
      </c>
      <c r="B1252" s="64">
        <v>29792541.690627828</v>
      </c>
    </row>
    <row r="1253" spans="1:2" x14ac:dyDescent="0.25">
      <c r="A1253" s="65">
        <v>1252</v>
      </c>
      <c r="B1253" s="64">
        <v>28570385.170498703</v>
      </c>
    </row>
    <row r="1254" spans="1:2" x14ac:dyDescent="0.25">
      <c r="A1254" s="65">
        <v>1253</v>
      </c>
      <c r="B1254" s="64">
        <v>29973582.662138909</v>
      </c>
    </row>
    <row r="1255" spans="1:2" x14ac:dyDescent="0.25">
      <c r="A1255" s="65">
        <v>1254</v>
      </c>
      <c r="B1255" s="64">
        <v>29348745.676501494</v>
      </c>
    </row>
    <row r="1256" spans="1:2" x14ac:dyDescent="0.25">
      <c r="A1256" s="65">
        <v>1255</v>
      </c>
      <c r="B1256" s="64">
        <v>29048631.691439435</v>
      </c>
    </row>
    <row r="1257" spans="1:2" x14ac:dyDescent="0.25">
      <c r="A1257" s="65">
        <v>1256</v>
      </c>
      <c r="B1257" s="64">
        <v>29019798.058701195</v>
      </c>
    </row>
    <row r="1258" spans="1:2" x14ac:dyDescent="0.25">
      <c r="A1258" s="65">
        <v>1257</v>
      </c>
      <c r="B1258" s="64">
        <v>29713613.423363186</v>
      </c>
    </row>
    <row r="1259" spans="1:2" x14ac:dyDescent="0.25">
      <c r="A1259" s="65">
        <v>1258</v>
      </c>
      <c r="B1259" s="64">
        <v>29269337.769678466</v>
      </c>
    </row>
    <row r="1260" spans="1:2" x14ac:dyDescent="0.25">
      <c r="A1260" s="65">
        <v>1259</v>
      </c>
      <c r="B1260" s="64">
        <v>29249296.732807633</v>
      </c>
    </row>
    <row r="1261" spans="1:2" x14ac:dyDescent="0.25">
      <c r="A1261" s="65">
        <v>1260</v>
      </c>
      <c r="B1261" s="64">
        <v>29486866.230883624</v>
      </c>
    </row>
    <row r="1262" spans="1:2" x14ac:dyDescent="0.25">
      <c r="A1262" s="65">
        <v>1261</v>
      </c>
      <c r="B1262" s="64">
        <v>28483110.547265802</v>
      </c>
    </row>
    <row r="1263" spans="1:2" x14ac:dyDescent="0.25">
      <c r="A1263" s="65">
        <v>1262</v>
      </c>
      <c r="B1263" s="64">
        <v>28839469.018553957</v>
      </c>
    </row>
    <row r="1264" spans="1:2" x14ac:dyDescent="0.25">
      <c r="A1264" s="65">
        <v>1263</v>
      </c>
      <c r="B1264" s="64">
        <v>29173369.720925223</v>
      </c>
    </row>
    <row r="1265" spans="1:2" x14ac:dyDescent="0.25">
      <c r="A1265" s="65">
        <v>1264</v>
      </c>
      <c r="B1265" s="64">
        <v>30599073.711241081</v>
      </c>
    </row>
    <row r="1266" spans="1:2" x14ac:dyDescent="0.25">
      <c r="A1266" s="65">
        <v>1265</v>
      </c>
      <c r="B1266" s="64">
        <v>32749624.774727229</v>
      </c>
    </row>
    <row r="1267" spans="1:2" x14ac:dyDescent="0.25">
      <c r="A1267" s="65">
        <v>1266</v>
      </c>
      <c r="B1267" s="64">
        <v>29332212.221159395</v>
      </c>
    </row>
    <row r="1268" spans="1:2" x14ac:dyDescent="0.25">
      <c r="A1268" s="65">
        <v>1267</v>
      </c>
      <c r="B1268" s="64">
        <v>29041608.331411142</v>
      </c>
    </row>
    <row r="1269" spans="1:2" x14ac:dyDescent="0.25">
      <c r="A1269" s="65">
        <v>1268</v>
      </c>
      <c r="B1269" s="64">
        <v>29461083.651295669</v>
      </c>
    </row>
    <row r="1270" spans="1:2" x14ac:dyDescent="0.25">
      <c r="A1270" s="65">
        <v>1269</v>
      </c>
      <c r="B1270" s="64">
        <v>30012538.930305004</v>
      </c>
    </row>
    <row r="1271" spans="1:2" x14ac:dyDescent="0.25">
      <c r="A1271" s="65">
        <v>1270</v>
      </c>
      <c r="B1271" s="64">
        <v>28865338.814071402</v>
      </c>
    </row>
    <row r="1272" spans="1:2" x14ac:dyDescent="0.25">
      <c r="A1272" s="65">
        <v>1271</v>
      </c>
      <c r="B1272" s="64">
        <v>28893211.175579976</v>
      </c>
    </row>
    <row r="1273" spans="1:2" x14ac:dyDescent="0.25">
      <c r="A1273" s="65">
        <v>1272</v>
      </c>
      <c r="B1273" s="64">
        <v>29381371.578011714</v>
      </c>
    </row>
    <row r="1274" spans="1:2" x14ac:dyDescent="0.25">
      <c r="A1274" s="65">
        <v>1273</v>
      </c>
      <c r="B1274" s="64">
        <v>29632083.17920078</v>
      </c>
    </row>
    <row r="1275" spans="1:2" x14ac:dyDescent="0.25">
      <c r="A1275" s="65">
        <v>1274</v>
      </c>
      <c r="B1275" s="64">
        <v>30149826.085099682</v>
      </c>
    </row>
    <row r="1276" spans="1:2" x14ac:dyDescent="0.25">
      <c r="A1276" s="65">
        <v>1275</v>
      </c>
      <c r="B1276" s="64">
        <v>34134228.587962538</v>
      </c>
    </row>
    <row r="1277" spans="1:2" x14ac:dyDescent="0.25">
      <c r="A1277" s="65">
        <v>1276</v>
      </c>
      <c r="B1277" s="64">
        <v>29111984.802440617</v>
      </c>
    </row>
    <row r="1278" spans="1:2" x14ac:dyDescent="0.25">
      <c r="A1278" s="65">
        <v>1277</v>
      </c>
      <c r="B1278" s="64">
        <v>28809288.822711777</v>
      </c>
    </row>
    <row r="1279" spans="1:2" x14ac:dyDescent="0.25">
      <c r="A1279" s="65">
        <v>1278</v>
      </c>
      <c r="B1279" s="64">
        <v>29490781.864318617</v>
      </c>
    </row>
    <row r="1280" spans="1:2" x14ac:dyDescent="0.25">
      <c r="A1280" s="65">
        <v>1279</v>
      </c>
      <c r="B1280" s="64">
        <v>28907264.441005602</v>
      </c>
    </row>
    <row r="1281" spans="1:2" x14ac:dyDescent="0.25">
      <c r="A1281" s="65">
        <v>1280</v>
      </c>
      <c r="B1281" s="64">
        <v>31274479.166988522</v>
      </c>
    </row>
    <row r="1282" spans="1:2" x14ac:dyDescent="0.25">
      <c r="A1282" s="65">
        <v>1281</v>
      </c>
      <c r="B1282" s="64">
        <v>28422200.620466698</v>
      </c>
    </row>
    <row r="1283" spans="1:2" x14ac:dyDescent="0.25">
      <c r="A1283" s="65">
        <v>1282</v>
      </c>
      <c r="B1283" s="64">
        <v>28513342.284718201</v>
      </c>
    </row>
    <row r="1284" spans="1:2" x14ac:dyDescent="0.25">
      <c r="A1284" s="65">
        <v>1283</v>
      </c>
      <c r="B1284" s="64">
        <v>29166379.218842782</v>
      </c>
    </row>
    <row r="1285" spans="1:2" x14ac:dyDescent="0.25">
      <c r="A1285" s="65">
        <v>1284</v>
      </c>
      <c r="B1285" s="64">
        <v>29825047.746329755</v>
      </c>
    </row>
    <row r="1286" spans="1:2" x14ac:dyDescent="0.25">
      <c r="A1286" s="65">
        <v>1285</v>
      </c>
      <c r="B1286" s="64">
        <v>28829137.375143174</v>
      </c>
    </row>
    <row r="1287" spans="1:2" x14ac:dyDescent="0.25">
      <c r="A1287" s="65">
        <v>1286</v>
      </c>
      <c r="B1287" s="64">
        <v>28473733.952240154</v>
      </c>
    </row>
    <row r="1288" spans="1:2" x14ac:dyDescent="0.25">
      <c r="A1288" s="65">
        <v>1287</v>
      </c>
      <c r="B1288" s="64">
        <v>28757907.154579647</v>
      </c>
    </row>
    <row r="1289" spans="1:2" x14ac:dyDescent="0.25">
      <c r="A1289" s="65">
        <v>1288</v>
      </c>
      <c r="B1289" s="64">
        <v>28800680.075128175</v>
      </c>
    </row>
    <row r="1290" spans="1:2" x14ac:dyDescent="0.25">
      <c r="A1290" s="65">
        <v>1289</v>
      </c>
      <c r="B1290" s="64">
        <v>29106237.339870591</v>
      </c>
    </row>
    <row r="1291" spans="1:2" x14ac:dyDescent="0.25">
      <c r="A1291" s="65">
        <v>1290</v>
      </c>
      <c r="B1291" s="64">
        <v>31078325.059443913</v>
      </c>
    </row>
    <row r="1292" spans="1:2" x14ac:dyDescent="0.25">
      <c r="A1292" s="65">
        <v>1291</v>
      </c>
      <c r="B1292" s="64">
        <v>28884391.796162691</v>
      </c>
    </row>
    <row r="1293" spans="1:2" x14ac:dyDescent="0.25">
      <c r="A1293" s="65">
        <v>1292</v>
      </c>
      <c r="B1293" s="64">
        <v>28917362.375150256</v>
      </c>
    </row>
    <row r="1294" spans="1:2" x14ac:dyDescent="0.25">
      <c r="A1294" s="65">
        <v>1293</v>
      </c>
      <c r="B1294" s="64">
        <v>29191257.597471502</v>
      </c>
    </row>
    <row r="1295" spans="1:2" x14ac:dyDescent="0.25">
      <c r="A1295" s="65">
        <v>1294</v>
      </c>
      <c r="B1295" s="64">
        <v>28930102.548449561</v>
      </c>
    </row>
    <row r="1296" spans="1:2" x14ac:dyDescent="0.25">
      <c r="A1296" s="65">
        <v>1295</v>
      </c>
      <c r="B1296" s="64">
        <v>28802416.019584417</v>
      </c>
    </row>
    <row r="1297" spans="1:2" x14ac:dyDescent="0.25">
      <c r="A1297" s="65">
        <v>1296</v>
      </c>
      <c r="B1297" s="64">
        <v>28947181.27959967</v>
      </c>
    </row>
    <row r="1298" spans="1:2" x14ac:dyDescent="0.25">
      <c r="A1298" s="65">
        <v>1297</v>
      </c>
      <c r="B1298" s="64">
        <v>30266594.236004483</v>
      </c>
    </row>
    <row r="1299" spans="1:2" x14ac:dyDescent="0.25">
      <c r="A1299" s="65">
        <v>1298</v>
      </c>
      <c r="B1299" s="64">
        <v>28593592.390188217</v>
      </c>
    </row>
    <row r="1300" spans="1:2" x14ac:dyDescent="0.25">
      <c r="A1300" s="65">
        <v>1299</v>
      </c>
      <c r="B1300" s="64">
        <v>29703111.289898038</v>
      </c>
    </row>
    <row r="1301" spans="1:2" x14ac:dyDescent="0.25">
      <c r="A1301" s="65">
        <v>1300</v>
      </c>
      <c r="B1301" s="64">
        <v>28840527.63058345</v>
      </c>
    </row>
    <row r="1302" spans="1:2" x14ac:dyDescent="0.25">
      <c r="A1302" s="65">
        <v>1301</v>
      </c>
      <c r="B1302" s="64">
        <v>33209924.688645989</v>
      </c>
    </row>
    <row r="1303" spans="1:2" x14ac:dyDescent="0.25">
      <c r="A1303" s="65">
        <v>1302</v>
      </c>
      <c r="B1303" s="64">
        <v>30915205.09914732</v>
      </c>
    </row>
    <row r="1304" spans="1:2" x14ac:dyDescent="0.25">
      <c r="A1304" s="65">
        <v>1303</v>
      </c>
      <c r="B1304" s="64">
        <v>28835652.786329798</v>
      </c>
    </row>
    <row r="1305" spans="1:2" x14ac:dyDescent="0.25">
      <c r="A1305" s="65">
        <v>1304</v>
      </c>
      <c r="B1305" s="64">
        <v>28500008.268770561</v>
      </c>
    </row>
    <row r="1306" spans="1:2" x14ac:dyDescent="0.25">
      <c r="A1306" s="65">
        <v>1305</v>
      </c>
      <c r="B1306" s="64">
        <v>29514648.643453304</v>
      </c>
    </row>
    <row r="1307" spans="1:2" x14ac:dyDescent="0.25">
      <c r="A1307" s="65">
        <v>1306</v>
      </c>
      <c r="B1307" s="64">
        <v>29785889.237576138</v>
      </c>
    </row>
    <row r="1308" spans="1:2" x14ac:dyDescent="0.25">
      <c r="A1308" s="65">
        <v>1307</v>
      </c>
      <c r="B1308" s="64">
        <v>29850807.235516839</v>
      </c>
    </row>
    <row r="1309" spans="1:2" x14ac:dyDescent="0.25">
      <c r="A1309" s="65">
        <v>1308</v>
      </c>
      <c r="B1309" s="64">
        <v>29287043.883089315</v>
      </c>
    </row>
    <row r="1310" spans="1:2" x14ac:dyDescent="0.25">
      <c r="A1310" s="65">
        <v>1309</v>
      </c>
      <c r="B1310" s="64">
        <v>30840170.670077953</v>
      </c>
    </row>
    <row r="1311" spans="1:2" x14ac:dyDescent="0.25">
      <c r="A1311" s="65">
        <v>1310</v>
      </c>
      <c r="B1311" s="64">
        <v>30078499.938532941</v>
      </c>
    </row>
    <row r="1312" spans="1:2" x14ac:dyDescent="0.25">
      <c r="A1312" s="65">
        <v>1311</v>
      </c>
      <c r="B1312" s="64">
        <v>30050935.485422082</v>
      </c>
    </row>
    <row r="1313" spans="1:2" x14ac:dyDescent="0.25">
      <c r="A1313" s="65">
        <v>1312</v>
      </c>
      <c r="B1313" s="64">
        <v>31127657.086716197</v>
      </c>
    </row>
    <row r="1314" spans="1:2" x14ac:dyDescent="0.25">
      <c r="A1314" s="65">
        <v>1313</v>
      </c>
      <c r="B1314" s="64">
        <v>29867600.933732681</v>
      </c>
    </row>
    <row r="1315" spans="1:2" x14ac:dyDescent="0.25">
      <c r="A1315" s="65">
        <v>1314</v>
      </c>
      <c r="B1315" s="64">
        <v>28625841.684085026</v>
      </c>
    </row>
    <row r="1316" spans="1:2" x14ac:dyDescent="0.25">
      <c r="A1316" s="65">
        <v>1315</v>
      </c>
      <c r="B1316" s="64">
        <v>29335070.506777491</v>
      </c>
    </row>
    <row r="1317" spans="1:2" x14ac:dyDescent="0.25">
      <c r="A1317" s="65">
        <v>1316</v>
      </c>
      <c r="B1317" s="64">
        <v>29265974.178257745</v>
      </c>
    </row>
    <row r="1318" spans="1:2" x14ac:dyDescent="0.25">
      <c r="A1318" s="65">
        <v>1317</v>
      </c>
      <c r="B1318" s="64">
        <v>28896809.846863799</v>
      </c>
    </row>
    <row r="1319" spans="1:2" x14ac:dyDescent="0.25">
      <c r="A1319" s="65">
        <v>1318</v>
      </c>
      <c r="B1319" s="64">
        <v>28785735.807808977</v>
      </c>
    </row>
    <row r="1320" spans="1:2" x14ac:dyDescent="0.25">
      <c r="A1320" s="65">
        <v>1319</v>
      </c>
      <c r="B1320" s="64">
        <v>29799791.228602</v>
      </c>
    </row>
    <row r="1321" spans="1:2" x14ac:dyDescent="0.25">
      <c r="A1321" s="65">
        <v>1320</v>
      </c>
      <c r="B1321" s="64">
        <v>30542739.465565264</v>
      </c>
    </row>
    <row r="1322" spans="1:2" x14ac:dyDescent="0.25">
      <c r="A1322" s="65">
        <v>1321</v>
      </c>
      <c r="B1322" s="64">
        <v>29082666.78940317</v>
      </c>
    </row>
    <row r="1323" spans="1:2" x14ac:dyDescent="0.25">
      <c r="A1323" s="65">
        <v>1322</v>
      </c>
      <c r="B1323" s="64">
        <v>29303280.65057854</v>
      </c>
    </row>
    <row r="1324" spans="1:2" x14ac:dyDescent="0.25">
      <c r="A1324" s="65">
        <v>1323</v>
      </c>
      <c r="B1324" s="64">
        <v>28909500.736413371</v>
      </c>
    </row>
    <row r="1325" spans="1:2" x14ac:dyDescent="0.25">
      <c r="A1325" s="65">
        <v>1324</v>
      </c>
      <c r="B1325" s="64">
        <v>28925887.709764648</v>
      </c>
    </row>
    <row r="1326" spans="1:2" x14ac:dyDescent="0.25">
      <c r="A1326" s="65">
        <v>1325</v>
      </c>
      <c r="B1326" s="64">
        <v>30963587.397988699</v>
      </c>
    </row>
    <row r="1327" spans="1:2" x14ac:dyDescent="0.25">
      <c r="A1327" s="65">
        <v>1326</v>
      </c>
      <c r="B1327" s="64">
        <v>29184433.496028803</v>
      </c>
    </row>
    <row r="1328" spans="1:2" x14ac:dyDescent="0.25">
      <c r="A1328" s="65">
        <v>1327</v>
      </c>
      <c r="B1328" s="64">
        <v>28966540.775642153</v>
      </c>
    </row>
    <row r="1329" spans="1:2" x14ac:dyDescent="0.25">
      <c r="A1329" s="65">
        <v>1328</v>
      </c>
      <c r="B1329" s="64">
        <v>28901245.100525856</v>
      </c>
    </row>
    <row r="1330" spans="1:2" x14ac:dyDescent="0.25">
      <c r="A1330" s="65">
        <v>1329</v>
      </c>
      <c r="B1330" s="64">
        <v>28540167.782475244</v>
      </c>
    </row>
    <row r="1331" spans="1:2" x14ac:dyDescent="0.25">
      <c r="A1331" s="65">
        <v>1330</v>
      </c>
      <c r="B1331" s="64">
        <v>30015861.921134539</v>
      </c>
    </row>
    <row r="1332" spans="1:2" x14ac:dyDescent="0.25">
      <c r="A1332" s="65">
        <v>1331</v>
      </c>
      <c r="B1332" s="64">
        <v>28754014.484532811</v>
      </c>
    </row>
    <row r="1333" spans="1:2" x14ac:dyDescent="0.25">
      <c r="A1333" s="65">
        <v>1332</v>
      </c>
      <c r="B1333" s="64">
        <v>28782170.66000374</v>
      </c>
    </row>
    <row r="1334" spans="1:2" x14ac:dyDescent="0.25">
      <c r="A1334" s="65">
        <v>1333</v>
      </c>
      <c r="B1334" s="64">
        <v>28807403.233146399</v>
      </c>
    </row>
    <row r="1335" spans="1:2" x14ac:dyDescent="0.25">
      <c r="A1335" s="65">
        <v>1334</v>
      </c>
      <c r="B1335" s="64">
        <v>29118385.535815898</v>
      </c>
    </row>
    <row r="1336" spans="1:2" x14ac:dyDescent="0.25">
      <c r="A1336" s="65">
        <v>1335</v>
      </c>
      <c r="B1336" s="64">
        <v>28461584.151494987</v>
      </c>
    </row>
    <row r="1337" spans="1:2" x14ac:dyDescent="0.25">
      <c r="A1337" s="65">
        <v>1336</v>
      </c>
      <c r="B1337" s="64">
        <v>28887657.084255237</v>
      </c>
    </row>
    <row r="1338" spans="1:2" x14ac:dyDescent="0.25">
      <c r="A1338" s="65">
        <v>1337</v>
      </c>
      <c r="B1338" s="64">
        <v>30623532.066978317</v>
      </c>
    </row>
    <row r="1339" spans="1:2" x14ac:dyDescent="0.25">
      <c r="A1339" s="65">
        <v>1338</v>
      </c>
      <c r="B1339" s="64">
        <v>30202036.68246562</v>
      </c>
    </row>
    <row r="1340" spans="1:2" x14ac:dyDescent="0.25">
      <c r="A1340" s="65">
        <v>1339</v>
      </c>
      <c r="B1340" s="64">
        <v>29643976.448287379</v>
      </c>
    </row>
    <row r="1341" spans="1:2" x14ac:dyDescent="0.25">
      <c r="A1341" s="65">
        <v>1340</v>
      </c>
      <c r="B1341" s="64">
        <v>29016013.99873174</v>
      </c>
    </row>
    <row r="1342" spans="1:2" x14ac:dyDescent="0.25">
      <c r="A1342" s="65">
        <v>1341</v>
      </c>
      <c r="B1342" s="64">
        <v>28460842.018756006</v>
      </c>
    </row>
    <row r="1343" spans="1:2" x14ac:dyDescent="0.25">
      <c r="A1343" s="65">
        <v>1342</v>
      </c>
      <c r="B1343" s="64">
        <v>32761466.113963168</v>
      </c>
    </row>
    <row r="1344" spans="1:2" x14ac:dyDescent="0.25">
      <c r="A1344" s="65">
        <v>1343</v>
      </c>
      <c r="B1344" s="64">
        <v>28457978.249204971</v>
      </c>
    </row>
    <row r="1345" spans="1:2" x14ac:dyDescent="0.25">
      <c r="A1345" s="65">
        <v>1344</v>
      </c>
      <c r="B1345" s="64">
        <v>29828415.230666734</v>
      </c>
    </row>
    <row r="1346" spans="1:2" x14ac:dyDescent="0.25">
      <c r="A1346" s="65">
        <v>1345</v>
      </c>
      <c r="B1346" s="64">
        <v>28714343.309323814</v>
      </c>
    </row>
    <row r="1347" spans="1:2" x14ac:dyDescent="0.25">
      <c r="A1347" s="65">
        <v>1346</v>
      </c>
      <c r="B1347" s="64">
        <v>28743357.935802639</v>
      </c>
    </row>
    <row r="1348" spans="1:2" x14ac:dyDescent="0.25">
      <c r="A1348" s="65">
        <v>1347</v>
      </c>
      <c r="B1348" s="64">
        <v>28848554.106065739</v>
      </c>
    </row>
    <row r="1349" spans="1:2" x14ac:dyDescent="0.25">
      <c r="A1349" s="65">
        <v>1348</v>
      </c>
      <c r="B1349" s="64">
        <v>28872598.450005788</v>
      </c>
    </row>
    <row r="1350" spans="1:2" x14ac:dyDescent="0.25">
      <c r="A1350" s="65">
        <v>1349</v>
      </c>
      <c r="B1350" s="64">
        <v>29401732.28775046</v>
      </c>
    </row>
    <row r="1351" spans="1:2" x14ac:dyDescent="0.25">
      <c r="A1351" s="65">
        <v>1350</v>
      </c>
      <c r="B1351" s="64">
        <v>28626366.440059818</v>
      </c>
    </row>
    <row r="1352" spans="1:2" x14ac:dyDescent="0.25">
      <c r="A1352" s="65">
        <v>1351</v>
      </c>
      <c r="B1352" s="64">
        <v>30277006.469940867</v>
      </c>
    </row>
    <row r="1353" spans="1:2" x14ac:dyDescent="0.25">
      <c r="A1353" s="65">
        <v>1352</v>
      </c>
      <c r="B1353" s="64">
        <v>30121912.48255983</v>
      </c>
    </row>
    <row r="1354" spans="1:2" x14ac:dyDescent="0.25">
      <c r="A1354" s="65">
        <v>1353</v>
      </c>
      <c r="B1354" s="64">
        <v>29369209.655089911</v>
      </c>
    </row>
    <row r="1355" spans="1:2" x14ac:dyDescent="0.25">
      <c r="A1355" s="65">
        <v>1354</v>
      </c>
      <c r="B1355" s="64">
        <v>28973988.39125346</v>
      </c>
    </row>
    <row r="1356" spans="1:2" x14ac:dyDescent="0.25">
      <c r="A1356" s="65">
        <v>1355</v>
      </c>
      <c r="B1356" s="64">
        <v>29656914.518005919</v>
      </c>
    </row>
    <row r="1357" spans="1:2" x14ac:dyDescent="0.25">
      <c r="A1357" s="65">
        <v>1356</v>
      </c>
      <c r="B1357" s="64">
        <v>30233187.648687769</v>
      </c>
    </row>
    <row r="1358" spans="1:2" x14ac:dyDescent="0.25">
      <c r="A1358" s="65">
        <v>1357</v>
      </c>
      <c r="B1358" s="64">
        <v>29987241.254211217</v>
      </c>
    </row>
    <row r="1359" spans="1:2" x14ac:dyDescent="0.25">
      <c r="A1359" s="65">
        <v>1358</v>
      </c>
      <c r="B1359" s="64">
        <v>28612938.229026239</v>
      </c>
    </row>
    <row r="1360" spans="1:2" x14ac:dyDescent="0.25">
      <c r="A1360" s="65">
        <v>1359</v>
      </c>
      <c r="B1360" s="64">
        <v>29336106.340364136</v>
      </c>
    </row>
    <row r="1361" spans="1:2" x14ac:dyDescent="0.25">
      <c r="A1361" s="65">
        <v>1360</v>
      </c>
      <c r="B1361" s="64">
        <v>28617324.131689396</v>
      </c>
    </row>
    <row r="1362" spans="1:2" x14ac:dyDescent="0.25">
      <c r="A1362" s="65">
        <v>1361</v>
      </c>
      <c r="B1362" s="64">
        <v>28788780.753562551</v>
      </c>
    </row>
    <row r="1363" spans="1:2" x14ac:dyDescent="0.25">
      <c r="A1363" s="65">
        <v>1362</v>
      </c>
      <c r="B1363" s="64">
        <v>29826334.378743555</v>
      </c>
    </row>
    <row r="1364" spans="1:2" x14ac:dyDescent="0.25">
      <c r="A1364" s="65">
        <v>1363</v>
      </c>
      <c r="B1364" s="64">
        <v>28946988.834898282</v>
      </c>
    </row>
    <row r="1365" spans="1:2" x14ac:dyDescent="0.25">
      <c r="A1365" s="65">
        <v>1364</v>
      </c>
      <c r="B1365" s="64">
        <v>29445158.914057355</v>
      </c>
    </row>
    <row r="1366" spans="1:2" x14ac:dyDescent="0.25">
      <c r="A1366" s="65">
        <v>1365</v>
      </c>
      <c r="B1366" s="64">
        <v>29137185.001933541</v>
      </c>
    </row>
    <row r="1367" spans="1:2" x14ac:dyDescent="0.25">
      <c r="A1367" s="65">
        <v>1366</v>
      </c>
      <c r="B1367" s="64">
        <v>30936995.812886253</v>
      </c>
    </row>
    <row r="1368" spans="1:2" x14ac:dyDescent="0.25">
      <c r="A1368" s="65">
        <v>1367</v>
      </c>
      <c r="B1368" s="64">
        <v>29487460.235892598</v>
      </c>
    </row>
    <row r="1369" spans="1:2" x14ac:dyDescent="0.25">
      <c r="A1369" s="65">
        <v>1368</v>
      </c>
      <c r="B1369" s="64">
        <v>29748817.329253547</v>
      </c>
    </row>
    <row r="1370" spans="1:2" x14ac:dyDescent="0.25">
      <c r="A1370" s="65">
        <v>1369</v>
      </c>
      <c r="B1370" s="64">
        <v>29299580.730967585</v>
      </c>
    </row>
    <row r="1371" spans="1:2" x14ac:dyDescent="0.25">
      <c r="A1371" s="65">
        <v>1370</v>
      </c>
      <c r="B1371" s="64">
        <v>30664165.023113873</v>
      </c>
    </row>
    <row r="1372" spans="1:2" x14ac:dyDescent="0.25">
      <c r="A1372" s="65">
        <v>1371</v>
      </c>
      <c r="B1372" s="64">
        <v>28418404.659349237</v>
      </c>
    </row>
    <row r="1373" spans="1:2" x14ac:dyDescent="0.25">
      <c r="A1373" s="65">
        <v>1372</v>
      </c>
      <c r="B1373" s="64">
        <v>28935667.905483488</v>
      </c>
    </row>
    <row r="1374" spans="1:2" x14ac:dyDescent="0.25">
      <c r="A1374" s="65">
        <v>1373</v>
      </c>
      <c r="B1374" s="64">
        <v>29323777.404720049</v>
      </c>
    </row>
    <row r="1375" spans="1:2" x14ac:dyDescent="0.25">
      <c r="A1375" s="65">
        <v>1374</v>
      </c>
      <c r="B1375" s="64">
        <v>28758044.278312258</v>
      </c>
    </row>
    <row r="1376" spans="1:2" x14ac:dyDescent="0.25">
      <c r="A1376" s="65">
        <v>1375</v>
      </c>
      <c r="B1376" s="64">
        <v>29049385.231117599</v>
      </c>
    </row>
    <row r="1377" spans="1:2" x14ac:dyDescent="0.25">
      <c r="A1377" s="65">
        <v>1376</v>
      </c>
      <c r="B1377" s="64">
        <v>29043641.531342741</v>
      </c>
    </row>
    <row r="1378" spans="1:2" x14ac:dyDescent="0.25">
      <c r="A1378" s="65">
        <v>1377</v>
      </c>
      <c r="B1378" s="64">
        <v>29111766.846611734</v>
      </c>
    </row>
    <row r="1379" spans="1:2" x14ac:dyDescent="0.25">
      <c r="A1379" s="65">
        <v>1378</v>
      </c>
      <c r="B1379" s="64">
        <v>28597458.287812028</v>
      </c>
    </row>
    <row r="1380" spans="1:2" x14ac:dyDescent="0.25">
      <c r="A1380" s="65">
        <v>1379</v>
      </c>
      <c r="B1380" s="64">
        <v>29696006.481007047</v>
      </c>
    </row>
    <row r="1381" spans="1:2" x14ac:dyDescent="0.25">
      <c r="A1381" s="65">
        <v>1380</v>
      </c>
      <c r="B1381" s="64">
        <v>30519443.410452534</v>
      </c>
    </row>
    <row r="1382" spans="1:2" x14ac:dyDescent="0.25">
      <c r="A1382" s="65">
        <v>1381</v>
      </c>
      <c r="B1382" s="64">
        <v>28971550.934225429</v>
      </c>
    </row>
    <row r="1383" spans="1:2" x14ac:dyDescent="0.25">
      <c r="A1383" s="65">
        <v>1382</v>
      </c>
      <c r="B1383" s="64">
        <v>29104560.322479386</v>
      </c>
    </row>
    <row r="1384" spans="1:2" x14ac:dyDescent="0.25">
      <c r="A1384" s="65">
        <v>1383</v>
      </c>
      <c r="B1384" s="64">
        <v>29654458.905992642</v>
      </c>
    </row>
    <row r="1385" spans="1:2" x14ac:dyDescent="0.25">
      <c r="A1385" s="65">
        <v>1384</v>
      </c>
      <c r="B1385" s="64">
        <v>29147499.707567528</v>
      </c>
    </row>
    <row r="1386" spans="1:2" x14ac:dyDescent="0.25">
      <c r="A1386" s="65">
        <v>1385</v>
      </c>
      <c r="B1386" s="64">
        <v>29583846.08067441</v>
      </c>
    </row>
    <row r="1387" spans="1:2" x14ac:dyDescent="0.25">
      <c r="A1387" s="65">
        <v>1386</v>
      </c>
      <c r="B1387" s="64">
        <v>29184588.853573777</v>
      </c>
    </row>
    <row r="1388" spans="1:2" x14ac:dyDescent="0.25">
      <c r="A1388" s="65">
        <v>1387</v>
      </c>
      <c r="B1388" s="64">
        <v>28561882.327335995</v>
      </c>
    </row>
    <row r="1389" spans="1:2" x14ac:dyDescent="0.25">
      <c r="A1389" s="65">
        <v>1388</v>
      </c>
      <c r="B1389" s="64">
        <v>30459022.001575463</v>
      </c>
    </row>
    <row r="1390" spans="1:2" x14ac:dyDescent="0.25">
      <c r="A1390" s="65">
        <v>1389</v>
      </c>
      <c r="B1390" s="64">
        <v>29024437.219302833</v>
      </c>
    </row>
    <row r="1391" spans="1:2" x14ac:dyDescent="0.25">
      <c r="A1391" s="65">
        <v>1390</v>
      </c>
      <c r="B1391" s="64">
        <v>30693341.17843448</v>
      </c>
    </row>
    <row r="1392" spans="1:2" x14ac:dyDescent="0.25">
      <c r="A1392" s="65">
        <v>1391</v>
      </c>
      <c r="B1392" s="64">
        <v>28379175.307410024</v>
      </c>
    </row>
    <row r="1393" spans="1:2" x14ac:dyDescent="0.25">
      <c r="A1393" s="65">
        <v>1392</v>
      </c>
      <c r="B1393" s="64">
        <v>29429674.227651589</v>
      </c>
    </row>
    <row r="1394" spans="1:2" x14ac:dyDescent="0.25">
      <c r="A1394" s="65">
        <v>1393</v>
      </c>
      <c r="B1394" s="64">
        <v>30051236.859941546</v>
      </c>
    </row>
    <row r="1395" spans="1:2" x14ac:dyDescent="0.25">
      <c r="A1395" s="65">
        <v>1394</v>
      </c>
      <c r="B1395" s="64">
        <v>29029523.30442192</v>
      </c>
    </row>
    <row r="1396" spans="1:2" x14ac:dyDescent="0.25">
      <c r="A1396" s="65">
        <v>1395</v>
      </c>
      <c r="B1396" s="64">
        <v>29816864.268279567</v>
      </c>
    </row>
    <row r="1397" spans="1:2" x14ac:dyDescent="0.25">
      <c r="A1397" s="65">
        <v>1396</v>
      </c>
      <c r="B1397" s="64">
        <v>28662210.981431223</v>
      </c>
    </row>
    <row r="1398" spans="1:2" x14ac:dyDescent="0.25">
      <c r="A1398" s="65">
        <v>1397</v>
      </c>
      <c r="B1398" s="64">
        <v>29613922.72353052</v>
      </c>
    </row>
    <row r="1399" spans="1:2" x14ac:dyDescent="0.25">
      <c r="A1399" s="65">
        <v>1398</v>
      </c>
      <c r="B1399" s="64">
        <v>28700964.181801114</v>
      </c>
    </row>
    <row r="1400" spans="1:2" x14ac:dyDescent="0.25">
      <c r="A1400" s="65">
        <v>1399</v>
      </c>
      <c r="B1400" s="64">
        <v>28501553.460384239</v>
      </c>
    </row>
    <row r="1401" spans="1:2" x14ac:dyDescent="0.25">
      <c r="A1401" s="65">
        <v>1400</v>
      </c>
      <c r="B1401" s="64">
        <v>29600557.853481706</v>
      </c>
    </row>
    <row r="1402" spans="1:2" x14ac:dyDescent="0.25">
      <c r="A1402" s="65">
        <v>1401</v>
      </c>
      <c r="B1402" s="64">
        <v>29563425.787744094</v>
      </c>
    </row>
    <row r="1403" spans="1:2" x14ac:dyDescent="0.25">
      <c r="A1403" s="65">
        <v>1402</v>
      </c>
      <c r="B1403" s="64">
        <v>28745693.245758235</v>
      </c>
    </row>
    <row r="1404" spans="1:2" x14ac:dyDescent="0.25">
      <c r="A1404" s="65">
        <v>1403</v>
      </c>
      <c r="B1404" s="64">
        <v>28852624.710675009</v>
      </c>
    </row>
    <row r="1405" spans="1:2" x14ac:dyDescent="0.25">
      <c r="A1405" s="65">
        <v>1404</v>
      </c>
      <c r="B1405" s="64">
        <v>28921979.378576741</v>
      </c>
    </row>
    <row r="1406" spans="1:2" x14ac:dyDescent="0.25">
      <c r="A1406" s="65">
        <v>1405</v>
      </c>
      <c r="B1406" s="64">
        <v>29090391.421179745</v>
      </c>
    </row>
    <row r="1407" spans="1:2" x14ac:dyDescent="0.25">
      <c r="A1407" s="65">
        <v>1406</v>
      </c>
      <c r="B1407" s="64">
        <v>28933727.77216674</v>
      </c>
    </row>
    <row r="1408" spans="1:2" x14ac:dyDescent="0.25">
      <c r="A1408" s="65">
        <v>1407</v>
      </c>
      <c r="B1408" s="64">
        <v>28436185.760777805</v>
      </c>
    </row>
    <row r="1409" spans="1:2" x14ac:dyDescent="0.25">
      <c r="A1409" s="65">
        <v>1408</v>
      </c>
      <c r="B1409" s="64">
        <v>28726496.348572958</v>
      </c>
    </row>
    <row r="1410" spans="1:2" x14ac:dyDescent="0.25">
      <c r="A1410" s="65">
        <v>1409</v>
      </c>
      <c r="B1410" s="64">
        <v>28770827.366288345</v>
      </c>
    </row>
    <row r="1411" spans="1:2" x14ac:dyDescent="0.25">
      <c r="A1411" s="65">
        <v>1410</v>
      </c>
      <c r="B1411" s="64">
        <v>29037410.062614527</v>
      </c>
    </row>
    <row r="1412" spans="1:2" x14ac:dyDescent="0.25">
      <c r="A1412" s="65">
        <v>1411</v>
      </c>
      <c r="B1412" s="64">
        <v>29754759.44049238</v>
      </c>
    </row>
    <row r="1413" spans="1:2" x14ac:dyDescent="0.25">
      <c r="A1413" s="65">
        <v>1412</v>
      </c>
      <c r="B1413" s="64">
        <v>28981851.063369036</v>
      </c>
    </row>
    <row r="1414" spans="1:2" x14ac:dyDescent="0.25">
      <c r="A1414" s="65">
        <v>1413</v>
      </c>
      <c r="B1414" s="64">
        <v>29222295.634697612</v>
      </c>
    </row>
    <row r="1415" spans="1:2" x14ac:dyDescent="0.25">
      <c r="A1415" s="65">
        <v>1414</v>
      </c>
      <c r="B1415" s="64">
        <v>29033951.18603697</v>
      </c>
    </row>
    <row r="1416" spans="1:2" x14ac:dyDescent="0.25">
      <c r="A1416" s="65">
        <v>1415</v>
      </c>
      <c r="B1416" s="64">
        <v>28901571.980184831</v>
      </c>
    </row>
    <row r="1417" spans="1:2" x14ac:dyDescent="0.25">
      <c r="A1417" s="65">
        <v>1416</v>
      </c>
      <c r="B1417" s="64">
        <v>29384866.36979004</v>
      </c>
    </row>
    <row r="1418" spans="1:2" x14ac:dyDescent="0.25">
      <c r="A1418" s="65">
        <v>1417</v>
      </c>
      <c r="B1418" s="64">
        <v>30125115.762499589</v>
      </c>
    </row>
    <row r="1419" spans="1:2" x14ac:dyDescent="0.25">
      <c r="A1419" s="65">
        <v>1418</v>
      </c>
      <c r="B1419" s="64">
        <v>28773188.852667697</v>
      </c>
    </row>
    <row r="1420" spans="1:2" x14ac:dyDescent="0.25">
      <c r="A1420" s="65">
        <v>1419</v>
      </c>
      <c r="B1420" s="64">
        <v>28674658.880268842</v>
      </c>
    </row>
    <row r="1421" spans="1:2" x14ac:dyDescent="0.25">
      <c r="A1421" s="65">
        <v>1420</v>
      </c>
      <c r="B1421" s="64">
        <v>29061748.384966098</v>
      </c>
    </row>
    <row r="1422" spans="1:2" x14ac:dyDescent="0.25">
      <c r="A1422" s="65">
        <v>1421</v>
      </c>
      <c r="B1422" s="64">
        <v>29217689.050034575</v>
      </c>
    </row>
    <row r="1423" spans="1:2" x14ac:dyDescent="0.25">
      <c r="A1423" s="65">
        <v>1422</v>
      </c>
      <c r="B1423" s="64">
        <v>28680992.699858923</v>
      </c>
    </row>
    <row r="1424" spans="1:2" x14ac:dyDescent="0.25">
      <c r="A1424" s="65">
        <v>1423</v>
      </c>
      <c r="B1424" s="64">
        <v>29397709.763487671</v>
      </c>
    </row>
    <row r="1425" spans="1:2" x14ac:dyDescent="0.25">
      <c r="A1425" s="65">
        <v>1424</v>
      </c>
      <c r="B1425" s="64">
        <v>29668695.854977652</v>
      </c>
    </row>
    <row r="1426" spans="1:2" x14ac:dyDescent="0.25">
      <c r="A1426" s="65">
        <v>1425</v>
      </c>
      <c r="B1426" s="64">
        <v>29743869.49225682</v>
      </c>
    </row>
    <row r="1427" spans="1:2" x14ac:dyDescent="0.25">
      <c r="A1427" s="65">
        <v>1426</v>
      </c>
      <c r="B1427" s="64">
        <v>33096752.711486429</v>
      </c>
    </row>
    <row r="1428" spans="1:2" x14ac:dyDescent="0.25">
      <c r="A1428" s="65">
        <v>1427</v>
      </c>
      <c r="B1428" s="64">
        <v>28775414.78989641</v>
      </c>
    </row>
    <row r="1429" spans="1:2" x14ac:dyDescent="0.25">
      <c r="A1429" s="65">
        <v>1428</v>
      </c>
      <c r="B1429" s="64">
        <v>28971077.216613445</v>
      </c>
    </row>
    <row r="1430" spans="1:2" x14ac:dyDescent="0.25">
      <c r="A1430" s="65">
        <v>1429</v>
      </c>
      <c r="B1430" s="64">
        <v>29151275.710481219</v>
      </c>
    </row>
    <row r="1431" spans="1:2" x14ac:dyDescent="0.25">
      <c r="A1431" s="65">
        <v>1430</v>
      </c>
      <c r="B1431" s="64">
        <v>28793973.114177719</v>
      </c>
    </row>
    <row r="1432" spans="1:2" x14ac:dyDescent="0.25">
      <c r="A1432" s="65">
        <v>1431</v>
      </c>
      <c r="B1432" s="64">
        <v>29023188.594736282</v>
      </c>
    </row>
    <row r="1433" spans="1:2" x14ac:dyDescent="0.25">
      <c r="A1433" s="65">
        <v>1432</v>
      </c>
      <c r="B1433" s="64">
        <v>28515458.762959629</v>
      </c>
    </row>
    <row r="1434" spans="1:2" x14ac:dyDescent="0.25">
      <c r="A1434" s="65">
        <v>1433</v>
      </c>
      <c r="B1434" s="64">
        <v>28790979.6913164</v>
      </c>
    </row>
    <row r="1435" spans="1:2" x14ac:dyDescent="0.25">
      <c r="A1435" s="65">
        <v>1434</v>
      </c>
      <c r="B1435" s="64">
        <v>29199203.861744761</v>
      </c>
    </row>
    <row r="1436" spans="1:2" x14ac:dyDescent="0.25">
      <c r="A1436" s="65">
        <v>1435</v>
      </c>
      <c r="B1436" s="64">
        <v>29610283.184907656</v>
      </c>
    </row>
    <row r="1437" spans="1:2" x14ac:dyDescent="0.25">
      <c r="A1437" s="65">
        <v>1436</v>
      </c>
      <c r="B1437" s="64">
        <v>28857805.86017539</v>
      </c>
    </row>
    <row r="1438" spans="1:2" x14ac:dyDescent="0.25">
      <c r="A1438" s="65">
        <v>1437</v>
      </c>
      <c r="B1438" s="64">
        <v>29000723.386258673</v>
      </c>
    </row>
    <row r="1439" spans="1:2" x14ac:dyDescent="0.25">
      <c r="A1439" s="65">
        <v>1438</v>
      </c>
      <c r="B1439" s="64">
        <v>29134293.951297887</v>
      </c>
    </row>
    <row r="1440" spans="1:2" x14ac:dyDescent="0.25">
      <c r="A1440" s="65">
        <v>1439</v>
      </c>
      <c r="B1440" s="64">
        <v>29038404.875123288</v>
      </c>
    </row>
    <row r="1441" spans="1:2" x14ac:dyDescent="0.25">
      <c r="A1441" s="65">
        <v>1440</v>
      </c>
      <c r="B1441" s="64">
        <v>29407638.794436011</v>
      </c>
    </row>
    <row r="1442" spans="1:2" x14ac:dyDescent="0.25">
      <c r="A1442" s="65">
        <v>1441</v>
      </c>
      <c r="B1442" s="64">
        <v>28634307.97156227</v>
      </c>
    </row>
    <row r="1443" spans="1:2" x14ac:dyDescent="0.25">
      <c r="A1443" s="65">
        <v>1442</v>
      </c>
      <c r="B1443" s="64">
        <v>29684991.128950242</v>
      </c>
    </row>
    <row r="1444" spans="1:2" x14ac:dyDescent="0.25">
      <c r="A1444" s="65">
        <v>1443</v>
      </c>
      <c r="B1444" s="64">
        <v>28853447.183251765</v>
      </c>
    </row>
    <row r="1445" spans="1:2" x14ac:dyDescent="0.25">
      <c r="A1445" s="65">
        <v>1444</v>
      </c>
      <c r="B1445" s="64">
        <v>28788987.645823169</v>
      </c>
    </row>
    <row r="1446" spans="1:2" x14ac:dyDescent="0.25">
      <c r="A1446" s="65">
        <v>1445</v>
      </c>
      <c r="B1446" s="64">
        <v>34888620.078998417</v>
      </c>
    </row>
    <row r="1447" spans="1:2" x14ac:dyDescent="0.25">
      <c r="A1447" s="65">
        <v>1446</v>
      </c>
      <c r="B1447" s="64">
        <v>30001919.450068556</v>
      </c>
    </row>
    <row r="1448" spans="1:2" x14ac:dyDescent="0.25">
      <c r="A1448" s="65">
        <v>1447</v>
      </c>
      <c r="B1448" s="64">
        <v>29012185.338519674</v>
      </c>
    </row>
    <row r="1449" spans="1:2" x14ac:dyDescent="0.25">
      <c r="A1449" s="65">
        <v>1448</v>
      </c>
      <c r="B1449" s="64">
        <v>29140068.896264035</v>
      </c>
    </row>
    <row r="1450" spans="1:2" x14ac:dyDescent="0.25">
      <c r="A1450" s="65">
        <v>1449</v>
      </c>
      <c r="B1450" s="64">
        <v>30465631.45324856</v>
      </c>
    </row>
    <row r="1451" spans="1:2" x14ac:dyDescent="0.25">
      <c r="A1451" s="65">
        <v>1450</v>
      </c>
      <c r="B1451" s="64">
        <v>28748763.442307889</v>
      </c>
    </row>
    <row r="1452" spans="1:2" x14ac:dyDescent="0.25">
      <c r="A1452" s="65">
        <v>1451</v>
      </c>
      <c r="B1452" s="64">
        <v>28635403.258215994</v>
      </c>
    </row>
    <row r="1453" spans="1:2" x14ac:dyDescent="0.25">
      <c r="A1453" s="65">
        <v>1452</v>
      </c>
      <c r="B1453" s="64">
        <v>29693830.439241763</v>
      </c>
    </row>
    <row r="1454" spans="1:2" x14ac:dyDescent="0.25">
      <c r="A1454" s="65">
        <v>1453</v>
      </c>
      <c r="B1454" s="64">
        <v>28978474.66322932</v>
      </c>
    </row>
    <row r="1455" spans="1:2" x14ac:dyDescent="0.25">
      <c r="A1455" s="65">
        <v>1454</v>
      </c>
      <c r="B1455" s="64">
        <v>28894777.287637699</v>
      </c>
    </row>
    <row r="1456" spans="1:2" x14ac:dyDescent="0.25">
      <c r="A1456" s="65">
        <v>1455</v>
      </c>
      <c r="B1456" s="64">
        <v>29085175.279744785</v>
      </c>
    </row>
    <row r="1457" spans="1:2" x14ac:dyDescent="0.25">
      <c r="A1457" s="65">
        <v>1456</v>
      </c>
      <c r="B1457" s="64">
        <v>29049137.757011998</v>
      </c>
    </row>
    <row r="1458" spans="1:2" x14ac:dyDescent="0.25">
      <c r="A1458" s="65">
        <v>1457</v>
      </c>
      <c r="B1458" s="64">
        <v>33835906.92888841</v>
      </c>
    </row>
    <row r="1459" spans="1:2" x14ac:dyDescent="0.25">
      <c r="A1459" s="65">
        <v>1458</v>
      </c>
      <c r="B1459" s="64">
        <v>29407224.979024071</v>
      </c>
    </row>
    <row r="1460" spans="1:2" x14ac:dyDescent="0.25">
      <c r="A1460" s="65">
        <v>1459</v>
      </c>
      <c r="B1460" s="64">
        <v>29817946.811944366</v>
      </c>
    </row>
    <row r="1461" spans="1:2" x14ac:dyDescent="0.25">
      <c r="A1461" s="65">
        <v>1460</v>
      </c>
      <c r="B1461" s="64">
        <v>28599924.915643923</v>
      </c>
    </row>
    <row r="1462" spans="1:2" x14ac:dyDescent="0.25">
      <c r="A1462" s="65">
        <v>1461</v>
      </c>
      <c r="B1462" s="64">
        <v>29189696.351559773</v>
      </c>
    </row>
    <row r="1463" spans="1:2" x14ac:dyDescent="0.25">
      <c r="A1463" s="65">
        <v>1462</v>
      </c>
      <c r="B1463" s="64">
        <v>28974079.747004271</v>
      </c>
    </row>
    <row r="1464" spans="1:2" x14ac:dyDescent="0.25">
      <c r="A1464" s="65">
        <v>1463</v>
      </c>
      <c r="B1464" s="64">
        <v>29168370.737520389</v>
      </c>
    </row>
    <row r="1465" spans="1:2" x14ac:dyDescent="0.25">
      <c r="A1465" s="65">
        <v>1464</v>
      </c>
      <c r="B1465" s="64">
        <v>28843830.090670597</v>
      </c>
    </row>
    <row r="1466" spans="1:2" x14ac:dyDescent="0.25">
      <c r="A1466" s="65">
        <v>1465</v>
      </c>
      <c r="B1466" s="64">
        <v>28642428.947906565</v>
      </c>
    </row>
    <row r="1467" spans="1:2" x14ac:dyDescent="0.25">
      <c r="A1467" s="65">
        <v>1466</v>
      </c>
      <c r="B1467" s="64">
        <v>28899060.831125088</v>
      </c>
    </row>
    <row r="1468" spans="1:2" x14ac:dyDescent="0.25">
      <c r="A1468" s="65">
        <v>1467</v>
      </c>
      <c r="B1468" s="64">
        <v>29873453.727692861</v>
      </c>
    </row>
    <row r="1469" spans="1:2" x14ac:dyDescent="0.25">
      <c r="A1469" s="65">
        <v>1468</v>
      </c>
      <c r="B1469" s="64">
        <v>30025514.419463418</v>
      </c>
    </row>
    <row r="1470" spans="1:2" x14ac:dyDescent="0.25">
      <c r="A1470" s="65">
        <v>1469</v>
      </c>
      <c r="B1470" s="64">
        <v>29091977.17425593</v>
      </c>
    </row>
    <row r="1471" spans="1:2" x14ac:dyDescent="0.25">
      <c r="A1471" s="65">
        <v>1470</v>
      </c>
      <c r="B1471" s="64">
        <v>28980293.237287894</v>
      </c>
    </row>
    <row r="1472" spans="1:2" x14ac:dyDescent="0.25">
      <c r="A1472" s="65">
        <v>1471</v>
      </c>
      <c r="B1472" s="64">
        <v>28843353.753004462</v>
      </c>
    </row>
    <row r="1473" spans="1:2" x14ac:dyDescent="0.25">
      <c r="A1473" s="65">
        <v>1472</v>
      </c>
      <c r="B1473" s="64">
        <v>28932267.955946889</v>
      </c>
    </row>
    <row r="1474" spans="1:2" x14ac:dyDescent="0.25">
      <c r="A1474" s="65">
        <v>1473</v>
      </c>
      <c r="B1474" s="64">
        <v>28600824.347051766</v>
      </c>
    </row>
    <row r="1475" spans="1:2" x14ac:dyDescent="0.25">
      <c r="A1475" s="65">
        <v>1474</v>
      </c>
      <c r="B1475" s="64">
        <v>28557523.950818442</v>
      </c>
    </row>
    <row r="1476" spans="1:2" x14ac:dyDescent="0.25">
      <c r="A1476" s="65">
        <v>1475</v>
      </c>
      <c r="B1476" s="64">
        <v>29240325.270505946</v>
      </c>
    </row>
    <row r="1477" spans="1:2" x14ac:dyDescent="0.25">
      <c r="A1477" s="65">
        <v>1476</v>
      </c>
      <c r="B1477" s="64">
        <v>29319765.350201666</v>
      </c>
    </row>
    <row r="1478" spans="1:2" x14ac:dyDescent="0.25">
      <c r="A1478" s="65">
        <v>1477</v>
      </c>
      <c r="B1478" s="64">
        <v>33651783.278606765</v>
      </c>
    </row>
    <row r="1479" spans="1:2" x14ac:dyDescent="0.25">
      <c r="A1479" s="65">
        <v>1478</v>
      </c>
      <c r="B1479" s="64">
        <v>29279600.324422572</v>
      </c>
    </row>
    <row r="1480" spans="1:2" x14ac:dyDescent="0.25">
      <c r="A1480" s="65">
        <v>1479</v>
      </c>
      <c r="B1480" s="64">
        <v>28643053.592462402</v>
      </c>
    </row>
    <row r="1481" spans="1:2" x14ac:dyDescent="0.25">
      <c r="A1481" s="65">
        <v>1480</v>
      </c>
      <c r="B1481" s="64">
        <v>28700251.215254802</v>
      </c>
    </row>
    <row r="1482" spans="1:2" x14ac:dyDescent="0.25">
      <c r="A1482" s="65">
        <v>1481</v>
      </c>
      <c r="B1482" s="64">
        <v>29105225.346873935</v>
      </c>
    </row>
    <row r="1483" spans="1:2" x14ac:dyDescent="0.25">
      <c r="A1483" s="65">
        <v>1482</v>
      </c>
      <c r="B1483" s="64">
        <v>31498617.732268758</v>
      </c>
    </row>
    <row r="1484" spans="1:2" x14ac:dyDescent="0.25">
      <c r="A1484" s="65">
        <v>1483</v>
      </c>
      <c r="B1484" s="64">
        <v>29683688.467699327</v>
      </c>
    </row>
    <row r="1485" spans="1:2" x14ac:dyDescent="0.25">
      <c r="A1485" s="65">
        <v>1484</v>
      </c>
      <c r="B1485" s="64">
        <v>29406992.769184135</v>
      </c>
    </row>
    <row r="1486" spans="1:2" x14ac:dyDescent="0.25">
      <c r="A1486" s="65">
        <v>1485</v>
      </c>
      <c r="B1486" s="64">
        <v>29077919.731075995</v>
      </c>
    </row>
    <row r="1487" spans="1:2" x14ac:dyDescent="0.25">
      <c r="A1487" s="65">
        <v>1486</v>
      </c>
      <c r="B1487" s="64">
        <v>29199756.79021493</v>
      </c>
    </row>
    <row r="1488" spans="1:2" x14ac:dyDescent="0.25">
      <c r="A1488" s="65">
        <v>1487</v>
      </c>
      <c r="B1488" s="64">
        <v>30072785.989670556</v>
      </c>
    </row>
    <row r="1489" spans="1:2" x14ac:dyDescent="0.25">
      <c r="A1489" s="65">
        <v>1488</v>
      </c>
      <c r="B1489" s="64">
        <v>28693833.45869777</v>
      </c>
    </row>
    <row r="1490" spans="1:2" x14ac:dyDescent="0.25">
      <c r="A1490" s="65">
        <v>1489</v>
      </c>
      <c r="B1490" s="64">
        <v>29224766.812268354</v>
      </c>
    </row>
    <row r="1491" spans="1:2" x14ac:dyDescent="0.25">
      <c r="A1491" s="65">
        <v>1490</v>
      </c>
      <c r="B1491" s="64">
        <v>28852994.91301804</v>
      </c>
    </row>
    <row r="1492" spans="1:2" x14ac:dyDescent="0.25">
      <c r="A1492" s="65">
        <v>1491</v>
      </c>
      <c r="B1492" s="64">
        <v>28599490.948210649</v>
      </c>
    </row>
    <row r="1493" spans="1:2" x14ac:dyDescent="0.25">
      <c r="A1493" s="65">
        <v>1492</v>
      </c>
      <c r="B1493" s="64">
        <v>29218430.103971895</v>
      </c>
    </row>
    <row r="1494" spans="1:2" x14ac:dyDescent="0.25">
      <c r="A1494" s="65">
        <v>1493</v>
      </c>
      <c r="B1494" s="64">
        <v>29867787.225926835</v>
      </c>
    </row>
    <row r="1495" spans="1:2" x14ac:dyDescent="0.25">
      <c r="A1495" s="65">
        <v>1494</v>
      </c>
      <c r="B1495" s="64">
        <v>29825016.795458507</v>
      </c>
    </row>
    <row r="1496" spans="1:2" x14ac:dyDescent="0.25">
      <c r="A1496" s="65">
        <v>1495</v>
      </c>
      <c r="B1496" s="64">
        <v>29338330.278104145</v>
      </c>
    </row>
    <row r="1497" spans="1:2" x14ac:dyDescent="0.25">
      <c r="A1497" s="65">
        <v>1496</v>
      </c>
      <c r="B1497" s="64">
        <v>29839214.065210022</v>
      </c>
    </row>
    <row r="1498" spans="1:2" x14ac:dyDescent="0.25">
      <c r="A1498" s="65">
        <v>1497</v>
      </c>
      <c r="B1498" s="64">
        <v>29850186.890409496</v>
      </c>
    </row>
    <row r="1499" spans="1:2" x14ac:dyDescent="0.25">
      <c r="A1499" s="65">
        <v>1498</v>
      </c>
      <c r="B1499" s="64">
        <v>30067072.542170998</v>
      </c>
    </row>
    <row r="1500" spans="1:2" x14ac:dyDescent="0.25">
      <c r="A1500" s="65">
        <v>1499</v>
      </c>
      <c r="B1500" s="64">
        <v>29309478.302646093</v>
      </c>
    </row>
    <row r="1501" spans="1:2" x14ac:dyDescent="0.25">
      <c r="A1501" s="65">
        <v>1500</v>
      </c>
      <c r="B1501" s="64">
        <v>30703836.364557456</v>
      </c>
    </row>
    <row r="1502" spans="1:2" x14ac:dyDescent="0.25">
      <c r="A1502" s="65">
        <v>1501</v>
      </c>
      <c r="B1502" s="64">
        <v>28552391.157997329</v>
      </c>
    </row>
    <row r="1503" spans="1:2" x14ac:dyDescent="0.25">
      <c r="A1503" s="65">
        <v>1502</v>
      </c>
      <c r="B1503" s="64">
        <v>28937758.862986825</v>
      </c>
    </row>
    <row r="1504" spans="1:2" x14ac:dyDescent="0.25">
      <c r="A1504" s="65">
        <v>1503</v>
      </c>
      <c r="B1504" s="64">
        <v>28848515.360305645</v>
      </c>
    </row>
    <row r="1505" spans="1:2" x14ac:dyDescent="0.25">
      <c r="A1505" s="65">
        <v>1504</v>
      </c>
      <c r="B1505" s="64">
        <v>29685282.283859331</v>
      </c>
    </row>
    <row r="1506" spans="1:2" x14ac:dyDescent="0.25">
      <c r="A1506" s="65">
        <v>1505</v>
      </c>
      <c r="B1506" s="64">
        <v>29237354.529004637</v>
      </c>
    </row>
    <row r="1507" spans="1:2" x14ac:dyDescent="0.25">
      <c r="A1507" s="65">
        <v>1506</v>
      </c>
      <c r="B1507" s="64">
        <v>30403674.200261377</v>
      </c>
    </row>
    <row r="1508" spans="1:2" x14ac:dyDescent="0.25">
      <c r="A1508" s="65">
        <v>1507</v>
      </c>
      <c r="B1508" s="64">
        <v>29098655.820142556</v>
      </c>
    </row>
    <row r="1509" spans="1:2" x14ac:dyDescent="0.25">
      <c r="A1509" s="65">
        <v>1508</v>
      </c>
      <c r="B1509" s="64">
        <v>29050479.526288904</v>
      </c>
    </row>
    <row r="1510" spans="1:2" x14ac:dyDescent="0.25">
      <c r="A1510" s="65">
        <v>1509</v>
      </c>
      <c r="B1510" s="64">
        <v>28850310.309950802</v>
      </c>
    </row>
    <row r="1511" spans="1:2" x14ac:dyDescent="0.25">
      <c r="A1511" s="65">
        <v>1510</v>
      </c>
      <c r="B1511" s="64">
        <v>30041601.942772225</v>
      </c>
    </row>
    <row r="1512" spans="1:2" x14ac:dyDescent="0.25">
      <c r="A1512" s="65">
        <v>1511</v>
      </c>
      <c r="B1512" s="64">
        <v>28596383.437336419</v>
      </c>
    </row>
    <row r="1513" spans="1:2" x14ac:dyDescent="0.25">
      <c r="A1513" s="65">
        <v>1512</v>
      </c>
      <c r="B1513" s="64">
        <v>28913623.78819776</v>
      </c>
    </row>
    <row r="1514" spans="1:2" x14ac:dyDescent="0.25">
      <c r="A1514" s="65">
        <v>1513</v>
      </c>
      <c r="B1514" s="64">
        <v>28757856.957485404</v>
      </c>
    </row>
    <row r="1515" spans="1:2" x14ac:dyDescent="0.25">
      <c r="A1515" s="65">
        <v>1514</v>
      </c>
      <c r="B1515" s="64">
        <v>28720727.581622761</v>
      </c>
    </row>
    <row r="1516" spans="1:2" x14ac:dyDescent="0.25">
      <c r="A1516" s="65">
        <v>1515</v>
      </c>
      <c r="B1516" s="64">
        <v>28822020.028162837</v>
      </c>
    </row>
    <row r="1517" spans="1:2" x14ac:dyDescent="0.25">
      <c r="A1517" s="65">
        <v>1516</v>
      </c>
      <c r="B1517" s="64">
        <v>28818259.621738218</v>
      </c>
    </row>
    <row r="1518" spans="1:2" x14ac:dyDescent="0.25">
      <c r="A1518" s="65">
        <v>1517</v>
      </c>
      <c r="B1518" s="64">
        <v>28656192.7298171</v>
      </c>
    </row>
    <row r="1519" spans="1:2" x14ac:dyDescent="0.25">
      <c r="A1519" s="65">
        <v>1518</v>
      </c>
      <c r="B1519" s="64">
        <v>28878573.956816833</v>
      </c>
    </row>
    <row r="1520" spans="1:2" x14ac:dyDescent="0.25">
      <c r="A1520" s="65">
        <v>1519</v>
      </c>
      <c r="B1520" s="64">
        <v>31114799.435500085</v>
      </c>
    </row>
    <row r="1521" spans="1:2" x14ac:dyDescent="0.25">
      <c r="A1521" s="65">
        <v>1520</v>
      </c>
      <c r="B1521" s="64">
        <v>29346720.833528481</v>
      </c>
    </row>
    <row r="1522" spans="1:2" x14ac:dyDescent="0.25">
      <c r="A1522" s="65">
        <v>1521</v>
      </c>
      <c r="B1522" s="64">
        <v>30111799.662890866</v>
      </c>
    </row>
    <row r="1523" spans="1:2" x14ac:dyDescent="0.25">
      <c r="A1523" s="65">
        <v>1522</v>
      </c>
      <c r="B1523" s="64">
        <v>28949677.375761759</v>
      </c>
    </row>
    <row r="1524" spans="1:2" x14ac:dyDescent="0.25">
      <c r="A1524" s="65">
        <v>1523</v>
      </c>
      <c r="B1524" s="64">
        <v>29787388.451422207</v>
      </c>
    </row>
    <row r="1525" spans="1:2" x14ac:dyDescent="0.25">
      <c r="A1525" s="65">
        <v>1524</v>
      </c>
      <c r="B1525" s="64">
        <v>28865715.628338736</v>
      </c>
    </row>
    <row r="1526" spans="1:2" x14ac:dyDescent="0.25">
      <c r="A1526" s="65">
        <v>1525</v>
      </c>
      <c r="B1526" s="64">
        <v>28582120.835514598</v>
      </c>
    </row>
    <row r="1527" spans="1:2" x14ac:dyDescent="0.25">
      <c r="A1527" s="65">
        <v>1526</v>
      </c>
      <c r="B1527" s="64">
        <v>29991632.496944509</v>
      </c>
    </row>
    <row r="1528" spans="1:2" x14ac:dyDescent="0.25">
      <c r="A1528" s="65">
        <v>1527</v>
      </c>
      <c r="B1528" s="64">
        <v>29107036.309284743</v>
      </c>
    </row>
    <row r="1529" spans="1:2" x14ac:dyDescent="0.25">
      <c r="A1529" s="65">
        <v>1528</v>
      </c>
      <c r="B1529" s="64">
        <v>31057043.085297748</v>
      </c>
    </row>
    <row r="1530" spans="1:2" x14ac:dyDescent="0.25">
      <c r="A1530" s="65">
        <v>1529</v>
      </c>
      <c r="B1530" s="64">
        <v>28578705.1775386</v>
      </c>
    </row>
    <row r="1531" spans="1:2" x14ac:dyDescent="0.25">
      <c r="A1531" s="65">
        <v>1530</v>
      </c>
      <c r="B1531" s="64">
        <v>28683636.685485914</v>
      </c>
    </row>
    <row r="1532" spans="1:2" x14ac:dyDescent="0.25">
      <c r="A1532" s="65">
        <v>1531</v>
      </c>
      <c r="B1532" s="64">
        <v>33204011.189290181</v>
      </c>
    </row>
    <row r="1533" spans="1:2" x14ac:dyDescent="0.25">
      <c r="A1533" s="65">
        <v>1532</v>
      </c>
      <c r="B1533" s="64">
        <v>29357672.070937995</v>
      </c>
    </row>
    <row r="1534" spans="1:2" x14ac:dyDescent="0.25">
      <c r="A1534" s="65">
        <v>1533</v>
      </c>
      <c r="B1534" s="64">
        <v>28671531.421049066</v>
      </c>
    </row>
    <row r="1535" spans="1:2" x14ac:dyDescent="0.25">
      <c r="A1535" s="65">
        <v>1534</v>
      </c>
      <c r="B1535" s="64">
        <v>29511737.002668981</v>
      </c>
    </row>
    <row r="1536" spans="1:2" x14ac:dyDescent="0.25">
      <c r="A1536" s="65">
        <v>1535</v>
      </c>
      <c r="B1536" s="64">
        <v>28425330.434280902</v>
      </c>
    </row>
    <row r="1537" spans="1:2" x14ac:dyDescent="0.25">
      <c r="A1537" s="65">
        <v>1536</v>
      </c>
      <c r="B1537" s="64">
        <v>28936053.470599797</v>
      </c>
    </row>
    <row r="1538" spans="1:2" x14ac:dyDescent="0.25">
      <c r="A1538" s="65">
        <v>1537</v>
      </c>
      <c r="B1538" s="64">
        <v>28919124.78979687</v>
      </c>
    </row>
    <row r="1539" spans="1:2" x14ac:dyDescent="0.25">
      <c r="A1539" s="65">
        <v>1538</v>
      </c>
      <c r="B1539" s="64">
        <v>28905474.995813377</v>
      </c>
    </row>
    <row r="1540" spans="1:2" x14ac:dyDescent="0.25">
      <c r="A1540" s="65">
        <v>1539</v>
      </c>
      <c r="B1540" s="64">
        <v>28670291.534781758</v>
      </c>
    </row>
    <row r="1541" spans="1:2" x14ac:dyDescent="0.25">
      <c r="A1541" s="65">
        <v>1540</v>
      </c>
      <c r="B1541" s="64">
        <v>28586822.120000686</v>
      </c>
    </row>
    <row r="1542" spans="1:2" x14ac:dyDescent="0.25">
      <c r="A1542" s="65">
        <v>1541</v>
      </c>
      <c r="B1542" s="64">
        <v>28446702.851654284</v>
      </c>
    </row>
    <row r="1543" spans="1:2" x14ac:dyDescent="0.25">
      <c r="A1543" s="65">
        <v>1542</v>
      </c>
      <c r="B1543" s="64">
        <v>29826706.12000614</v>
      </c>
    </row>
    <row r="1544" spans="1:2" x14ac:dyDescent="0.25">
      <c r="A1544" s="65">
        <v>1543</v>
      </c>
      <c r="B1544" s="64">
        <v>28707472.581505612</v>
      </c>
    </row>
    <row r="1545" spans="1:2" x14ac:dyDescent="0.25">
      <c r="A1545" s="65">
        <v>1544</v>
      </c>
      <c r="B1545" s="64">
        <v>30124182.922859129</v>
      </c>
    </row>
    <row r="1546" spans="1:2" x14ac:dyDescent="0.25">
      <c r="A1546" s="65">
        <v>1545</v>
      </c>
      <c r="B1546" s="64">
        <v>28747571.940663308</v>
      </c>
    </row>
    <row r="1547" spans="1:2" x14ac:dyDescent="0.25">
      <c r="A1547" s="65">
        <v>1546</v>
      </c>
      <c r="B1547" s="64">
        <v>29804096.061151665</v>
      </c>
    </row>
    <row r="1548" spans="1:2" x14ac:dyDescent="0.25">
      <c r="A1548" s="65">
        <v>1547</v>
      </c>
      <c r="B1548" s="64">
        <v>28890753.341886759</v>
      </c>
    </row>
    <row r="1549" spans="1:2" x14ac:dyDescent="0.25">
      <c r="A1549" s="65">
        <v>1548</v>
      </c>
      <c r="B1549" s="64">
        <v>28876213.582271088</v>
      </c>
    </row>
    <row r="1550" spans="1:2" x14ac:dyDescent="0.25">
      <c r="A1550" s="65">
        <v>1549</v>
      </c>
      <c r="B1550" s="64">
        <v>29333246.553528193</v>
      </c>
    </row>
    <row r="1551" spans="1:2" x14ac:dyDescent="0.25">
      <c r="A1551" s="65">
        <v>1550</v>
      </c>
      <c r="B1551" s="64">
        <v>29202007.82727721</v>
      </c>
    </row>
    <row r="1552" spans="1:2" x14ac:dyDescent="0.25">
      <c r="A1552" s="65">
        <v>1551</v>
      </c>
      <c r="B1552" s="64">
        <v>28560595.209628101</v>
      </c>
    </row>
    <row r="1553" spans="1:2" x14ac:dyDescent="0.25">
      <c r="A1553" s="65">
        <v>1552</v>
      </c>
      <c r="B1553" s="64">
        <v>29192256.514974955</v>
      </c>
    </row>
    <row r="1554" spans="1:2" x14ac:dyDescent="0.25">
      <c r="A1554" s="65">
        <v>1553</v>
      </c>
      <c r="B1554" s="64">
        <v>28789967.762767378</v>
      </c>
    </row>
    <row r="1555" spans="1:2" x14ac:dyDescent="0.25">
      <c r="A1555" s="65">
        <v>1554</v>
      </c>
      <c r="B1555" s="64">
        <v>29173298.28669728</v>
      </c>
    </row>
    <row r="1556" spans="1:2" x14ac:dyDescent="0.25">
      <c r="A1556" s="65">
        <v>1555</v>
      </c>
      <c r="B1556" s="64">
        <v>29559250.975867104</v>
      </c>
    </row>
    <row r="1557" spans="1:2" x14ac:dyDescent="0.25">
      <c r="A1557" s="65">
        <v>1556</v>
      </c>
      <c r="B1557" s="64">
        <v>29291409.896199584</v>
      </c>
    </row>
    <row r="1558" spans="1:2" x14ac:dyDescent="0.25">
      <c r="A1558" s="65">
        <v>1557</v>
      </c>
      <c r="B1558" s="64">
        <v>28442695.081152778</v>
      </c>
    </row>
    <row r="1559" spans="1:2" x14ac:dyDescent="0.25">
      <c r="A1559" s="65">
        <v>1558</v>
      </c>
      <c r="B1559" s="64">
        <v>29147375.161995128</v>
      </c>
    </row>
    <row r="1560" spans="1:2" x14ac:dyDescent="0.25">
      <c r="A1560" s="65">
        <v>1559</v>
      </c>
      <c r="B1560" s="64">
        <v>28930928.779265586</v>
      </c>
    </row>
    <row r="1561" spans="1:2" x14ac:dyDescent="0.25">
      <c r="A1561" s="65">
        <v>1560</v>
      </c>
      <c r="B1561" s="64">
        <v>28657867.443416398</v>
      </c>
    </row>
    <row r="1562" spans="1:2" x14ac:dyDescent="0.25">
      <c r="A1562" s="65">
        <v>1561</v>
      </c>
      <c r="B1562" s="64">
        <v>29955667.661870264</v>
      </c>
    </row>
    <row r="1563" spans="1:2" x14ac:dyDescent="0.25">
      <c r="A1563" s="65">
        <v>1562</v>
      </c>
      <c r="B1563" s="64">
        <v>29093532.395552311</v>
      </c>
    </row>
    <row r="1564" spans="1:2" x14ac:dyDescent="0.25">
      <c r="A1564" s="65">
        <v>1563</v>
      </c>
      <c r="B1564" s="64">
        <v>28632832.378156628</v>
      </c>
    </row>
    <row r="1565" spans="1:2" x14ac:dyDescent="0.25">
      <c r="A1565" s="65">
        <v>1564</v>
      </c>
      <c r="B1565" s="64">
        <v>28835705.300764486</v>
      </c>
    </row>
    <row r="1566" spans="1:2" x14ac:dyDescent="0.25">
      <c r="A1566" s="65">
        <v>1565</v>
      </c>
      <c r="B1566" s="64">
        <v>29490533.846452676</v>
      </c>
    </row>
    <row r="1567" spans="1:2" x14ac:dyDescent="0.25">
      <c r="A1567" s="65">
        <v>1566</v>
      </c>
      <c r="B1567" s="64">
        <v>29203474.492686778</v>
      </c>
    </row>
    <row r="1568" spans="1:2" x14ac:dyDescent="0.25">
      <c r="A1568" s="65">
        <v>1567</v>
      </c>
      <c r="B1568" s="64">
        <v>28573720.49804429</v>
      </c>
    </row>
    <row r="1569" spans="1:2" x14ac:dyDescent="0.25">
      <c r="A1569" s="65">
        <v>1568</v>
      </c>
      <c r="B1569" s="64">
        <v>29440645.32102973</v>
      </c>
    </row>
    <row r="1570" spans="1:2" x14ac:dyDescent="0.25">
      <c r="A1570" s="65">
        <v>1569</v>
      </c>
      <c r="B1570" s="64">
        <v>29034689.83813617</v>
      </c>
    </row>
    <row r="1571" spans="1:2" x14ac:dyDescent="0.25">
      <c r="A1571" s="65">
        <v>1570</v>
      </c>
      <c r="B1571" s="64">
        <v>29009357.231843159</v>
      </c>
    </row>
    <row r="1572" spans="1:2" x14ac:dyDescent="0.25">
      <c r="A1572" s="65">
        <v>1571</v>
      </c>
      <c r="B1572" s="64">
        <v>29510852.004922643</v>
      </c>
    </row>
    <row r="1573" spans="1:2" x14ac:dyDescent="0.25">
      <c r="A1573" s="65">
        <v>1572</v>
      </c>
      <c r="B1573" s="64">
        <v>29634765.971382823</v>
      </c>
    </row>
    <row r="1574" spans="1:2" x14ac:dyDescent="0.25">
      <c r="A1574" s="65">
        <v>1573</v>
      </c>
      <c r="B1574" s="64">
        <v>28747011.854547478</v>
      </c>
    </row>
    <row r="1575" spans="1:2" x14ac:dyDescent="0.25">
      <c r="A1575" s="65">
        <v>1574</v>
      </c>
      <c r="B1575" s="64">
        <v>33317693.791158836</v>
      </c>
    </row>
    <row r="1576" spans="1:2" x14ac:dyDescent="0.25">
      <c r="A1576" s="65">
        <v>1575</v>
      </c>
      <c r="B1576" s="64">
        <v>31196913.362293184</v>
      </c>
    </row>
    <row r="1577" spans="1:2" x14ac:dyDescent="0.25">
      <c r="A1577" s="65">
        <v>1576</v>
      </c>
      <c r="B1577" s="64">
        <v>28879655.101281278</v>
      </c>
    </row>
    <row r="1578" spans="1:2" x14ac:dyDescent="0.25">
      <c r="A1578" s="65">
        <v>1577</v>
      </c>
      <c r="B1578" s="64">
        <v>30162500.03295311</v>
      </c>
    </row>
    <row r="1579" spans="1:2" x14ac:dyDescent="0.25">
      <c r="A1579" s="65">
        <v>1578</v>
      </c>
      <c r="B1579" s="64">
        <v>30457337.253495272</v>
      </c>
    </row>
    <row r="1580" spans="1:2" x14ac:dyDescent="0.25">
      <c r="A1580" s="65">
        <v>1579</v>
      </c>
      <c r="B1580" s="64">
        <v>30518929.06191472</v>
      </c>
    </row>
    <row r="1581" spans="1:2" x14ac:dyDescent="0.25">
      <c r="A1581" s="65">
        <v>1580</v>
      </c>
      <c r="B1581" s="64">
        <v>28960317.919531383</v>
      </c>
    </row>
    <row r="1582" spans="1:2" x14ac:dyDescent="0.25">
      <c r="A1582" s="65">
        <v>1581</v>
      </c>
      <c r="B1582" s="64">
        <v>29984926.012572777</v>
      </c>
    </row>
    <row r="1583" spans="1:2" x14ac:dyDescent="0.25">
      <c r="A1583" s="65">
        <v>1582</v>
      </c>
      <c r="B1583" s="64">
        <v>28731703.289992999</v>
      </c>
    </row>
    <row r="1584" spans="1:2" x14ac:dyDescent="0.25">
      <c r="A1584" s="65">
        <v>1583</v>
      </c>
      <c r="B1584" s="64">
        <v>30001300.810888562</v>
      </c>
    </row>
    <row r="1585" spans="1:2" x14ac:dyDescent="0.25">
      <c r="A1585" s="65">
        <v>1584</v>
      </c>
      <c r="B1585" s="64">
        <v>29140778.038512602</v>
      </c>
    </row>
    <row r="1586" spans="1:2" x14ac:dyDescent="0.25">
      <c r="A1586" s="65">
        <v>1585</v>
      </c>
      <c r="B1586" s="64">
        <v>28713026.633892849</v>
      </c>
    </row>
    <row r="1587" spans="1:2" x14ac:dyDescent="0.25">
      <c r="A1587" s="65">
        <v>1586</v>
      </c>
      <c r="B1587" s="64">
        <v>28810594.047270749</v>
      </c>
    </row>
    <row r="1588" spans="1:2" x14ac:dyDescent="0.25">
      <c r="A1588" s="65">
        <v>1587</v>
      </c>
      <c r="B1588" s="64">
        <v>29004387.962497476</v>
      </c>
    </row>
    <row r="1589" spans="1:2" x14ac:dyDescent="0.25">
      <c r="A1589" s="65">
        <v>1588</v>
      </c>
      <c r="B1589" s="64">
        <v>28944933.304167707</v>
      </c>
    </row>
    <row r="1590" spans="1:2" x14ac:dyDescent="0.25">
      <c r="A1590" s="65">
        <v>1589</v>
      </c>
      <c r="B1590" s="64">
        <v>30314233.450923555</v>
      </c>
    </row>
    <row r="1591" spans="1:2" x14ac:dyDescent="0.25">
      <c r="A1591" s="65">
        <v>1590</v>
      </c>
      <c r="B1591" s="64">
        <v>28708565.907194514</v>
      </c>
    </row>
    <row r="1592" spans="1:2" x14ac:dyDescent="0.25">
      <c r="A1592" s="65">
        <v>1591</v>
      </c>
      <c r="B1592" s="64">
        <v>28717530.417341303</v>
      </c>
    </row>
    <row r="1593" spans="1:2" x14ac:dyDescent="0.25">
      <c r="A1593" s="65">
        <v>1592</v>
      </c>
      <c r="B1593" s="64">
        <v>29792926.61716054</v>
      </c>
    </row>
    <row r="1594" spans="1:2" x14ac:dyDescent="0.25">
      <c r="A1594" s="65">
        <v>1593</v>
      </c>
      <c r="B1594" s="64">
        <v>29263611.783399202</v>
      </c>
    </row>
    <row r="1595" spans="1:2" x14ac:dyDescent="0.25">
      <c r="A1595" s="65">
        <v>1594</v>
      </c>
      <c r="B1595" s="64">
        <v>31726919.72456317</v>
      </c>
    </row>
    <row r="1596" spans="1:2" x14ac:dyDescent="0.25">
      <c r="A1596" s="65">
        <v>1595</v>
      </c>
      <c r="B1596" s="64">
        <v>29480713.92306548</v>
      </c>
    </row>
    <row r="1597" spans="1:2" x14ac:dyDescent="0.25">
      <c r="A1597" s="65">
        <v>1596</v>
      </c>
      <c r="B1597" s="64">
        <v>30009615.652450539</v>
      </c>
    </row>
    <row r="1598" spans="1:2" x14ac:dyDescent="0.25">
      <c r="A1598" s="65">
        <v>1597</v>
      </c>
      <c r="B1598" s="64">
        <v>29122721.370745737</v>
      </c>
    </row>
    <row r="1599" spans="1:2" x14ac:dyDescent="0.25">
      <c r="A1599" s="65">
        <v>1598</v>
      </c>
      <c r="B1599" s="64">
        <v>30008429.919059094</v>
      </c>
    </row>
    <row r="1600" spans="1:2" x14ac:dyDescent="0.25">
      <c r="A1600" s="65">
        <v>1599</v>
      </c>
      <c r="B1600" s="64">
        <v>28992917.785099305</v>
      </c>
    </row>
    <row r="1601" spans="1:2" x14ac:dyDescent="0.25">
      <c r="A1601" s="65">
        <v>1600</v>
      </c>
      <c r="B1601" s="64">
        <v>28510655.646716714</v>
      </c>
    </row>
    <row r="1602" spans="1:2" x14ac:dyDescent="0.25">
      <c r="A1602" s="65">
        <v>1601</v>
      </c>
      <c r="B1602" s="64">
        <v>28456446.995903403</v>
      </c>
    </row>
    <row r="1603" spans="1:2" x14ac:dyDescent="0.25">
      <c r="A1603" s="65">
        <v>1602</v>
      </c>
      <c r="B1603" s="64">
        <v>28430472.852631163</v>
      </c>
    </row>
    <row r="1604" spans="1:2" x14ac:dyDescent="0.25">
      <c r="A1604" s="65">
        <v>1603</v>
      </c>
      <c r="B1604" s="64">
        <v>29591986.013584528</v>
      </c>
    </row>
    <row r="1605" spans="1:2" x14ac:dyDescent="0.25">
      <c r="A1605" s="65">
        <v>1604</v>
      </c>
      <c r="B1605" s="64">
        <v>28632904.595339116</v>
      </c>
    </row>
    <row r="1606" spans="1:2" x14ac:dyDescent="0.25">
      <c r="A1606" s="65">
        <v>1605</v>
      </c>
      <c r="B1606" s="64">
        <v>28990638.282908432</v>
      </c>
    </row>
    <row r="1607" spans="1:2" x14ac:dyDescent="0.25">
      <c r="A1607" s="65">
        <v>1606</v>
      </c>
      <c r="B1607" s="64">
        <v>30311826.963685941</v>
      </c>
    </row>
    <row r="1608" spans="1:2" x14ac:dyDescent="0.25">
      <c r="A1608" s="65">
        <v>1607</v>
      </c>
      <c r="B1608" s="64">
        <v>33923079.841094144</v>
      </c>
    </row>
    <row r="1609" spans="1:2" x14ac:dyDescent="0.25">
      <c r="A1609" s="65">
        <v>1608</v>
      </c>
      <c r="B1609" s="64">
        <v>29220981.28922794</v>
      </c>
    </row>
    <row r="1610" spans="1:2" x14ac:dyDescent="0.25">
      <c r="A1610" s="65">
        <v>1609</v>
      </c>
      <c r="B1610" s="64">
        <v>29535073.658178788</v>
      </c>
    </row>
    <row r="1611" spans="1:2" x14ac:dyDescent="0.25">
      <c r="A1611" s="65">
        <v>1610</v>
      </c>
      <c r="B1611" s="64">
        <v>29600368.564961977</v>
      </c>
    </row>
    <row r="1612" spans="1:2" x14ac:dyDescent="0.25">
      <c r="A1612" s="65">
        <v>1611</v>
      </c>
      <c r="B1612" s="64">
        <v>28452218.392362185</v>
      </c>
    </row>
    <row r="1613" spans="1:2" x14ac:dyDescent="0.25">
      <c r="A1613" s="65">
        <v>1612</v>
      </c>
      <c r="B1613" s="64">
        <v>29608908.91796663</v>
      </c>
    </row>
    <row r="1614" spans="1:2" x14ac:dyDescent="0.25">
      <c r="A1614" s="65">
        <v>1613</v>
      </c>
      <c r="B1614" s="64">
        <v>29614744.839962032</v>
      </c>
    </row>
    <row r="1615" spans="1:2" x14ac:dyDescent="0.25">
      <c r="A1615" s="65">
        <v>1614</v>
      </c>
      <c r="B1615" s="64">
        <v>33714900.94536224</v>
      </c>
    </row>
    <row r="1616" spans="1:2" x14ac:dyDescent="0.25">
      <c r="A1616" s="65">
        <v>1615</v>
      </c>
      <c r="B1616" s="64">
        <v>28773860.247925058</v>
      </c>
    </row>
    <row r="1617" spans="1:2" x14ac:dyDescent="0.25">
      <c r="A1617" s="65">
        <v>1616</v>
      </c>
      <c r="B1617" s="64">
        <v>29530374.650375396</v>
      </c>
    </row>
    <row r="1618" spans="1:2" x14ac:dyDescent="0.25">
      <c r="A1618" s="65">
        <v>1617</v>
      </c>
      <c r="B1618" s="64">
        <v>28731497.981048428</v>
      </c>
    </row>
    <row r="1619" spans="1:2" x14ac:dyDescent="0.25">
      <c r="A1619" s="65">
        <v>1618</v>
      </c>
      <c r="B1619" s="64">
        <v>29157735.479179855</v>
      </c>
    </row>
    <row r="1620" spans="1:2" x14ac:dyDescent="0.25">
      <c r="A1620" s="65">
        <v>1619</v>
      </c>
      <c r="B1620" s="64">
        <v>28672227.11508096</v>
      </c>
    </row>
    <row r="1621" spans="1:2" x14ac:dyDescent="0.25">
      <c r="A1621" s="65">
        <v>1620</v>
      </c>
      <c r="B1621" s="64">
        <v>29013349.399229761</v>
      </c>
    </row>
    <row r="1622" spans="1:2" x14ac:dyDescent="0.25">
      <c r="A1622" s="65">
        <v>1621</v>
      </c>
      <c r="B1622" s="64">
        <v>29585413.573844593</v>
      </c>
    </row>
    <row r="1623" spans="1:2" x14ac:dyDescent="0.25">
      <c r="A1623" s="65">
        <v>1622</v>
      </c>
      <c r="B1623" s="64">
        <v>28869760.30834984</v>
      </c>
    </row>
    <row r="1624" spans="1:2" x14ac:dyDescent="0.25">
      <c r="A1624" s="65">
        <v>1623</v>
      </c>
      <c r="B1624" s="64">
        <v>29350669.29768366</v>
      </c>
    </row>
    <row r="1625" spans="1:2" x14ac:dyDescent="0.25">
      <c r="A1625" s="65">
        <v>1624</v>
      </c>
      <c r="B1625" s="64">
        <v>28891972.283190608</v>
      </c>
    </row>
    <row r="1626" spans="1:2" x14ac:dyDescent="0.25">
      <c r="A1626" s="65">
        <v>1625</v>
      </c>
      <c r="B1626" s="64">
        <v>29747256.137912024</v>
      </c>
    </row>
    <row r="1627" spans="1:2" x14ac:dyDescent="0.25">
      <c r="A1627" s="65">
        <v>1626</v>
      </c>
      <c r="B1627" s="64">
        <v>28545666.273169193</v>
      </c>
    </row>
    <row r="1628" spans="1:2" x14ac:dyDescent="0.25">
      <c r="A1628" s="65">
        <v>1627</v>
      </c>
      <c r="B1628" s="64">
        <v>29855391.064488273</v>
      </c>
    </row>
    <row r="1629" spans="1:2" x14ac:dyDescent="0.25">
      <c r="A1629" s="65">
        <v>1628</v>
      </c>
      <c r="B1629" s="64">
        <v>28979205.060131308</v>
      </c>
    </row>
    <row r="1630" spans="1:2" x14ac:dyDescent="0.25">
      <c r="A1630" s="65">
        <v>1629</v>
      </c>
      <c r="B1630" s="64">
        <v>28892572.572346848</v>
      </c>
    </row>
    <row r="1631" spans="1:2" x14ac:dyDescent="0.25">
      <c r="A1631" s="65">
        <v>1630</v>
      </c>
      <c r="B1631" s="64">
        <v>28471278.030760109</v>
      </c>
    </row>
    <row r="1632" spans="1:2" x14ac:dyDescent="0.25">
      <c r="A1632" s="65">
        <v>1631</v>
      </c>
      <c r="B1632" s="64">
        <v>29881255.645035993</v>
      </c>
    </row>
    <row r="1633" spans="1:2" x14ac:dyDescent="0.25">
      <c r="A1633" s="65">
        <v>1632</v>
      </c>
      <c r="B1633" s="64">
        <v>28742902.844627649</v>
      </c>
    </row>
    <row r="1634" spans="1:2" x14ac:dyDescent="0.25">
      <c r="A1634" s="65">
        <v>1633</v>
      </c>
      <c r="B1634" s="64">
        <v>28428954.582790207</v>
      </c>
    </row>
    <row r="1635" spans="1:2" x14ac:dyDescent="0.25">
      <c r="A1635" s="65">
        <v>1634</v>
      </c>
      <c r="B1635" s="64">
        <v>29765317.465644792</v>
      </c>
    </row>
    <row r="1636" spans="1:2" x14ac:dyDescent="0.25">
      <c r="A1636" s="65">
        <v>1635</v>
      </c>
      <c r="B1636" s="64">
        <v>28729905.507260401</v>
      </c>
    </row>
    <row r="1637" spans="1:2" x14ac:dyDescent="0.25">
      <c r="A1637" s="65">
        <v>1636</v>
      </c>
      <c r="B1637" s="64">
        <v>29891822.408372492</v>
      </c>
    </row>
    <row r="1638" spans="1:2" x14ac:dyDescent="0.25">
      <c r="A1638" s="65">
        <v>1637</v>
      </c>
      <c r="B1638" s="64">
        <v>28600394.319030225</v>
      </c>
    </row>
    <row r="1639" spans="1:2" x14ac:dyDescent="0.25">
      <c r="A1639" s="65">
        <v>1638</v>
      </c>
      <c r="B1639" s="64">
        <v>29015355.069147859</v>
      </c>
    </row>
    <row r="1640" spans="1:2" x14ac:dyDescent="0.25">
      <c r="A1640" s="65">
        <v>1639</v>
      </c>
      <c r="B1640" s="64">
        <v>29260698.048792735</v>
      </c>
    </row>
    <row r="1641" spans="1:2" x14ac:dyDescent="0.25">
      <c r="A1641" s="65">
        <v>1640</v>
      </c>
      <c r="B1641" s="64">
        <v>28526250.347433761</v>
      </c>
    </row>
    <row r="1642" spans="1:2" x14ac:dyDescent="0.25">
      <c r="A1642" s="65">
        <v>1641</v>
      </c>
      <c r="B1642" s="64">
        <v>29987635.923509512</v>
      </c>
    </row>
    <row r="1643" spans="1:2" x14ac:dyDescent="0.25">
      <c r="A1643" s="65">
        <v>1642</v>
      </c>
      <c r="B1643" s="64">
        <v>28708429.555085629</v>
      </c>
    </row>
    <row r="1644" spans="1:2" x14ac:dyDescent="0.25">
      <c r="A1644" s="65">
        <v>1643</v>
      </c>
      <c r="B1644" s="64">
        <v>28703843.254323617</v>
      </c>
    </row>
    <row r="1645" spans="1:2" x14ac:dyDescent="0.25">
      <c r="A1645" s="65">
        <v>1644</v>
      </c>
      <c r="B1645" s="64">
        <v>28745930.038505953</v>
      </c>
    </row>
    <row r="1646" spans="1:2" x14ac:dyDescent="0.25">
      <c r="A1646" s="65">
        <v>1645</v>
      </c>
      <c r="B1646" s="64">
        <v>28998115.927077681</v>
      </c>
    </row>
    <row r="1647" spans="1:2" x14ac:dyDescent="0.25">
      <c r="A1647" s="65">
        <v>1646</v>
      </c>
      <c r="B1647" s="64">
        <v>31015840.031048421</v>
      </c>
    </row>
    <row r="1648" spans="1:2" x14ac:dyDescent="0.25">
      <c r="A1648" s="65">
        <v>1647</v>
      </c>
      <c r="B1648" s="64">
        <v>28588939.549989041</v>
      </c>
    </row>
    <row r="1649" spans="1:2" x14ac:dyDescent="0.25">
      <c r="A1649" s="65">
        <v>1648</v>
      </c>
      <c r="B1649" s="64">
        <v>29366979.187898234</v>
      </c>
    </row>
    <row r="1650" spans="1:2" x14ac:dyDescent="0.25">
      <c r="A1650" s="65">
        <v>1649</v>
      </c>
      <c r="B1650" s="64">
        <v>28941162.843664356</v>
      </c>
    </row>
    <row r="1651" spans="1:2" x14ac:dyDescent="0.25">
      <c r="A1651" s="65">
        <v>1650</v>
      </c>
      <c r="B1651" s="64">
        <v>28541910.613924947</v>
      </c>
    </row>
    <row r="1652" spans="1:2" x14ac:dyDescent="0.25">
      <c r="A1652" s="65">
        <v>1651</v>
      </c>
      <c r="B1652" s="64">
        <v>28629215.530915469</v>
      </c>
    </row>
    <row r="1653" spans="1:2" x14ac:dyDescent="0.25">
      <c r="A1653" s="65">
        <v>1652</v>
      </c>
      <c r="B1653" s="64">
        <v>28923346.486356653</v>
      </c>
    </row>
    <row r="1654" spans="1:2" x14ac:dyDescent="0.25">
      <c r="A1654" s="65">
        <v>1653</v>
      </c>
      <c r="B1654" s="64">
        <v>29309787.401185777</v>
      </c>
    </row>
    <row r="1655" spans="1:2" x14ac:dyDescent="0.25">
      <c r="A1655" s="65">
        <v>1654</v>
      </c>
      <c r="B1655" s="64">
        <v>29269164.412249506</v>
      </c>
    </row>
    <row r="1656" spans="1:2" x14ac:dyDescent="0.25">
      <c r="A1656" s="65">
        <v>1655</v>
      </c>
      <c r="B1656" s="64">
        <v>28590802.098440234</v>
      </c>
    </row>
    <row r="1657" spans="1:2" x14ac:dyDescent="0.25">
      <c r="A1657" s="65">
        <v>1656</v>
      </c>
      <c r="B1657" s="64">
        <v>28867689.123952966</v>
      </c>
    </row>
    <row r="1658" spans="1:2" x14ac:dyDescent="0.25">
      <c r="A1658" s="65">
        <v>1657</v>
      </c>
      <c r="B1658" s="64">
        <v>29006824.783229485</v>
      </c>
    </row>
    <row r="1659" spans="1:2" x14ac:dyDescent="0.25">
      <c r="A1659" s="65">
        <v>1658</v>
      </c>
      <c r="B1659" s="64">
        <v>29151533.918928333</v>
      </c>
    </row>
    <row r="1660" spans="1:2" x14ac:dyDescent="0.25">
      <c r="A1660" s="65">
        <v>1659</v>
      </c>
      <c r="B1660" s="64">
        <v>29015202.553830929</v>
      </c>
    </row>
    <row r="1661" spans="1:2" x14ac:dyDescent="0.25">
      <c r="A1661" s="65">
        <v>1660</v>
      </c>
      <c r="B1661" s="64">
        <v>28628930.471167792</v>
      </c>
    </row>
    <row r="1662" spans="1:2" x14ac:dyDescent="0.25">
      <c r="A1662" s="65">
        <v>1661</v>
      </c>
      <c r="B1662" s="64">
        <v>28787398.963938743</v>
      </c>
    </row>
    <row r="1663" spans="1:2" x14ac:dyDescent="0.25">
      <c r="A1663" s="65">
        <v>1662</v>
      </c>
      <c r="B1663" s="64">
        <v>28602082.041212097</v>
      </c>
    </row>
    <row r="1664" spans="1:2" x14ac:dyDescent="0.25">
      <c r="A1664" s="65">
        <v>1663</v>
      </c>
      <c r="B1664" s="64">
        <v>29295542.960432727</v>
      </c>
    </row>
    <row r="1665" spans="1:2" x14ac:dyDescent="0.25">
      <c r="A1665" s="65">
        <v>1664</v>
      </c>
      <c r="B1665" s="64">
        <v>29170863.574003499</v>
      </c>
    </row>
    <row r="1666" spans="1:2" x14ac:dyDescent="0.25">
      <c r="A1666" s="65">
        <v>1665</v>
      </c>
      <c r="B1666" s="64">
        <v>29193832.031576086</v>
      </c>
    </row>
    <row r="1667" spans="1:2" x14ac:dyDescent="0.25">
      <c r="A1667" s="65">
        <v>1666</v>
      </c>
      <c r="B1667" s="64">
        <v>28749996.530483093</v>
      </c>
    </row>
    <row r="1668" spans="1:2" x14ac:dyDescent="0.25">
      <c r="A1668" s="65">
        <v>1667</v>
      </c>
      <c r="B1668" s="64">
        <v>28780831.325256258</v>
      </c>
    </row>
    <row r="1669" spans="1:2" x14ac:dyDescent="0.25">
      <c r="A1669" s="65">
        <v>1668</v>
      </c>
      <c r="B1669" s="64">
        <v>29229462.215029385</v>
      </c>
    </row>
    <row r="1670" spans="1:2" x14ac:dyDescent="0.25">
      <c r="A1670" s="65">
        <v>1669</v>
      </c>
      <c r="B1670" s="64">
        <v>29572430.094327711</v>
      </c>
    </row>
    <row r="1671" spans="1:2" x14ac:dyDescent="0.25">
      <c r="A1671" s="65">
        <v>1670</v>
      </c>
      <c r="B1671" s="64">
        <v>29303945.861682825</v>
      </c>
    </row>
    <row r="1672" spans="1:2" x14ac:dyDescent="0.25">
      <c r="A1672" s="65">
        <v>1671</v>
      </c>
      <c r="B1672" s="64">
        <v>29584539.097413924</v>
      </c>
    </row>
    <row r="1673" spans="1:2" x14ac:dyDescent="0.25">
      <c r="A1673" s="65">
        <v>1672</v>
      </c>
      <c r="B1673" s="64">
        <v>28933629.084436059</v>
      </c>
    </row>
    <row r="1674" spans="1:2" x14ac:dyDescent="0.25">
      <c r="A1674" s="65">
        <v>1673</v>
      </c>
      <c r="B1674" s="64">
        <v>28690711.6696105</v>
      </c>
    </row>
    <row r="1675" spans="1:2" x14ac:dyDescent="0.25">
      <c r="A1675" s="65">
        <v>1674</v>
      </c>
      <c r="B1675" s="64">
        <v>28537645.288203668</v>
      </c>
    </row>
    <row r="1676" spans="1:2" x14ac:dyDescent="0.25">
      <c r="A1676" s="65">
        <v>1675</v>
      </c>
      <c r="B1676" s="64">
        <v>29196285.89850257</v>
      </c>
    </row>
    <row r="1677" spans="1:2" x14ac:dyDescent="0.25">
      <c r="A1677" s="65">
        <v>1676</v>
      </c>
      <c r="B1677" s="64">
        <v>31209668.956120629</v>
      </c>
    </row>
    <row r="1678" spans="1:2" x14ac:dyDescent="0.25">
      <c r="A1678" s="65">
        <v>1677</v>
      </c>
      <c r="B1678" s="64">
        <v>29711074.568946503</v>
      </c>
    </row>
    <row r="1679" spans="1:2" x14ac:dyDescent="0.25">
      <c r="A1679" s="65">
        <v>1678</v>
      </c>
      <c r="B1679" s="64">
        <v>28765286.846536476</v>
      </c>
    </row>
    <row r="1680" spans="1:2" x14ac:dyDescent="0.25">
      <c r="A1680" s="65">
        <v>1679</v>
      </c>
      <c r="B1680" s="64">
        <v>29182149.051520474</v>
      </c>
    </row>
    <row r="1681" spans="1:2" x14ac:dyDescent="0.25">
      <c r="A1681" s="65">
        <v>1680</v>
      </c>
      <c r="B1681" s="64">
        <v>29212786.89673347</v>
      </c>
    </row>
    <row r="1682" spans="1:2" x14ac:dyDescent="0.25">
      <c r="A1682" s="65">
        <v>1681</v>
      </c>
      <c r="B1682" s="64">
        <v>29394651.129203338</v>
      </c>
    </row>
    <row r="1683" spans="1:2" x14ac:dyDescent="0.25">
      <c r="A1683" s="65">
        <v>1682</v>
      </c>
      <c r="B1683" s="64">
        <v>29351178.969173543</v>
      </c>
    </row>
    <row r="1684" spans="1:2" x14ac:dyDescent="0.25">
      <c r="A1684" s="65">
        <v>1683</v>
      </c>
      <c r="B1684" s="64">
        <v>29268500.68577585</v>
      </c>
    </row>
    <row r="1685" spans="1:2" x14ac:dyDescent="0.25">
      <c r="A1685" s="65">
        <v>1684</v>
      </c>
      <c r="B1685" s="64">
        <v>29087401.437894743</v>
      </c>
    </row>
    <row r="1686" spans="1:2" x14ac:dyDescent="0.25">
      <c r="A1686" s="65">
        <v>1685</v>
      </c>
      <c r="B1686" s="64">
        <v>29852325.723800279</v>
      </c>
    </row>
    <row r="1687" spans="1:2" x14ac:dyDescent="0.25">
      <c r="A1687" s="65">
        <v>1686</v>
      </c>
      <c r="B1687" s="64">
        <v>29175742.092154797</v>
      </c>
    </row>
    <row r="1688" spans="1:2" x14ac:dyDescent="0.25">
      <c r="A1688" s="65">
        <v>1687</v>
      </c>
      <c r="B1688" s="64">
        <v>30494664.822427228</v>
      </c>
    </row>
    <row r="1689" spans="1:2" x14ac:dyDescent="0.25">
      <c r="A1689" s="65">
        <v>1688</v>
      </c>
      <c r="B1689" s="64">
        <v>28345994.320547979</v>
      </c>
    </row>
    <row r="1690" spans="1:2" x14ac:dyDescent="0.25">
      <c r="A1690" s="65">
        <v>1689</v>
      </c>
      <c r="B1690" s="64">
        <v>28745212.050200146</v>
      </c>
    </row>
    <row r="1691" spans="1:2" x14ac:dyDescent="0.25">
      <c r="A1691" s="65">
        <v>1690</v>
      </c>
      <c r="B1691" s="64">
        <v>28749123.283951815</v>
      </c>
    </row>
    <row r="1692" spans="1:2" x14ac:dyDescent="0.25">
      <c r="A1692" s="65">
        <v>1691</v>
      </c>
      <c r="B1692" s="64">
        <v>30688600.969532296</v>
      </c>
    </row>
    <row r="1693" spans="1:2" x14ac:dyDescent="0.25">
      <c r="A1693" s="65">
        <v>1692</v>
      </c>
      <c r="B1693" s="64">
        <v>29900853.077706281</v>
      </c>
    </row>
    <row r="1694" spans="1:2" x14ac:dyDescent="0.25">
      <c r="A1694" s="65">
        <v>1693</v>
      </c>
      <c r="B1694" s="64">
        <v>29449540.695355829</v>
      </c>
    </row>
    <row r="1695" spans="1:2" x14ac:dyDescent="0.25">
      <c r="A1695" s="65">
        <v>1694</v>
      </c>
      <c r="B1695" s="64">
        <v>28969631.617930226</v>
      </c>
    </row>
    <row r="1696" spans="1:2" x14ac:dyDescent="0.25">
      <c r="A1696" s="65">
        <v>1695</v>
      </c>
      <c r="B1696" s="64">
        <v>31374253.965689756</v>
      </c>
    </row>
    <row r="1697" spans="1:2" x14ac:dyDescent="0.25">
      <c r="A1697" s="65">
        <v>1696</v>
      </c>
      <c r="B1697" s="64">
        <v>28997457.403941434</v>
      </c>
    </row>
    <row r="1698" spans="1:2" x14ac:dyDescent="0.25">
      <c r="A1698" s="65">
        <v>1697</v>
      </c>
      <c r="B1698" s="64">
        <v>29160651.5212202</v>
      </c>
    </row>
    <row r="1699" spans="1:2" x14ac:dyDescent="0.25">
      <c r="A1699" s="65">
        <v>1698</v>
      </c>
      <c r="B1699" s="64">
        <v>32273329.380793571</v>
      </c>
    </row>
    <row r="1700" spans="1:2" x14ac:dyDescent="0.25">
      <c r="A1700" s="65">
        <v>1699</v>
      </c>
      <c r="B1700" s="64">
        <v>28858743.550929118</v>
      </c>
    </row>
    <row r="1701" spans="1:2" x14ac:dyDescent="0.25">
      <c r="A1701" s="65">
        <v>1700</v>
      </c>
      <c r="B1701" s="64">
        <v>28782860.241769917</v>
      </c>
    </row>
    <row r="1702" spans="1:2" x14ac:dyDescent="0.25">
      <c r="A1702" s="65">
        <v>1701</v>
      </c>
      <c r="B1702" s="64">
        <v>29601426.842299167</v>
      </c>
    </row>
    <row r="1703" spans="1:2" x14ac:dyDescent="0.25">
      <c r="A1703" s="65">
        <v>1702</v>
      </c>
      <c r="B1703" s="64">
        <v>28846169.959786203</v>
      </c>
    </row>
    <row r="1704" spans="1:2" x14ac:dyDescent="0.25">
      <c r="A1704" s="65">
        <v>1703</v>
      </c>
      <c r="B1704" s="64">
        <v>28549166.687373567</v>
      </c>
    </row>
    <row r="1705" spans="1:2" x14ac:dyDescent="0.25">
      <c r="A1705" s="65">
        <v>1704</v>
      </c>
      <c r="B1705" s="64">
        <v>29861905.567618672</v>
      </c>
    </row>
    <row r="1706" spans="1:2" x14ac:dyDescent="0.25">
      <c r="A1706" s="65">
        <v>1705</v>
      </c>
      <c r="B1706" s="64">
        <v>33931036.374957629</v>
      </c>
    </row>
    <row r="1707" spans="1:2" x14ac:dyDescent="0.25">
      <c r="A1707" s="65">
        <v>1706</v>
      </c>
      <c r="B1707" s="64">
        <v>28801478.56103139</v>
      </c>
    </row>
    <row r="1708" spans="1:2" x14ac:dyDescent="0.25">
      <c r="A1708" s="65">
        <v>1707</v>
      </c>
      <c r="B1708" s="64">
        <v>29515790.513340581</v>
      </c>
    </row>
    <row r="1709" spans="1:2" x14ac:dyDescent="0.25">
      <c r="A1709" s="65">
        <v>1708</v>
      </c>
      <c r="B1709" s="64">
        <v>28846429.910306491</v>
      </c>
    </row>
    <row r="1710" spans="1:2" x14ac:dyDescent="0.25">
      <c r="A1710" s="65">
        <v>1709</v>
      </c>
      <c r="B1710" s="64">
        <v>29466647.269831803</v>
      </c>
    </row>
    <row r="1711" spans="1:2" x14ac:dyDescent="0.25">
      <c r="A1711" s="65">
        <v>1710</v>
      </c>
      <c r="B1711" s="64">
        <v>28884979.41658514</v>
      </c>
    </row>
    <row r="1712" spans="1:2" x14ac:dyDescent="0.25">
      <c r="A1712" s="65">
        <v>1711</v>
      </c>
      <c r="B1712" s="64">
        <v>28609410.464715302</v>
      </c>
    </row>
    <row r="1713" spans="1:2" x14ac:dyDescent="0.25">
      <c r="A1713" s="65">
        <v>1712</v>
      </c>
      <c r="B1713" s="64">
        <v>28926049.085643642</v>
      </c>
    </row>
    <row r="1714" spans="1:2" x14ac:dyDescent="0.25">
      <c r="A1714" s="65">
        <v>1713</v>
      </c>
      <c r="B1714" s="64">
        <v>28869122.531906374</v>
      </c>
    </row>
    <row r="1715" spans="1:2" x14ac:dyDescent="0.25">
      <c r="A1715" s="65">
        <v>1714</v>
      </c>
      <c r="B1715" s="64">
        <v>28756873.094429206</v>
      </c>
    </row>
    <row r="1716" spans="1:2" x14ac:dyDescent="0.25">
      <c r="A1716" s="65">
        <v>1715</v>
      </c>
      <c r="B1716" s="64">
        <v>29328119.462719768</v>
      </c>
    </row>
    <row r="1717" spans="1:2" x14ac:dyDescent="0.25">
      <c r="A1717" s="65">
        <v>1716</v>
      </c>
      <c r="B1717" s="64">
        <v>30201667.815216556</v>
      </c>
    </row>
    <row r="1718" spans="1:2" x14ac:dyDescent="0.25">
      <c r="A1718" s="65">
        <v>1717</v>
      </c>
      <c r="B1718" s="64">
        <v>28622729.740057282</v>
      </c>
    </row>
    <row r="1719" spans="1:2" x14ac:dyDescent="0.25">
      <c r="A1719" s="65">
        <v>1718</v>
      </c>
      <c r="B1719" s="64">
        <v>29392973.949238524</v>
      </c>
    </row>
    <row r="1720" spans="1:2" x14ac:dyDescent="0.25">
      <c r="A1720" s="65">
        <v>1719</v>
      </c>
      <c r="B1720" s="64">
        <v>28700080.585358508</v>
      </c>
    </row>
    <row r="1721" spans="1:2" x14ac:dyDescent="0.25">
      <c r="A1721" s="65">
        <v>1720</v>
      </c>
      <c r="B1721" s="64">
        <v>30104005.286182214</v>
      </c>
    </row>
    <row r="1722" spans="1:2" x14ac:dyDescent="0.25">
      <c r="A1722" s="65">
        <v>1721</v>
      </c>
      <c r="B1722" s="64">
        <v>30110637.429041423</v>
      </c>
    </row>
    <row r="1723" spans="1:2" x14ac:dyDescent="0.25">
      <c r="A1723" s="65">
        <v>1722</v>
      </c>
      <c r="B1723" s="64">
        <v>28774546.646840516</v>
      </c>
    </row>
    <row r="1724" spans="1:2" x14ac:dyDescent="0.25">
      <c r="A1724" s="65">
        <v>1723</v>
      </c>
      <c r="B1724" s="64">
        <v>29139693.180324245</v>
      </c>
    </row>
    <row r="1725" spans="1:2" x14ac:dyDescent="0.25">
      <c r="A1725" s="65">
        <v>1724</v>
      </c>
      <c r="B1725" s="64">
        <v>28894200.270884719</v>
      </c>
    </row>
    <row r="1726" spans="1:2" x14ac:dyDescent="0.25">
      <c r="A1726" s="65">
        <v>1725</v>
      </c>
      <c r="B1726" s="64">
        <v>29876163.455623053</v>
      </c>
    </row>
    <row r="1727" spans="1:2" x14ac:dyDescent="0.25">
      <c r="A1727" s="65">
        <v>1726</v>
      </c>
      <c r="B1727" s="64">
        <v>28666503.097986612</v>
      </c>
    </row>
    <row r="1728" spans="1:2" x14ac:dyDescent="0.25">
      <c r="A1728" s="65">
        <v>1727</v>
      </c>
      <c r="B1728" s="64">
        <v>28701913.319660716</v>
      </c>
    </row>
    <row r="1729" spans="1:2" x14ac:dyDescent="0.25">
      <c r="A1729" s="65">
        <v>1728</v>
      </c>
      <c r="B1729" s="64">
        <v>28787477.740750521</v>
      </c>
    </row>
    <row r="1730" spans="1:2" x14ac:dyDescent="0.25">
      <c r="A1730" s="65">
        <v>1729</v>
      </c>
      <c r="B1730" s="64">
        <v>28378101.930748742</v>
      </c>
    </row>
    <row r="1731" spans="1:2" x14ac:dyDescent="0.25">
      <c r="A1731" s="65">
        <v>1730</v>
      </c>
      <c r="B1731" s="64">
        <v>28904599.243027937</v>
      </c>
    </row>
    <row r="1732" spans="1:2" x14ac:dyDescent="0.25">
      <c r="A1732" s="65">
        <v>1731</v>
      </c>
      <c r="B1732" s="64">
        <v>29868944.496708922</v>
      </c>
    </row>
    <row r="1733" spans="1:2" x14ac:dyDescent="0.25">
      <c r="A1733" s="65">
        <v>1732</v>
      </c>
      <c r="B1733" s="64">
        <v>28933940.712290246</v>
      </c>
    </row>
    <row r="1734" spans="1:2" x14ac:dyDescent="0.25">
      <c r="A1734" s="65">
        <v>1733</v>
      </c>
      <c r="B1734" s="64">
        <v>28605585.467570674</v>
      </c>
    </row>
    <row r="1735" spans="1:2" x14ac:dyDescent="0.25">
      <c r="A1735" s="65">
        <v>1734</v>
      </c>
      <c r="B1735" s="64">
        <v>30205568.735735748</v>
      </c>
    </row>
    <row r="1736" spans="1:2" x14ac:dyDescent="0.25">
      <c r="A1736" s="65">
        <v>1735</v>
      </c>
      <c r="B1736" s="64">
        <v>28735594.353160072</v>
      </c>
    </row>
    <row r="1737" spans="1:2" x14ac:dyDescent="0.25">
      <c r="A1737" s="65">
        <v>1736</v>
      </c>
      <c r="B1737" s="64">
        <v>32275307.586210884</v>
      </c>
    </row>
    <row r="1738" spans="1:2" x14ac:dyDescent="0.25">
      <c r="A1738" s="65">
        <v>1737</v>
      </c>
      <c r="B1738" s="64">
        <v>29209629.723168075</v>
      </c>
    </row>
    <row r="1739" spans="1:2" x14ac:dyDescent="0.25">
      <c r="A1739" s="65">
        <v>1738</v>
      </c>
      <c r="B1739" s="64">
        <v>31006982.262026787</v>
      </c>
    </row>
    <row r="1740" spans="1:2" x14ac:dyDescent="0.25">
      <c r="A1740" s="65">
        <v>1739</v>
      </c>
      <c r="B1740" s="64">
        <v>29375755.382295832</v>
      </c>
    </row>
    <row r="1741" spans="1:2" x14ac:dyDescent="0.25">
      <c r="A1741" s="65">
        <v>1740</v>
      </c>
      <c r="B1741" s="64">
        <v>30791688.07545951</v>
      </c>
    </row>
    <row r="1742" spans="1:2" x14ac:dyDescent="0.25">
      <c r="A1742" s="65">
        <v>1741</v>
      </c>
      <c r="B1742" s="64">
        <v>29003103.026023444</v>
      </c>
    </row>
    <row r="1743" spans="1:2" x14ac:dyDescent="0.25">
      <c r="A1743" s="65">
        <v>1742</v>
      </c>
      <c r="B1743" s="64">
        <v>28666825.386458553</v>
      </c>
    </row>
    <row r="1744" spans="1:2" x14ac:dyDescent="0.25">
      <c r="A1744" s="65">
        <v>1743</v>
      </c>
      <c r="B1744" s="64">
        <v>29804683.988985185</v>
      </c>
    </row>
    <row r="1745" spans="1:2" x14ac:dyDescent="0.25">
      <c r="A1745" s="65">
        <v>1744</v>
      </c>
      <c r="B1745" s="64">
        <v>29741491.284176141</v>
      </c>
    </row>
    <row r="1746" spans="1:2" x14ac:dyDescent="0.25">
      <c r="A1746" s="65">
        <v>1745</v>
      </c>
      <c r="B1746" s="64">
        <v>28893373.947918754</v>
      </c>
    </row>
    <row r="1747" spans="1:2" x14ac:dyDescent="0.25">
      <c r="A1747" s="65">
        <v>1746</v>
      </c>
      <c r="B1747" s="64">
        <v>28854266.002810955</v>
      </c>
    </row>
    <row r="1748" spans="1:2" x14ac:dyDescent="0.25">
      <c r="A1748" s="65">
        <v>1747</v>
      </c>
      <c r="B1748" s="64">
        <v>29871171.061391935</v>
      </c>
    </row>
    <row r="1749" spans="1:2" x14ac:dyDescent="0.25">
      <c r="A1749" s="65">
        <v>1748</v>
      </c>
      <c r="B1749" s="64">
        <v>29343170.651158132</v>
      </c>
    </row>
    <row r="1750" spans="1:2" x14ac:dyDescent="0.25">
      <c r="A1750" s="65">
        <v>1749</v>
      </c>
      <c r="B1750" s="64">
        <v>28897870.368215688</v>
      </c>
    </row>
    <row r="1751" spans="1:2" x14ac:dyDescent="0.25">
      <c r="A1751" s="65">
        <v>1750</v>
      </c>
      <c r="B1751" s="64">
        <v>29004186.102646332</v>
      </c>
    </row>
    <row r="1752" spans="1:2" x14ac:dyDescent="0.25">
      <c r="A1752" s="65">
        <v>1751</v>
      </c>
      <c r="B1752" s="64">
        <v>29196051.638473928</v>
      </c>
    </row>
    <row r="1753" spans="1:2" x14ac:dyDescent="0.25">
      <c r="A1753" s="65">
        <v>1752</v>
      </c>
      <c r="B1753" s="64">
        <v>29144944.076257274</v>
      </c>
    </row>
    <row r="1754" spans="1:2" x14ac:dyDescent="0.25">
      <c r="A1754" s="65">
        <v>1753</v>
      </c>
      <c r="B1754" s="64">
        <v>29696298.254759405</v>
      </c>
    </row>
    <row r="1755" spans="1:2" x14ac:dyDescent="0.25">
      <c r="A1755" s="65">
        <v>1754</v>
      </c>
      <c r="B1755" s="64">
        <v>28751462.240682907</v>
      </c>
    </row>
    <row r="1756" spans="1:2" x14ac:dyDescent="0.25">
      <c r="A1756" s="65">
        <v>1755</v>
      </c>
      <c r="B1756" s="64">
        <v>29459666.724750973</v>
      </c>
    </row>
    <row r="1757" spans="1:2" x14ac:dyDescent="0.25">
      <c r="A1757" s="65">
        <v>1756</v>
      </c>
      <c r="B1757" s="64">
        <v>29065412.792256594</v>
      </c>
    </row>
    <row r="1758" spans="1:2" x14ac:dyDescent="0.25">
      <c r="A1758" s="65">
        <v>1757</v>
      </c>
      <c r="B1758" s="64">
        <v>29173151.288220406</v>
      </c>
    </row>
    <row r="1759" spans="1:2" x14ac:dyDescent="0.25">
      <c r="A1759" s="65">
        <v>1758</v>
      </c>
      <c r="B1759" s="64">
        <v>29181338.180114917</v>
      </c>
    </row>
    <row r="1760" spans="1:2" x14ac:dyDescent="0.25">
      <c r="A1760" s="65">
        <v>1759</v>
      </c>
      <c r="B1760" s="64">
        <v>29699286.195189737</v>
      </c>
    </row>
    <row r="1761" spans="1:2" x14ac:dyDescent="0.25">
      <c r="A1761" s="65">
        <v>1760</v>
      </c>
      <c r="B1761" s="64">
        <v>28968418.301639259</v>
      </c>
    </row>
    <row r="1762" spans="1:2" x14ac:dyDescent="0.25">
      <c r="A1762" s="65">
        <v>1761</v>
      </c>
      <c r="B1762" s="64">
        <v>29272628.089940976</v>
      </c>
    </row>
    <row r="1763" spans="1:2" x14ac:dyDescent="0.25">
      <c r="A1763" s="65">
        <v>1762</v>
      </c>
      <c r="B1763" s="64">
        <v>29689653.138715066</v>
      </c>
    </row>
    <row r="1764" spans="1:2" x14ac:dyDescent="0.25">
      <c r="A1764" s="65">
        <v>1763</v>
      </c>
      <c r="B1764" s="64">
        <v>28835083.926356781</v>
      </c>
    </row>
    <row r="1765" spans="1:2" x14ac:dyDescent="0.25">
      <c r="A1765" s="65">
        <v>1764</v>
      </c>
      <c r="B1765" s="64">
        <v>28637053.364872757</v>
      </c>
    </row>
    <row r="1766" spans="1:2" x14ac:dyDescent="0.25">
      <c r="A1766" s="65">
        <v>1765</v>
      </c>
      <c r="B1766" s="64">
        <v>28570159.200044576</v>
      </c>
    </row>
    <row r="1767" spans="1:2" x14ac:dyDescent="0.25">
      <c r="A1767" s="65">
        <v>1766</v>
      </c>
      <c r="B1767" s="64">
        <v>28756630.980586842</v>
      </c>
    </row>
    <row r="1768" spans="1:2" x14ac:dyDescent="0.25">
      <c r="A1768" s="65">
        <v>1767</v>
      </c>
      <c r="B1768" s="64">
        <v>28827637.996974241</v>
      </c>
    </row>
    <row r="1769" spans="1:2" x14ac:dyDescent="0.25">
      <c r="A1769" s="65">
        <v>1768</v>
      </c>
      <c r="B1769" s="64">
        <v>29079942.082371186</v>
      </c>
    </row>
    <row r="1770" spans="1:2" x14ac:dyDescent="0.25">
      <c r="A1770" s="65">
        <v>1769</v>
      </c>
      <c r="B1770" s="64">
        <v>29598378.580923088</v>
      </c>
    </row>
    <row r="1771" spans="1:2" x14ac:dyDescent="0.25">
      <c r="A1771" s="65">
        <v>1770</v>
      </c>
      <c r="B1771" s="64">
        <v>29354904.623304754</v>
      </c>
    </row>
    <row r="1772" spans="1:2" x14ac:dyDescent="0.25">
      <c r="A1772" s="65">
        <v>1771</v>
      </c>
      <c r="B1772" s="64">
        <v>28734069.72826336</v>
      </c>
    </row>
    <row r="1773" spans="1:2" x14ac:dyDescent="0.25">
      <c r="A1773" s="65">
        <v>1772</v>
      </c>
      <c r="B1773" s="64">
        <v>28952476.844737057</v>
      </c>
    </row>
    <row r="1774" spans="1:2" x14ac:dyDescent="0.25">
      <c r="A1774" s="65">
        <v>1773</v>
      </c>
      <c r="B1774" s="64">
        <v>28808712.88465184</v>
      </c>
    </row>
    <row r="1775" spans="1:2" x14ac:dyDescent="0.25">
      <c r="A1775" s="65">
        <v>1774</v>
      </c>
      <c r="B1775" s="64">
        <v>29979872.857117753</v>
      </c>
    </row>
    <row r="1776" spans="1:2" x14ac:dyDescent="0.25">
      <c r="A1776" s="65">
        <v>1775</v>
      </c>
      <c r="B1776" s="64">
        <v>29495535.899602447</v>
      </c>
    </row>
    <row r="1777" spans="1:2" x14ac:dyDescent="0.25">
      <c r="A1777" s="65">
        <v>1776</v>
      </c>
      <c r="B1777" s="64">
        <v>28667496.923896685</v>
      </c>
    </row>
    <row r="1778" spans="1:2" x14ac:dyDescent="0.25">
      <c r="A1778" s="65">
        <v>1777</v>
      </c>
      <c r="B1778" s="64">
        <v>29703728.928332832</v>
      </c>
    </row>
    <row r="1779" spans="1:2" x14ac:dyDescent="0.25">
      <c r="A1779" s="65">
        <v>1778</v>
      </c>
      <c r="B1779" s="64">
        <v>30241468.406727262</v>
      </c>
    </row>
    <row r="1780" spans="1:2" x14ac:dyDescent="0.25">
      <c r="A1780" s="65">
        <v>1779</v>
      </c>
      <c r="B1780" s="64">
        <v>29413121.447169125</v>
      </c>
    </row>
    <row r="1781" spans="1:2" x14ac:dyDescent="0.25">
      <c r="A1781" s="65">
        <v>1780</v>
      </c>
      <c r="B1781" s="64">
        <v>28622859.383102324</v>
      </c>
    </row>
    <row r="1782" spans="1:2" x14ac:dyDescent="0.25">
      <c r="A1782" s="65">
        <v>1781</v>
      </c>
      <c r="B1782" s="64">
        <v>29530448.926726155</v>
      </c>
    </row>
    <row r="1783" spans="1:2" x14ac:dyDescent="0.25">
      <c r="A1783" s="65">
        <v>1782</v>
      </c>
      <c r="B1783" s="64">
        <v>28558704.976282187</v>
      </c>
    </row>
    <row r="1784" spans="1:2" x14ac:dyDescent="0.25">
      <c r="A1784" s="65">
        <v>1783</v>
      </c>
      <c r="B1784" s="64">
        <v>30183169.287579212</v>
      </c>
    </row>
    <row r="1785" spans="1:2" x14ac:dyDescent="0.25">
      <c r="A1785" s="65">
        <v>1784</v>
      </c>
      <c r="B1785" s="64">
        <v>28840375.610428169</v>
      </c>
    </row>
    <row r="1786" spans="1:2" x14ac:dyDescent="0.25">
      <c r="A1786" s="65">
        <v>1785</v>
      </c>
      <c r="B1786" s="64">
        <v>28559644.617670212</v>
      </c>
    </row>
    <row r="1787" spans="1:2" x14ac:dyDescent="0.25">
      <c r="A1787" s="65">
        <v>1786</v>
      </c>
      <c r="B1787" s="64">
        <v>29610355.343234714</v>
      </c>
    </row>
    <row r="1788" spans="1:2" x14ac:dyDescent="0.25">
      <c r="A1788" s="65">
        <v>1787</v>
      </c>
      <c r="B1788" s="64">
        <v>29784968.861620292</v>
      </c>
    </row>
    <row r="1789" spans="1:2" x14ac:dyDescent="0.25">
      <c r="A1789" s="65">
        <v>1788</v>
      </c>
      <c r="B1789" s="64">
        <v>29040527.715974715</v>
      </c>
    </row>
    <row r="1790" spans="1:2" x14ac:dyDescent="0.25">
      <c r="A1790" s="65">
        <v>1789</v>
      </c>
      <c r="B1790" s="64">
        <v>28838071.30537995</v>
      </c>
    </row>
    <row r="1791" spans="1:2" x14ac:dyDescent="0.25">
      <c r="A1791" s="65">
        <v>1790</v>
      </c>
      <c r="B1791" s="64">
        <v>28744208.545126509</v>
      </c>
    </row>
    <row r="1792" spans="1:2" x14ac:dyDescent="0.25">
      <c r="A1792" s="65">
        <v>1791</v>
      </c>
      <c r="B1792" s="64">
        <v>28951104.017747894</v>
      </c>
    </row>
    <row r="1793" spans="1:2" x14ac:dyDescent="0.25">
      <c r="A1793" s="65">
        <v>1792</v>
      </c>
      <c r="B1793" s="64">
        <v>29133394.311011836</v>
      </c>
    </row>
    <row r="1794" spans="1:2" x14ac:dyDescent="0.25">
      <c r="A1794" s="65">
        <v>1793</v>
      </c>
      <c r="B1794" s="64">
        <v>28664561.065026883</v>
      </c>
    </row>
    <row r="1795" spans="1:2" x14ac:dyDescent="0.25">
      <c r="A1795" s="65">
        <v>1794</v>
      </c>
      <c r="B1795" s="64">
        <v>29543699.49784987</v>
      </c>
    </row>
    <row r="1796" spans="1:2" x14ac:dyDescent="0.25">
      <c r="A1796" s="65">
        <v>1795</v>
      </c>
      <c r="B1796" s="64">
        <v>29068097.13624078</v>
      </c>
    </row>
    <row r="1797" spans="1:2" x14ac:dyDescent="0.25">
      <c r="A1797" s="65">
        <v>1796</v>
      </c>
      <c r="B1797" s="64">
        <v>28943798.505675804</v>
      </c>
    </row>
    <row r="1798" spans="1:2" x14ac:dyDescent="0.25">
      <c r="A1798" s="65">
        <v>1797</v>
      </c>
      <c r="B1798" s="64">
        <v>29049835.929519337</v>
      </c>
    </row>
    <row r="1799" spans="1:2" x14ac:dyDescent="0.25">
      <c r="A1799" s="65">
        <v>1798</v>
      </c>
      <c r="B1799" s="64">
        <v>28801405.293589845</v>
      </c>
    </row>
    <row r="1800" spans="1:2" x14ac:dyDescent="0.25">
      <c r="A1800" s="65">
        <v>1799</v>
      </c>
      <c r="B1800" s="64">
        <v>28461471.395967904</v>
      </c>
    </row>
    <row r="1801" spans="1:2" x14ac:dyDescent="0.25">
      <c r="A1801" s="65">
        <v>1800</v>
      </c>
      <c r="B1801" s="64">
        <v>28644442.315016195</v>
      </c>
    </row>
    <row r="1802" spans="1:2" x14ac:dyDescent="0.25">
      <c r="A1802" s="65">
        <v>1801</v>
      </c>
      <c r="B1802" s="64">
        <v>29246417.000386439</v>
      </c>
    </row>
    <row r="1803" spans="1:2" x14ac:dyDescent="0.25">
      <c r="A1803" s="65">
        <v>1802</v>
      </c>
      <c r="B1803" s="64">
        <v>32522817.120518941</v>
      </c>
    </row>
    <row r="1804" spans="1:2" x14ac:dyDescent="0.25">
      <c r="A1804" s="65">
        <v>1803</v>
      </c>
      <c r="B1804" s="64">
        <v>29440882.118371144</v>
      </c>
    </row>
    <row r="1805" spans="1:2" x14ac:dyDescent="0.25">
      <c r="A1805" s="65">
        <v>1804</v>
      </c>
      <c r="B1805" s="64">
        <v>29413013.317702565</v>
      </c>
    </row>
    <row r="1806" spans="1:2" x14ac:dyDescent="0.25">
      <c r="A1806" s="65">
        <v>1805</v>
      </c>
      <c r="B1806" s="64">
        <v>28742991.066987965</v>
      </c>
    </row>
    <row r="1807" spans="1:2" x14ac:dyDescent="0.25">
      <c r="A1807" s="65">
        <v>1806</v>
      </c>
      <c r="B1807" s="64">
        <v>30110844.237337921</v>
      </c>
    </row>
    <row r="1808" spans="1:2" x14ac:dyDescent="0.25">
      <c r="A1808" s="65">
        <v>1807</v>
      </c>
      <c r="B1808" s="64">
        <v>28645083.609924931</v>
      </c>
    </row>
    <row r="1809" spans="1:2" x14ac:dyDescent="0.25">
      <c r="A1809" s="65">
        <v>1808</v>
      </c>
      <c r="B1809" s="64">
        <v>30162460.330457024</v>
      </c>
    </row>
    <row r="1810" spans="1:2" x14ac:dyDescent="0.25">
      <c r="A1810" s="65">
        <v>1809</v>
      </c>
      <c r="B1810" s="64">
        <v>29075370.761831354</v>
      </c>
    </row>
    <row r="1811" spans="1:2" x14ac:dyDescent="0.25">
      <c r="A1811" s="65">
        <v>1810</v>
      </c>
      <c r="B1811" s="64">
        <v>28683262.202395882</v>
      </c>
    </row>
    <row r="1812" spans="1:2" x14ac:dyDescent="0.25">
      <c r="A1812" s="65">
        <v>1811</v>
      </c>
      <c r="B1812" s="64">
        <v>29160205.100008398</v>
      </c>
    </row>
    <row r="1813" spans="1:2" x14ac:dyDescent="0.25">
      <c r="A1813" s="65">
        <v>1812</v>
      </c>
      <c r="B1813" s="64">
        <v>29128325.319537625</v>
      </c>
    </row>
    <row r="1814" spans="1:2" x14ac:dyDescent="0.25">
      <c r="A1814" s="65">
        <v>1813</v>
      </c>
      <c r="B1814" s="64">
        <v>29209190.433654994</v>
      </c>
    </row>
    <row r="1815" spans="1:2" x14ac:dyDescent="0.25">
      <c r="A1815" s="65">
        <v>1814</v>
      </c>
      <c r="B1815" s="64">
        <v>29411508.307408657</v>
      </c>
    </row>
    <row r="1816" spans="1:2" x14ac:dyDescent="0.25">
      <c r="A1816" s="65">
        <v>1815</v>
      </c>
      <c r="B1816" s="64">
        <v>29329696.941957954</v>
      </c>
    </row>
    <row r="1817" spans="1:2" x14ac:dyDescent="0.25">
      <c r="A1817" s="65">
        <v>1816</v>
      </c>
      <c r="B1817" s="64">
        <v>29847010.338138938</v>
      </c>
    </row>
    <row r="1818" spans="1:2" x14ac:dyDescent="0.25">
      <c r="A1818" s="65">
        <v>1817</v>
      </c>
      <c r="B1818" s="64">
        <v>29022038.344931897</v>
      </c>
    </row>
    <row r="1819" spans="1:2" x14ac:dyDescent="0.25">
      <c r="A1819" s="65">
        <v>1818</v>
      </c>
      <c r="B1819" s="64">
        <v>29071317.281082757</v>
      </c>
    </row>
    <row r="1820" spans="1:2" x14ac:dyDescent="0.25">
      <c r="A1820" s="65">
        <v>1819</v>
      </c>
      <c r="B1820" s="64">
        <v>28807230.369762037</v>
      </c>
    </row>
    <row r="1821" spans="1:2" x14ac:dyDescent="0.25">
      <c r="A1821" s="65">
        <v>1820</v>
      </c>
      <c r="B1821" s="64">
        <v>30532162.358274098</v>
      </c>
    </row>
    <row r="1822" spans="1:2" x14ac:dyDescent="0.25">
      <c r="A1822" s="65">
        <v>1821</v>
      </c>
      <c r="B1822" s="64">
        <v>28634601.810352102</v>
      </c>
    </row>
    <row r="1823" spans="1:2" x14ac:dyDescent="0.25">
      <c r="A1823" s="65">
        <v>1822</v>
      </c>
      <c r="B1823" s="64">
        <v>29201364.087384067</v>
      </c>
    </row>
    <row r="1824" spans="1:2" x14ac:dyDescent="0.25">
      <c r="A1824" s="65">
        <v>1823</v>
      </c>
      <c r="B1824" s="64">
        <v>28841274.45767612</v>
      </c>
    </row>
    <row r="1825" spans="1:2" x14ac:dyDescent="0.25">
      <c r="A1825" s="65">
        <v>1824</v>
      </c>
      <c r="B1825" s="64">
        <v>29345144.806121226</v>
      </c>
    </row>
    <row r="1826" spans="1:2" x14ac:dyDescent="0.25">
      <c r="A1826" s="65">
        <v>1825</v>
      </c>
      <c r="B1826" s="64">
        <v>28508122.476165697</v>
      </c>
    </row>
    <row r="1827" spans="1:2" x14ac:dyDescent="0.25">
      <c r="A1827" s="65">
        <v>1826</v>
      </c>
      <c r="B1827" s="64">
        <v>29051850.70345258</v>
      </c>
    </row>
    <row r="1828" spans="1:2" x14ac:dyDescent="0.25">
      <c r="A1828" s="65">
        <v>1827</v>
      </c>
      <c r="B1828" s="64">
        <v>29581090.481061995</v>
      </c>
    </row>
    <row r="1829" spans="1:2" x14ac:dyDescent="0.25">
      <c r="A1829" s="65">
        <v>1828</v>
      </c>
      <c r="B1829" s="64">
        <v>30149646.907434005</v>
      </c>
    </row>
    <row r="1830" spans="1:2" x14ac:dyDescent="0.25">
      <c r="A1830" s="65">
        <v>1829</v>
      </c>
      <c r="B1830" s="64">
        <v>29558452.252701506</v>
      </c>
    </row>
    <row r="1831" spans="1:2" x14ac:dyDescent="0.25">
      <c r="A1831" s="65">
        <v>1830</v>
      </c>
      <c r="B1831" s="64">
        <v>29443580.644713394</v>
      </c>
    </row>
    <row r="1832" spans="1:2" x14ac:dyDescent="0.25">
      <c r="A1832" s="65">
        <v>1831</v>
      </c>
      <c r="B1832" s="64">
        <v>28978763.594213814</v>
      </c>
    </row>
    <row r="1833" spans="1:2" x14ac:dyDescent="0.25">
      <c r="A1833" s="65">
        <v>1832</v>
      </c>
      <c r="B1833" s="64">
        <v>28821532.944531195</v>
      </c>
    </row>
    <row r="1834" spans="1:2" x14ac:dyDescent="0.25">
      <c r="A1834" s="65">
        <v>1833</v>
      </c>
      <c r="B1834" s="64">
        <v>28904728.626127601</v>
      </c>
    </row>
    <row r="1835" spans="1:2" x14ac:dyDescent="0.25">
      <c r="A1835" s="65">
        <v>1834</v>
      </c>
      <c r="B1835" s="64">
        <v>29085369.433541015</v>
      </c>
    </row>
    <row r="1836" spans="1:2" x14ac:dyDescent="0.25">
      <c r="A1836" s="65">
        <v>1835</v>
      </c>
      <c r="B1836" s="64">
        <v>30331872.270140417</v>
      </c>
    </row>
    <row r="1837" spans="1:2" x14ac:dyDescent="0.25">
      <c r="A1837" s="65">
        <v>1836</v>
      </c>
      <c r="B1837" s="64">
        <v>29346965.175860927</v>
      </c>
    </row>
    <row r="1838" spans="1:2" x14ac:dyDescent="0.25">
      <c r="A1838" s="65">
        <v>1837</v>
      </c>
      <c r="B1838" s="64">
        <v>28717730.437095299</v>
      </c>
    </row>
    <row r="1839" spans="1:2" x14ac:dyDescent="0.25">
      <c r="A1839" s="65">
        <v>1838</v>
      </c>
      <c r="B1839" s="64">
        <v>28602327.441934008</v>
      </c>
    </row>
    <row r="1840" spans="1:2" x14ac:dyDescent="0.25">
      <c r="A1840" s="65">
        <v>1839</v>
      </c>
      <c r="B1840" s="64">
        <v>29039051.98203646</v>
      </c>
    </row>
    <row r="1841" spans="1:2" x14ac:dyDescent="0.25">
      <c r="A1841" s="65">
        <v>1840</v>
      </c>
      <c r="B1841" s="64">
        <v>29778072.148139786</v>
      </c>
    </row>
    <row r="1842" spans="1:2" x14ac:dyDescent="0.25">
      <c r="A1842" s="65">
        <v>1841</v>
      </c>
      <c r="B1842" s="64">
        <v>29576952.195113815</v>
      </c>
    </row>
    <row r="1843" spans="1:2" x14ac:dyDescent="0.25">
      <c r="A1843" s="65">
        <v>1842</v>
      </c>
      <c r="B1843" s="64">
        <v>28875675.446382903</v>
      </c>
    </row>
    <row r="1844" spans="1:2" x14ac:dyDescent="0.25">
      <c r="A1844" s="65">
        <v>1843</v>
      </c>
      <c r="B1844" s="64">
        <v>29838789.832575388</v>
      </c>
    </row>
    <row r="1845" spans="1:2" x14ac:dyDescent="0.25">
      <c r="A1845" s="65">
        <v>1844</v>
      </c>
      <c r="B1845" s="64">
        <v>29102217.659456901</v>
      </c>
    </row>
    <row r="1846" spans="1:2" x14ac:dyDescent="0.25">
      <c r="A1846" s="65">
        <v>1845</v>
      </c>
      <c r="B1846" s="64">
        <v>28932586.812575225</v>
      </c>
    </row>
    <row r="1847" spans="1:2" x14ac:dyDescent="0.25">
      <c r="A1847" s="65">
        <v>1846</v>
      </c>
      <c r="B1847" s="64">
        <v>28677960.964334961</v>
      </c>
    </row>
    <row r="1848" spans="1:2" x14ac:dyDescent="0.25">
      <c r="A1848" s="65">
        <v>1847</v>
      </c>
      <c r="B1848" s="64">
        <v>29218928.346616451</v>
      </c>
    </row>
    <row r="1849" spans="1:2" x14ac:dyDescent="0.25">
      <c r="A1849" s="65">
        <v>1848</v>
      </c>
      <c r="B1849" s="64">
        <v>33062096.270921867</v>
      </c>
    </row>
    <row r="1850" spans="1:2" x14ac:dyDescent="0.25">
      <c r="A1850" s="65">
        <v>1849</v>
      </c>
      <c r="B1850" s="64">
        <v>30096191.519829877</v>
      </c>
    </row>
    <row r="1851" spans="1:2" x14ac:dyDescent="0.25">
      <c r="A1851" s="65">
        <v>1850</v>
      </c>
      <c r="B1851" s="64">
        <v>28937243.013958357</v>
      </c>
    </row>
    <row r="1852" spans="1:2" x14ac:dyDescent="0.25">
      <c r="A1852" s="65">
        <v>1851</v>
      </c>
      <c r="B1852" s="64">
        <v>29006869.632578425</v>
      </c>
    </row>
    <row r="1853" spans="1:2" x14ac:dyDescent="0.25">
      <c r="A1853" s="65">
        <v>1852</v>
      </c>
      <c r="B1853" s="64">
        <v>28874897.856076837</v>
      </c>
    </row>
    <row r="1854" spans="1:2" x14ac:dyDescent="0.25">
      <c r="A1854" s="65">
        <v>1853</v>
      </c>
      <c r="B1854" s="64">
        <v>32941110.779934935</v>
      </c>
    </row>
    <row r="1855" spans="1:2" x14ac:dyDescent="0.25">
      <c r="A1855" s="65">
        <v>1854</v>
      </c>
      <c r="B1855" s="64">
        <v>28856220.142122462</v>
      </c>
    </row>
    <row r="1856" spans="1:2" x14ac:dyDescent="0.25">
      <c r="A1856" s="65">
        <v>1855</v>
      </c>
      <c r="B1856" s="64">
        <v>28510424.260871269</v>
      </c>
    </row>
    <row r="1857" spans="1:2" x14ac:dyDescent="0.25">
      <c r="A1857" s="65">
        <v>1856</v>
      </c>
      <c r="B1857" s="64">
        <v>28994486.253590405</v>
      </c>
    </row>
    <row r="1858" spans="1:2" x14ac:dyDescent="0.25">
      <c r="A1858" s="65">
        <v>1857</v>
      </c>
      <c r="B1858" s="64">
        <v>29796331.368909881</v>
      </c>
    </row>
    <row r="1859" spans="1:2" x14ac:dyDescent="0.25">
      <c r="A1859" s="65">
        <v>1858</v>
      </c>
      <c r="B1859" s="64">
        <v>28851560.42638642</v>
      </c>
    </row>
    <row r="1860" spans="1:2" x14ac:dyDescent="0.25">
      <c r="A1860" s="65">
        <v>1859</v>
      </c>
      <c r="B1860" s="64">
        <v>28581464.675722484</v>
      </c>
    </row>
    <row r="1861" spans="1:2" x14ac:dyDescent="0.25">
      <c r="A1861" s="65">
        <v>1860</v>
      </c>
      <c r="B1861" s="64">
        <v>28362617.028959326</v>
      </c>
    </row>
    <row r="1862" spans="1:2" x14ac:dyDescent="0.25">
      <c r="A1862" s="65">
        <v>1861</v>
      </c>
      <c r="B1862" s="64">
        <v>29100516.899923779</v>
      </c>
    </row>
    <row r="1863" spans="1:2" x14ac:dyDescent="0.25">
      <c r="A1863" s="65">
        <v>1862</v>
      </c>
      <c r="B1863" s="64">
        <v>29746838.901121434</v>
      </c>
    </row>
    <row r="1864" spans="1:2" x14ac:dyDescent="0.25">
      <c r="A1864" s="65">
        <v>1863</v>
      </c>
      <c r="B1864" s="64">
        <v>29658084.014272127</v>
      </c>
    </row>
    <row r="1865" spans="1:2" x14ac:dyDescent="0.25">
      <c r="A1865" s="65">
        <v>1864</v>
      </c>
      <c r="B1865" s="64">
        <v>28524360.736776803</v>
      </c>
    </row>
    <row r="1866" spans="1:2" x14ac:dyDescent="0.25">
      <c r="A1866" s="65">
        <v>1865</v>
      </c>
      <c r="B1866" s="64">
        <v>28693553.121283215</v>
      </c>
    </row>
    <row r="1867" spans="1:2" x14ac:dyDescent="0.25">
      <c r="A1867" s="65">
        <v>1866</v>
      </c>
      <c r="B1867" s="64">
        <v>31753192.352613293</v>
      </c>
    </row>
    <row r="1868" spans="1:2" x14ac:dyDescent="0.25">
      <c r="A1868" s="65">
        <v>1867</v>
      </c>
      <c r="B1868" s="64">
        <v>29117108.747092299</v>
      </c>
    </row>
    <row r="1869" spans="1:2" x14ac:dyDescent="0.25">
      <c r="A1869" s="65">
        <v>1868</v>
      </c>
      <c r="B1869" s="64">
        <v>29429260.337623093</v>
      </c>
    </row>
    <row r="1870" spans="1:2" x14ac:dyDescent="0.25">
      <c r="A1870" s="65">
        <v>1869</v>
      </c>
      <c r="B1870" s="64">
        <v>28851354.807876315</v>
      </c>
    </row>
    <row r="1871" spans="1:2" x14ac:dyDescent="0.25">
      <c r="A1871" s="65">
        <v>1870</v>
      </c>
      <c r="B1871" s="64">
        <v>28572620.418286495</v>
      </c>
    </row>
    <row r="1872" spans="1:2" x14ac:dyDescent="0.25">
      <c r="A1872" s="65">
        <v>1871</v>
      </c>
      <c r="B1872" s="64">
        <v>29400201.507142093</v>
      </c>
    </row>
    <row r="1873" spans="1:2" x14ac:dyDescent="0.25">
      <c r="A1873" s="65">
        <v>1872</v>
      </c>
      <c r="B1873" s="64">
        <v>29128454.541491337</v>
      </c>
    </row>
    <row r="1874" spans="1:2" x14ac:dyDescent="0.25">
      <c r="A1874" s="65">
        <v>1873</v>
      </c>
      <c r="B1874" s="64">
        <v>29726858.078933418</v>
      </c>
    </row>
    <row r="1875" spans="1:2" x14ac:dyDescent="0.25">
      <c r="A1875" s="65">
        <v>1874</v>
      </c>
      <c r="B1875" s="64">
        <v>29114453.945082154</v>
      </c>
    </row>
    <row r="1876" spans="1:2" x14ac:dyDescent="0.25">
      <c r="A1876" s="65">
        <v>1875</v>
      </c>
      <c r="B1876" s="64">
        <v>30247324.484500412</v>
      </c>
    </row>
    <row r="1877" spans="1:2" x14ac:dyDescent="0.25">
      <c r="A1877" s="65">
        <v>1876</v>
      </c>
      <c r="B1877" s="64">
        <v>29612811.915539429</v>
      </c>
    </row>
    <row r="1878" spans="1:2" x14ac:dyDescent="0.25">
      <c r="A1878" s="65">
        <v>1877</v>
      </c>
      <c r="B1878" s="64">
        <v>29845888.642572526</v>
      </c>
    </row>
    <row r="1879" spans="1:2" x14ac:dyDescent="0.25">
      <c r="A1879" s="65">
        <v>1878</v>
      </c>
      <c r="B1879" s="64">
        <v>30917963.139291354</v>
      </c>
    </row>
    <row r="1880" spans="1:2" x14ac:dyDescent="0.25">
      <c r="A1880" s="65">
        <v>1879</v>
      </c>
      <c r="B1880" s="64">
        <v>30656855.968820982</v>
      </c>
    </row>
    <row r="1881" spans="1:2" x14ac:dyDescent="0.25">
      <c r="A1881" s="65">
        <v>1880</v>
      </c>
      <c r="B1881" s="64">
        <v>28787408.828797836</v>
      </c>
    </row>
    <row r="1882" spans="1:2" x14ac:dyDescent="0.25">
      <c r="A1882" s="65">
        <v>1881</v>
      </c>
      <c r="B1882" s="64">
        <v>29100315.94833158</v>
      </c>
    </row>
    <row r="1883" spans="1:2" x14ac:dyDescent="0.25">
      <c r="A1883" s="65">
        <v>1882</v>
      </c>
      <c r="B1883" s="64">
        <v>29463784.26287799</v>
      </c>
    </row>
    <row r="1884" spans="1:2" x14ac:dyDescent="0.25">
      <c r="A1884" s="65">
        <v>1883</v>
      </c>
      <c r="B1884" s="64">
        <v>29233391.165058371</v>
      </c>
    </row>
    <row r="1885" spans="1:2" x14ac:dyDescent="0.25">
      <c r="A1885" s="65">
        <v>1884</v>
      </c>
      <c r="B1885" s="64">
        <v>30039044.100192901</v>
      </c>
    </row>
    <row r="1886" spans="1:2" x14ac:dyDescent="0.25">
      <c r="A1886" s="65">
        <v>1885</v>
      </c>
      <c r="B1886" s="64">
        <v>28796612.756013572</v>
      </c>
    </row>
    <row r="1887" spans="1:2" x14ac:dyDescent="0.25">
      <c r="A1887" s="65">
        <v>1886</v>
      </c>
      <c r="B1887" s="64">
        <v>28952501.416068785</v>
      </c>
    </row>
    <row r="1888" spans="1:2" x14ac:dyDescent="0.25">
      <c r="A1888" s="65">
        <v>1887</v>
      </c>
      <c r="B1888" s="64">
        <v>28857696.821611993</v>
      </c>
    </row>
    <row r="1889" spans="1:2" x14ac:dyDescent="0.25">
      <c r="A1889" s="65">
        <v>1888</v>
      </c>
      <c r="B1889" s="64">
        <v>28916474.489729818</v>
      </c>
    </row>
    <row r="1890" spans="1:2" x14ac:dyDescent="0.25">
      <c r="A1890" s="65">
        <v>1889</v>
      </c>
      <c r="B1890" s="64">
        <v>28644326.049956542</v>
      </c>
    </row>
    <row r="1891" spans="1:2" x14ac:dyDescent="0.25">
      <c r="A1891" s="65">
        <v>1890</v>
      </c>
      <c r="B1891" s="64">
        <v>30884693.705548663</v>
      </c>
    </row>
    <row r="1892" spans="1:2" x14ac:dyDescent="0.25">
      <c r="A1892" s="65">
        <v>1891</v>
      </c>
      <c r="B1892" s="64">
        <v>29099792.734500144</v>
      </c>
    </row>
    <row r="1893" spans="1:2" x14ac:dyDescent="0.25">
      <c r="A1893" s="65">
        <v>1892</v>
      </c>
      <c r="B1893" s="64">
        <v>29538416.751182765</v>
      </c>
    </row>
    <row r="1894" spans="1:2" x14ac:dyDescent="0.25">
      <c r="A1894" s="65">
        <v>1893</v>
      </c>
      <c r="B1894" s="64">
        <v>29266191.381782074</v>
      </c>
    </row>
    <row r="1895" spans="1:2" x14ac:dyDescent="0.25">
      <c r="A1895" s="65">
        <v>1894</v>
      </c>
      <c r="B1895" s="64">
        <v>28595490.210302904</v>
      </c>
    </row>
    <row r="1896" spans="1:2" x14ac:dyDescent="0.25">
      <c r="A1896" s="65">
        <v>1895</v>
      </c>
      <c r="B1896" s="64">
        <v>29269528.023144159</v>
      </c>
    </row>
    <row r="1897" spans="1:2" x14ac:dyDescent="0.25">
      <c r="A1897" s="65">
        <v>1896</v>
      </c>
      <c r="B1897" s="64">
        <v>29226861.76561984</v>
      </c>
    </row>
    <row r="1898" spans="1:2" x14ac:dyDescent="0.25">
      <c r="A1898" s="65">
        <v>1897</v>
      </c>
      <c r="B1898" s="64">
        <v>30427942.578380592</v>
      </c>
    </row>
    <row r="1899" spans="1:2" x14ac:dyDescent="0.25">
      <c r="A1899" s="65">
        <v>1898</v>
      </c>
      <c r="B1899" s="64">
        <v>28731275.498605646</v>
      </c>
    </row>
    <row r="1900" spans="1:2" x14ac:dyDescent="0.25">
      <c r="A1900" s="65">
        <v>1899</v>
      </c>
      <c r="B1900" s="64">
        <v>29553973.737907626</v>
      </c>
    </row>
    <row r="1901" spans="1:2" x14ac:dyDescent="0.25">
      <c r="A1901" s="65">
        <v>1900</v>
      </c>
      <c r="B1901" s="64">
        <v>28995723.140130334</v>
      </c>
    </row>
    <row r="1902" spans="1:2" x14ac:dyDescent="0.25">
      <c r="A1902" s="65">
        <v>1901</v>
      </c>
      <c r="B1902" s="64">
        <v>28853834.174224235</v>
      </c>
    </row>
    <row r="1903" spans="1:2" x14ac:dyDescent="0.25">
      <c r="A1903" s="65">
        <v>1902</v>
      </c>
      <c r="B1903" s="64">
        <v>28755960.05138639</v>
      </c>
    </row>
    <row r="1904" spans="1:2" x14ac:dyDescent="0.25">
      <c r="A1904" s="65">
        <v>1903</v>
      </c>
      <c r="B1904" s="64">
        <v>28567385.577818163</v>
      </c>
    </row>
    <row r="1905" spans="1:2" x14ac:dyDescent="0.25">
      <c r="A1905" s="65">
        <v>1904</v>
      </c>
      <c r="B1905" s="64">
        <v>28914269.281684574</v>
      </c>
    </row>
    <row r="1906" spans="1:2" x14ac:dyDescent="0.25">
      <c r="A1906" s="65">
        <v>1905</v>
      </c>
      <c r="B1906" s="64">
        <v>28776965.429999977</v>
      </c>
    </row>
    <row r="1907" spans="1:2" x14ac:dyDescent="0.25">
      <c r="A1907" s="65">
        <v>1906</v>
      </c>
      <c r="B1907" s="64">
        <v>29946471.128518932</v>
      </c>
    </row>
    <row r="1908" spans="1:2" x14ac:dyDescent="0.25">
      <c r="A1908" s="65">
        <v>1907</v>
      </c>
      <c r="B1908" s="64">
        <v>33236506.687011771</v>
      </c>
    </row>
    <row r="1909" spans="1:2" x14ac:dyDescent="0.25">
      <c r="A1909" s="65">
        <v>1908</v>
      </c>
      <c r="B1909" s="64">
        <v>28776339.49620188</v>
      </c>
    </row>
    <row r="1910" spans="1:2" x14ac:dyDescent="0.25">
      <c r="A1910" s="65">
        <v>1909</v>
      </c>
      <c r="B1910" s="64">
        <v>29575526.36404936</v>
      </c>
    </row>
    <row r="1911" spans="1:2" x14ac:dyDescent="0.25">
      <c r="A1911" s="65">
        <v>1910</v>
      </c>
      <c r="B1911" s="64">
        <v>29378570.58449471</v>
      </c>
    </row>
    <row r="1912" spans="1:2" x14ac:dyDescent="0.25">
      <c r="A1912" s="65">
        <v>1911</v>
      </c>
      <c r="B1912" s="64">
        <v>29343965.557457365</v>
      </c>
    </row>
    <row r="1913" spans="1:2" x14ac:dyDescent="0.25">
      <c r="A1913" s="65">
        <v>1912</v>
      </c>
      <c r="B1913" s="64">
        <v>28771769.920146555</v>
      </c>
    </row>
    <row r="1914" spans="1:2" x14ac:dyDescent="0.25">
      <c r="A1914" s="65">
        <v>1913</v>
      </c>
      <c r="B1914" s="64">
        <v>28632680.523999676</v>
      </c>
    </row>
    <row r="1915" spans="1:2" x14ac:dyDescent="0.25">
      <c r="A1915" s="65">
        <v>1914</v>
      </c>
      <c r="B1915" s="64">
        <v>30030555.491591223</v>
      </c>
    </row>
    <row r="1916" spans="1:2" x14ac:dyDescent="0.25">
      <c r="A1916" s="65">
        <v>1915</v>
      </c>
      <c r="B1916" s="64">
        <v>28834215.830956906</v>
      </c>
    </row>
    <row r="1917" spans="1:2" x14ac:dyDescent="0.25">
      <c r="A1917" s="65">
        <v>1916</v>
      </c>
      <c r="B1917" s="64">
        <v>29941100.433972359</v>
      </c>
    </row>
    <row r="1918" spans="1:2" x14ac:dyDescent="0.25">
      <c r="A1918" s="65">
        <v>1917</v>
      </c>
      <c r="B1918" s="64">
        <v>28792084.556733593</v>
      </c>
    </row>
    <row r="1919" spans="1:2" x14ac:dyDescent="0.25">
      <c r="A1919" s="65">
        <v>1918</v>
      </c>
      <c r="B1919" s="64">
        <v>28763179.123455178</v>
      </c>
    </row>
    <row r="1920" spans="1:2" x14ac:dyDescent="0.25">
      <c r="A1920" s="65">
        <v>1919</v>
      </c>
      <c r="B1920" s="64">
        <v>28775093.963892646</v>
      </c>
    </row>
    <row r="1921" spans="1:2" x14ac:dyDescent="0.25">
      <c r="A1921" s="65">
        <v>1920</v>
      </c>
      <c r="B1921" s="64">
        <v>29123541.60965661</v>
      </c>
    </row>
    <row r="1922" spans="1:2" x14ac:dyDescent="0.25">
      <c r="A1922" s="65">
        <v>1921</v>
      </c>
      <c r="B1922" s="64">
        <v>29160291.83041266</v>
      </c>
    </row>
    <row r="1923" spans="1:2" x14ac:dyDescent="0.25">
      <c r="A1923" s="65">
        <v>1922</v>
      </c>
      <c r="B1923" s="64">
        <v>29691155.261125293</v>
      </c>
    </row>
    <row r="1924" spans="1:2" x14ac:dyDescent="0.25">
      <c r="A1924" s="65">
        <v>1923</v>
      </c>
      <c r="B1924" s="64">
        <v>28551894.816033967</v>
      </c>
    </row>
    <row r="1925" spans="1:2" x14ac:dyDescent="0.25">
      <c r="A1925" s="65">
        <v>1924</v>
      </c>
      <c r="B1925" s="64">
        <v>29363159.791821409</v>
      </c>
    </row>
    <row r="1926" spans="1:2" x14ac:dyDescent="0.25">
      <c r="A1926" s="65">
        <v>1925</v>
      </c>
      <c r="B1926" s="64">
        <v>28667070.505453229</v>
      </c>
    </row>
    <row r="1927" spans="1:2" x14ac:dyDescent="0.25">
      <c r="A1927" s="65">
        <v>1926</v>
      </c>
      <c r="B1927" s="64">
        <v>29226000.362237915</v>
      </c>
    </row>
    <row r="1928" spans="1:2" x14ac:dyDescent="0.25">
      <c r="A1928" s="65">
        <v>1927</v>
      </c>
      <c r="B1928" s="64">
        <v>28877248.975199029</v>
      </c>
    </row>
    <row r="1929" spans="1:2" x14ac:dyDescent="0.25">
      <c r="A1929" s="65">
        <v>1928</v>
      </c>
      <c r="B1929" s="64">
        <v>29973043.790109634</v>
      </c>
    </row>
    <row r="1930" spans="1:2" x14ac:dyDescent="0.25">
      <c r="A1930" s="65">
        <v>1929</v>
      </c>
      <c r="B1930" s="64">
        <v>34217603.205305181</v>
      </c>
    </row>
    <row r="1931" spans="1:2" x14ac:dyDescent="0.25">
      <c r="A1931" s="65">
        <v>1930</v>
      </c>
      <c r="B1931" s="64">
        <v>31166349.712635633</v>
      </c>
    </row>
    <row r="1932" spans="1:2" x14ac:dyDescent="0.25">
      <c r="A1932" s="65">
        <v>1931</v>
      </c>
      <c r="B1932" s="64">
        <v>29398269.033291902</v>
      </c>
    </row>
    <row r="1933" spans="1:2" x14ac:dyDescent="0.25">
      <c r="A1933" s="65">
        <v>1932</v>
      </c>
      <c r="B1933" s="64">
        <v>29492728.005835611</v>
      </c>
    </row>
    <row r="1934" spans="1:2" x14ac:dyDescent="0.25">
      <c r="A1934" s="65">
        <v>1933</v>
      </c>
      <c r="B1934" s="64">
        <v>28640287.533686962</v>
      </c>
    </row>
    <row r="1935" spans="1:2" x14ac:dyDescent="0.25">
      <c r="A1935" s="65">
        <v>1934</v>
      </c>
      <c r="B1935" s="64">
        <v>29008125.836286131</v>
      </c>
    </row>
    <row r="1936" spans="1:2" x14ac:dyDescent="0.25">
      <c r="A1936" s="65">
        <v>1935</v>
      </c>
      <c r="B1936" s="64">
        <v>29199730.135089602</v>
      </c>
    </row>
    <row r="1937" spans="1:2" x14ac:dyDescent="0.25">
      <c r="A1937" s="65">
        <v>1936</v>
      </c>
      <c r="B1937" s="64">
        <v>30636353.215172011</v>
      </c>
    </row>
    <row r="1938" spans="1:2" x14ac:dyDescent="0.25">
      <c r="A1938" s="65">
        <v>1937</v>
      </c>
      <c r="B1938" s="64">
        <v>29381632.944553461</v>
      </c>
    </row>
    <row r="1939" spans="1:2" x14ac:dyDescent="0.25">
      <c r="A1939" s="65">
        <v>1938</v>
      </c>
      <c r="B1939" s="64">
        <v>29044752.67110306</v>
      </c>
    </row>
    <row r="1940" spans="1:2" x14ac:dyDescent="0.25">
      <c r="A1940" s="65">
        <v>1939</v>
      </c>
      <c r="B1940" s="64">
        <v>29489242.754530646</v>
      </c>
    </row>
    <row r="1941" spans="1:2" x14ac:dyDescent="0.25">
      <c r="A1941" s="65">
        <v>1940</v>
      </c>
      <c r="B1941" s="64">
        <v>29689782.080417238</v>
      </c>
    </row>
    <row r="1942" spans="1:2" x14ac:dyDescent="0.25">
      <c r="A1942" s="65">
        <v>1941</v>
      </c>
      <c r="B1942" s="64">
        <v>29107735.10724175</v>
      </c>
    </row>
    <row r="1943" spans="1:2" x14ac:dyDescent="0.25">
      <c r="A1943" s="65">
        <v>1942</v>
      </c>
      <c r="B1943" s="64">
        <v>28872367.663198709</v>
      </c>
    </row>
    <row r="1944" spans="1:2" x14ac:dyDescent="0.25">
      <c r="A1944" s="65">
        <v>1943</v>
      </c>
      <c r="B1944" s="64">
        <v>28645210.75660944</v>
      </c>
    </row>
    <row r="1945" spans="1:2" x14ac:dyDescent="0.25">
      <c r="A1945" s="65">
        <v>1944</v>
      </c>
      <c r="B1945" s="64">
        <v>28867227.394798677</v>
      </c>
    </row>
    <row r="1946" spans="1:2" x14ac:dyDescent="0.25">
      <c r="A1946" s="65">
        <v>1945</v>
      </c>
      <c r="B1946" s="64">
        <v>29320413.658911072</v>
      </c>
    </row>
    <row r="1947" spans="1:2" x14ac:dyDescent="0.25">
      <c r="A1947" s="65">
        <v>1946</v>
      </c>
      <c r="B1947" s="64">
        <v>29751308.225848444</v>
      </c>
    </row>
    <row r="1948" spans="1:2" x14ac:dyDescent="0.25">
      <c r="A1948" s="65">
        <v>1947</v>
      </c>
      <c r="B1948" s="64">
        <v>28679541.938730471</v>
      </c>
    </row>
    <row r="1949" spans="1:2" x14ac:dyDescent="0.25">
      <c r="A1949" s="65">
        <v>1948</v>
      </c>
      <c r="B1949" s="64">
        <v>29328857.311870109</v>
      </c>
    </row>
    <row r="1950" spans="1:2" x14ac:dyDescent="0.25">
      <c r="A1950" s="65">
        <v>1949</v>
      </c>
      <c r="B1950" s="64">
        <v>30386492.192219019</v>
      </c>
    </row>
    <row r="1951" spans="1:2" x14ac:dyDescent="0.25">
      <c r="A1951" s="65">
        <v>1950</v>
      </c>
      <c r="B1951" s="64">
        <v>29297291.456737589</v>
      </c>
    </row>
    <row r="1952" spans="1:2" x14ac:dyDescent="0.25">
      <c r="A1952" s="65">
        <v>1951</v>
      </c>
      <c r="B1952" s="64">
        <v>29159097.199575748</v>
      </c>
    </row>
    <row r="1953" spans="1:2" x14ac:dyDescent="0.25">
      <c r="A1953" s="65">
        <v>1952</v>
      </c>
      <c r="B1953" s="64">
        <v>31920171.453430194</v>
      </c>
    </row>
    <row r="1954" spans="1:2" x14ac:dyDescent="0.25">
      <c r="A1954" s="65">
        <v>1953</v>
      </c>
      <c r="B1954" s="64">
        <v>35113906.325156152</v>
      </c>
    </row>
    <row r="1955" spans="1:2" x14ac:dyDescent="0.25">
      <c r="A1955" s="65">
        <v>1954</v>
      </c>
      <c r="B1955" s="64">
        <v>28967818.65282879</v>
      </c>
    </row>
    <row r="1956" spans="1:2" x14ac:dyDescent="0.25">
      <c r="A1956" s="65">
        <v>1955</v>
      </c>
      <c r="B1956" s="64">
        <v>28911379.261048209</v>
      </c>
    </row>
    <row r="1957" spans="1:2" x14ac:dyDescent="0.25">
      <c r="A1957" s="65">
        <v>1956</v>
      </c>
      <c r="B1957" s="64">
        <v>28782223.19658637</v>
      </c>
    </row>
    <row r="1958" spans="1:2" x14ac:dyDescent="0.25">
      <c r="A1958" s="65">
        <v>1957</v>
      </c>
      <c r="B1958" s="64">
        <v>28599483.684438817</v>
      </c>
    </row>
    <row r="1959" spans="1:2" x14ac:dyDescent="0.25">
      <c r="A1959" s="65">
        <v>1958</v>
      </c>
      <c r="B1959" s="64">
        <v>30094094.057525668</v>
      </c>
    </row>
    <row r="1960" spans="1:2" x14ac:dyDescent="0.25">
      <c r="A1960" s="65">
        <v>1959</v>
      </c>
      <c r="B1960" s="64">
        <v>29029790.360219367</v>
      </c>
    </row>
    <row r="1961" spans="1:2" x14ac:dyDescent="0.25">
      <c r="A1961" s="65">
        <v>1960</v>
      </c>
      <c r="B1961" s="64">
        <v>28636664.255899467</v>
      </c>
    </row>
    <row r="1962" spans="1:2" x14ac:dyDescent="0.25">
      <c r="A1962" s="65">
        <v>1961</v>
      </c>
      <c r="B1962" s="64">
        <v>29361263.924681507</v>
      </c>
    </row>
    <row r="1963" spans="1:2" x14ac:dyDescent="0.25">
      <c r="A1963" s="65">
        <v>1962</v>
      </c>
      <c r="B1963" s="64">
        <v>29306763.794186704</v>
      </c>
    </row>
    <row r="1964" spans="1:2" x14ac:dyDescent="0.25">
      <c r="A1964" s="65">
        <v>1963</v>
      </c>
      <c r="B1964" s="64">
        <v>29559995.595705155</v>
      </c>
    </row>
    <row r="1965" spans="1:2" x14ac:dyDescent="0.25">
      <c r="A1965" s="65">
        <v>1964</v>
      </c>
      <c r="B1965" s="64">
        <v>28948561.253766876</v>
      </c>
    </row>
    <row r="1966" spans="1:2" x14ac:dyDescent="0.25">
      <c r="A1966" s="65">
        <v>1965</v>
      </c>
      <c r="B1966" s="64">
        <v>29101413.032448776</v>
      </c>
    </row>
    <row r="1967" spans="1:2" x14ac:dyDescent="0.25">
      <c r="A1967" s="65">
        <v>1966</v>
      </c>
      <c r="B1967" s="64">
        <v>30878532.407566544</v>
      </c>
    </row>
    <row r="1968" spans="1:2" x14ac:dyDescent="0.25">
      <c r="A1968" s="65">
        <v>1967</v>
      </c>
      <c r="B1968" s="64">
        <v>28335269.867376395</v>
      </c>
    </row>
    <row r="1969" spans="1:2" x14ac:dyDescent="0.25">
      <c r="A1969" s="65">
        <v>1968</v>
      </c>
      <c r="B1969" s="64">
        <v>29307386.506008785</v>
      </c>
    </row>
    <row r="1970" spans="1:2" x14ac:dyDescent="0.25">
      <c r="A1970" s="65">
        <v>1969</v>
      </c>
      <c r="B1970" s="64">
        <v>28801697.910214491</v>
      </c>
    </row>
    <row r="1971" spans="1:2" x14ac:dyDescent="0.25">
      <c r="A1971" s="65">
        <v>1970</v>
      </c>
      <c r="B1971" s="64">
        <v>29117258.87098866</v>
      </c>
    </row>
    <row r="1972" spans="1:2" x14ac:dyDescent="0.25">
      <c r="A1972" s="65">
        <v>1971</v>
      </c>
      <c r="B1972" s="64">
        <v>30514039.821888313</v>
      </c>
    </row>
    <row r="1973" spans="1:2" x14ac:dyDescent="0.25">
      <c r="A1973" s="65">
        <v>1972</v>
      </c>
      <c r="B1973" s="64">
        <v>28809418.520742197</v>
      </c>
    </row>
    <row r="1974" spans="1:2" x14ac:dyDescent="0.25">
      <c r="A1974" s="65">
        <v>1973</v>
      </c>
      <c r="B1974" s="64">
        <v>28898295.068755351</v>
      </c>
    </row>
    <row r="1975" spans="1:2" x14ac:dyDescent="0.25">
      <c r="A1975" s="65">
        <v>1974</v>
      </c>
      <c r="B1975" s="64">
        <v>28983267.043418653</v>
      </c>
    </row>
    <row r="1976" spans="1:2" x14ac:dyDescent="0.25">
      <c r="A1976" s="65">
        <v>1975</v>
      </c>
      <c r="B1976" s="64">
        <v>28896184.523217127</v>
      </c>
    </row>
    <row r="1977" spans="1:2" x14ac:dyDescent="0.25">
      <c r="A1977" s="65">
        <v>1976</v>
      </c>
      <c r="B1977" s="64">
        <v>28491928.266590483</v>
      </c>
    </row>
    <row r="1978" spans="1:2" x14ac:dyDescent="0.25">
      <c r="A1978" s="65">
        <v>1977</v>
      </c>
      <c r="B1978" s="64">
        <v>28699988.764514197</v>
      </c>
    </row>
    <row r="1979" spans="1:2" x14ac:dyDescent="0.25">
      <c r="A1979" s="65">
        <v>1978</v>
      </c>
      <c r="B1979" s="64">
        <v>29737799.771383997</v>
      </c>
    </row>
    <row r="1980" spans="1:2" x14ac:dyDescent="0.25">
      <c r="A1980" s="65">
        <v>1979</v>
      </c>
      <c r="B1980" s="64">
        <v>33129736.388909716</v>
      </c>
    </row>
    <row r="1981" spans="1:2" x14ac:dyDescent="0.25">
      <c r="A1981" s="65">
        <v>1980</v>
      </c>
      <c r="B1981" s="64">
        <v>29158113.403529286</v>
      </c>
    </row>
    <row r="1982" spans="1:2" x14ac:dyDescent="0.25">
      <c r="A1982" s="65">
        <v>1981</v>
      </c>
      <c r="B1982" s="64">
        <v>33643074.124016985</v>
      </c>
    </row>
    <row r="1983" spans="1:2" x14ac:dyDescent="0.25">
      <c r="A1983" s="65">
        <v>1982</v>
      </c>
      <c r="B1983" s="64">
        <v>29009754.53751339</v>
      </c>
    </row>
    <row r="1984" spans="1:2" x14ac:dyDescent="0.25">
      <c r="A1984" s="65">
        <v>1983</v>
      </c>
      <c r="B1984" s="64">
        <v>29120564.622649111</v>
      </c>
    </row>
    <row r="1985" spans="1:2" x14ac:dyDescent="0.25">
      <c r="A1985" s="65">
        <v>1984</v>
      </c>
      <c r="B1985" s="64">
        <v>28654883.280320723</v>
      </c>
    </row>
    <row r="1986" spans="1:2" x14ac:dyDescent="0.25">
      <c r="A1986" s="65">
        <v>1985</v>
      </c>
      <c r="B1986" s="64">
        <v>29624182.279364083</v>
      </c>
    </row>
    <row r="1987" spans="1:2" x14ac:dyDescent="0.25">
      <c r="A1987" s="65">
        <v>1986</v>
      </c>
      <c r="B1987" s="64">
        <v>29486388.411033716</v>
      </c>
    </row>
    <row r="1988" spans="1:2" x14ac:dyDescent="0.25">
      <c r="A1988" s="65">
        <v>1987</v>
      </c>
      <c r="B1988" s="64">
        <v>28921996.436900899</v>
      </c>
    </row>
    <row r="1989" spans="1:2" x14ac:dyDescent="0.25">
      <c r="A1989" s="65">
        <v>1988</v>
      </c>
      <c r="B1989" s="64">
        <v>29206867.368475042</v>
      </c>
    </row>
    <row r="1990" spans="1:2" x14ac:dyDescent="0.25">
      <c r="A1990" s="65">
        <v>1989</v>
      </c>
      <c r="B1990" s="64">
        <v>29093190.412673686</v>
      </c>
    </row>
    <row r="1991" spans="1:2" x14ac:dyDescent="0.25">
      <c r="A1991" s="65">
        <v>1990</v>
      </c>
      <c r="B1991" s="64">
        <v>29013121.695929293</v>
      </c>
    </row>
    <row r="1992" spans="1:2" x14ac:dyDescent="0.25">
      <c r="A1992" s="65">
        <v>1991</v>
      </c>
      <c r="B1992" s="64">
        <v>28884751.601637445</v>
      </c>
    </row>
    <row r="1993" spans="1:2" x14ac:dyDescent="0.25">
      <c r="A1993" s="65">
        <v>1992</v>
      </c>
      <c r="B1993" s="64">
        <v>29146500.821802467</v>
      </c>
    </row>
    <row r="1994" spans="1:2" x14ac:dyDescent="0.25">
      <c r="A1994" s="65">
        <v>1993</v>
      </c>
      <c r="B1994" s="64">
        <v>29507071.013471764</v>
      </c>
    </row>
    <row r="1995" spans="1:2" x14ac:dyDescent="0.25">
      <c r="A1995" s="65">
        <v>1994</v>
      </c>
      <c r="B1995" s="64">
        <v>30287834.408621937</v>
      </c>
    </row>
    <row r="1996" spans="1:2" x14ac:dyDescent="0.25">
      <c r="A1996" s="65">
        <v>1995</v>
      </c>
      <c r="B1996" s="64">
        <v>29138744.908615563</v>
      </c>
    </row>
    <row r="1997" spans="1:2" x14ac:dyDescent="0.25">
      <c r="A1997" s="65">
        <v>1996</v>
      </c>
      <c r="B1997" s="64">
        <v>28573213.535379715</v>
      </c>
    </row>
    <row r="1998" spans="1:2" x14ac:dyDescent="0.25">
      <c r="A1998" s="65">
        <v>1997</v>
      </c>
      <c r="B1998" s="64">
        <v>29339302.296938948</v>
      </c>
    </row>
    <row r="1999" spans="1:2" x14ac:dyDescent="0.25">
      <c r="A1999" s="65">
        <v>1998</v>
      </c>
      <c r="B1999" s="64">
        <v>29350289.756849814</v>
      </c>
    </row>
    <row r="2000" spans="1:2" x14ac:dyDescent="0.25">
      <c r="A2000" s="65">
        <v>1999</v>
      </c>
      <c r="B2000" s="64">
        <v>28647062.509530634</v>
      </c>
    </row>
    <row r="2001" spans="1:2" x14ac:dyDescent="0.25">
      <c r="A2001" s="65">
        <v>2000</v>
      </c>
      <c r="B2001" s="64">
        <v>29276014.809620846</v>
      </c>
    </row>
    <row r="2002" spans="1:2" x14ac:dyDescent="0.25">
      <c r="A2002" s="65">
        <v>2001</v>
      </c>
      <c r="B2002" s="64">
        <v>28727644.110106979</v>
      </c>
    </row>
    <row r="2003" spans="1:2" x14ac:dyDescent="0.25">
      <c r="A2003" s="65">
        <v>2002</v>
      </c>
      <c r="B2003" s="64">
        <v>28825545.982897419</v>
      </c>
    </row>
    <row r="2004" spans="1:2" x14ac:dyDescent="0.25">
      <c r="A2004" s="65">
        <v>2003</v>
      </c>
      <c r="B2004" s="64">
        <v>29254411.417830411</v>
      </c>
    </row>
    <row r="2005" spans="1:2" x14ac:dyDescent="0.25">
      <c r="A2005" s="65">
        <v>2004</v>
      </c>
      <c r="B2005" s="64">
        <v>28684752.376093633</v>
      </c>
    </row>
    <row r="2006" spans="1:2" x14ac:dyDescent="0.25">
      <c r="A2006" s="65">
        <v>2005</v>
      </c>
      <c r="B2006" s="64">
        <v>29022928.326008845</v>
      </c>
    </row>
    <row r="2007" spans="1:2" x14ac:dyDescent="0.25">
      <c r="A2007" s="65">
        <v>2006</v>
      </c>
      <c r="B2007" s="64">
        <v>29588593.179232214</v>
      </c>
    </row>
    <row r="2008" spans="1:2" x14ac:dyDescent="0.25">
      <c r="A2008" s="65">
        <v>2007</v>
      </c>
      <c r="B2008" s="64">
        <v>29337345.515458919</v>
      </c>
    </row>
    <row r="2009" spans="1:2" x14ac:dyDescent="0.25">
      <c r="A2009" s="65">
        <v>2008</v>
      </c>
      <c r="B2009" s="64">
        <v>29198171.097180717</v>
      </c>
    </row>
    <row r="2010" spans="1:2" x14ac:dyDescent="0.25">
      <c r="A2010" s="65">
        <v>2009</v>
      </c>
      <c r="B2010" s="64">
        <v>28644133.299192015</v>
      </c>
    </row>
    <row r="2011" spans="1:2" x14ac:dyDescent="0.25">
      <c r="A2011" s="65">
        <v>2010</v>
      </c>
      <c r="B2011" s="64">
        <v>29111600.644005921</v>
      </c>
    </row>
    <row r="2012" spans="1:2" x14ac:dyDescent="0.25">
      <c r="A2012" s="65">
        <v>2011</v>
      </c>
      <c r="B2012" s="64">
        <v>30172502.6113308</v>
      </c>
    </row>
    <row r="2013" spans="1:2" x14ac:dyDescent="0.25">
      <c r="A2013" s="65">
        <v>2012</v>
      </c>
      <c r="B2013" s="64">
        <v>28936285.337189514</v>
      </c>
    </row>
    <row r="2014" spans="1:2" x14ac:dyDescent="0.25">
      <c r="A2014" s="65">
        <v>2013</v>
      </c>
      <c r="B2014" s="64">
        <v>28726066.353875827</v>
      </c>
    </row>
    <row r="2015" spans="1:2" x14ac:dyDescent="0.25">
      <c r="A2015" s="65">
        <v>2014</v>
      </c>
      <c r="B2015" s="64">
        <v>30097926.634788796</v>
      </c>
    </row>
    <row r="2016" spans="1:2" x14ac:dyDescent="0.25">
      <c r="A2016" s="65">
        <v>2015</v>
      </c>
      <c r="B2016" s="64">
        <v>31476735.423154041</v>
      </c>
    </row>
    <row r="2017" spans="1:2" x14ac:dyDescent="0.25">
      <c r="A2017" s="65">
        <v>2016</v>
      </c>
      <c r="B2017" s="64">
        <v>29789721.620006695</v>
      </c>
    </row>
    <row r="2018" spans="1:2" x14ac:dyDescent="0.25">
      <c r="A2018" s="65">
        <v>2017</v>
      </c>
      <c r="B2018" s="64">
        <v>29185998.807989858</v>
      </c>
    </row>
    <row r="2019" spans="1:2" x14ac:dyDescent="0.25">
      <c r="A2019" s="65">
        <v>2018</v>
      </c>
      <c r="B2019" s="64">
        <v>28820742.212485809</v>
      </c>
    </row>
    <row r="2020" spans="1:2" x14ac:dyDescent="0.25">
      <c r="A2020" s="65">
        <v>2019</v>
      </c>
      <c r="B2020" s="64">
        <v>28826403.874279883</v>
      </c>
    </row>
    <row r="2021" spans="1:2" x14ac:dyDescent="0.25">
      <c r="A2021" s="65">
        <v>2020</v>
      </c>
      <c r="B2021" s="64">
        <v>28682509.22725492</v>
      </c>
    </row>
    <row r="2022" spans="1:2" x14ac:dyDescent="0.25">
      <c r="A2022" s="65">
        <v>2021</v>
      </c>
      <c r="B2022" s="64">
        <v>28716198.174943332</v>
      </c>
    </row>
    <row r="2023" spans="1:2" x14ac:dyDescent="0.25">
      <c r="A2023" s="65">
        <v>2022</v>
      </c>
      <c r="B2023" s="64">
        <v>28448374.150805447</v>
      </c>
    </row>
    <row r="2024" spans="1:2" x14ac:dyDescent="0.25">
      <c r="A2024" s="65">
        <v>2023</v>
      </c>
      <c r="B2024" s="64">
        <v>28966078.223283172</v>
      </c>
    </row>
    <row r="2025" spans="1:2" x14ac:dyDescent="0.25">
      <c r="A2025" s="65">
        <v>2024</v>
      </c>
      <c r="B2025" s="64">
        <v>29698292.146420237</v>
      </c>
    </row>
    <row r="2026" spans="1:2" x14ac:dyDescent="0.25">
      <c r="A2026" s="65">
        <v>2025</v>
      </c>
      <c r="B2026" s="64">
        <v>30519565.174064238</v>
      </c>
    </row>
    <row r="2027" spans="1:2" x14ac:dyDescent="0.25">
      <c r="A2027" s="65">
        <v>2026</v>
      </c>
      <c r="B2027" s="64">
        <v>29506315.043655481</v>
      </c>
    </row>
    <row r="2028" spans="1:2" x14ac:dyDescent="0.25">
      <c r="A2028" s="65">
        <v>2027</v>
      </c>
      <c r="B2028" s="64">
        <v>28590856.455219131</v>
      </c>
    </row>
    <row r="2029" spans="1:2" x14ac:dyDescent="0.25">
      <c r="A2029" s="65">
        <v>2028</v>
      </c>
      <c r="B2029" s="64">
        <v>29444099.630741812</v>
      </c>
    </row>
    <row r="2030" spans="1:2" x14ac:dyDescent="0.25">
      <c r="A2030" s="65">
        <v>2029</v>
      </c>
      <c r="B2030" s="64">
        <v>28862908.532279633</v>
      </c>
    </row>
    <row r="2031" spans="1:2" x14ac:dyDescent="0.25">
      <c r="A2031" s="65">
        <v>2030</v>
      </c>
      <c r="B2031" s="64">
        <v>29091504.236611579</v>
      </c>
    </row>
    <row r="2032" spans="1:2" x14ac:dyDescent="0.25">
      <c r="A2032" s="65">
        <v>2031</v>
      </c>
      <c r="B2032" s="64">
        <v>29844734.217273194</v>
      </c>
    </row>
    <row r="2033" spans="1:2" x14ac:dyDescent="0.25">
      <c r="A2033" s="65">
        <v>2032</v>
      </c>
      <c r="B2033" s="64">
        <v>29270397.013710868</v>
      </c>
    </row>
    <row r="2034" spans="1:2" x14ac:dyDescent="0.25">
      <c r="A2034" s="65">
        <v>2033</v>
      </c>
      <c r="B2034" s="64">
        <v>29232768.006152183</v>
      </c>
    </row>
    <row r="2035" spans="1:2" x14ac:dyDescent="0.25">
      <c r="A2035" s="65">
        <v>2034</v>
      </c>
      <c r="B2035" s="64">
        <v>28431122.980995599</v>
      </c>
    </row>
    <row r="2036" spans="1:2" x14ac:dyDescent="0.25">
      <c r="A2036" s="65">
        <v>2035</v>
      </c>
      <c r="B2036" s="64">
        <v>29499938.31052319</v>
      </c>
    </row>
    <row r="2037" spans="1:2" x14ac:dyDescent="0.25">
      <c r="A2037" s="65">
        <v>2036</v>
      </c>
      <c r="B2037" s="64">
        <v>35176551.147833467</v>
      </c>
    </row>
    <row r="2038" spans="1:2" x14ac:dyDescent="0.25">
      <c r="A2038" s="65">
        <v>2037</v>
      </c>
      <c r="B2038" s="64">
        <v>29117982.073722415</v>
      </c>
    </row>
    <row r="2039" spans="1:2" x14ac:dyDescent="0.25">
      <c r="A2039" s="65">
        <v>2038</v>
      </c>
      <c r="B2039" s="64">
        <v>29641737.473278306</v>
      </c>
    </row>
    <row r="2040" spans="1:2" x14ac:dyDescent="0.25">
      <c r="A2040" s="65">
        <v>2039</v>
      </c>
      <c r="B2040" s="64">
        <v>28644095.122259431</v>
      </c>
    </row>
    <row r="2041" spans="1:2" x14ac:dyDescent="0.25">
      <c r="A2041" s="65">
        <v>2040</v>
      </c>
      <c r="B2041" s="64">
        <v>28542628.994113464</v>
      </c>
    </row>
    <row r="2042" spans="1:2" x14ac:dyDescent="0.25">
      <c r="A2042" s="65">
        <v>2041</v>
      </c>
      <c r="B2042" s="64">
        <v>29001772.565890055</v>
      </c>
    </row>
    <row r="2043" spans="1:2" x14ac:dyDescent="0.25">
      <c r="A2043" s="65">
        <v>2042</v>
      </c>
      <c r="B2043" s="64">
        <v>29466159.042593256</v>
      </c>
    </row>
    <row r="2044" spans="1:2" x14ac:dyDescent="0.25">
      <c r="A2044" s="65">
        <v>2043</v>
      </c>
      <c r="B2044" s="64">
        <v>28879987.963653363</v>
      </c>
    </row>
    <row r="2045" spans="1:2" x14ac:dyDescent="0.25">
      <c r="A2045" s="65">
        <v>2044</v>
      </c>
      <c r="B2045" s="64">
        <v>29355707.336393546</v>
      </c>
    </row>
    <row r="2046" spans="1:2" x14ac:dyDescent="0.25">
      <c r="A2046" s="65">
        <v>2045</v>
      </c>
      <c r="B2046" s="64">
        <v>29364540.403510131</v>
      </c>
    </row>
    <row r="2047" spans="1:2" x14ac:dyDescent="0.25">
      <c r="A2047" s="65">
        <v>2046</v>
      </c>
      <c r="B2047" s="64">
        <v>28844245.378534112</v>
      </c>
    </row>
    <row r="2048" spans="1:2" x14ac:dyDescent="0.25">
      <c r="A2048" s="65">
        <v>2047</v>
      </c>
      <c r="B2048" s="64">
        <v>30887761.550798729</v>
      </c>
    </row>
    <row r="2049" spans="1:2" x14ac:dyDescent="0.25">
      <c r="A2049" s="65">
        <v>2048</v>
      </c>
      <c r="B2049" s="64">
        <v>28766026.873505615</v>
      </c>
    </row>
    <row r="2050" spans="1:2" x14ac:dyDescent="0.25">
      <c r="A2050" s="65">
        <v>2049</v>
      </c>
      <c r="B2050" s="64">
        <v>28725464.421475627</v>
      </c>
    </row>
    <row r="2051" spans="1:2" x14ac:dyDescent="0.25">
      <c r="A2051" s="65">
        <v>2050</v>
      </c>
      <c r="B2051" s="64">
        <v>37895273.890475959</v>
      </c>
    </row>
    <row r="2052" spans="1:2" x14ac:dyDescent="0.25">
      <c r="A2052" s="65">
        <v>2051</v>
      </c>
      <c r="B2052" s="64">
        <v>28523415.686673325</v>
      </c>
    </row>
    <row r="2053" spans="1:2" x14ac:dyDescent="0.25">
      <c r="A2053" s="65">
        <v>2052</v>
      </c>
      <c r="B2053" s="64">
        <v>28550466.260476243</v>
      </c>
    </row>
    <row r="2054" spans="1:2" x14ac:dyDescent="0.25">
      <c r="A2054" s="65">
        <v>2053</v>
      </c>
      <c r="B2054" s="64">
        <v>28891651.391589761</v>
      </c>
    </row>
    <row r="2055" spans="1:2" x14ac:dyDescent="0.25">
      <c r="A2055" s="65">
        <v>2054</v>
      </c>
      <c r="B2055" s="64">
        <v>29333193.251719605</v>
      </c>
    </row>
    <row r="2056" spans="1:2" x14ac:dyDescent="0.25">
      <c r="A2056" s="65">
        <v>2055</v>
      </c>
      <c r="B2056" s="64">
        <v>30508745.727224305</v>
      </c>
    </row>
    <row r="2057" spans="1:2" x14ac:dyDescent="0.25">
      <c r="A2057" s="65">
        <v>2056</v>
      </c>
      <c r="B2057" s="64">
        <v>29116912.575241208</v>
      </c>
    </row>
    <row r="2058" spans="1:2" x14ac:dyDescent="0.25">
      <c r="A2058" s="65">
        <v>2057</v>
      </c>
      <c r="B2058" s="64">
        <v>29983812.976913467</v>
      </c>
    </row>
    <row r="2059" spans="1:2" x14ac:dyDescent="0.25">
      <c r="A2059" s="65">
        <v>2058</v>
      </c>
      <c r="B2059" s="64">
        <v>28883773.261146128</v>
      </c>
    </row>
    <row r="2060" spans="1:2" x14ac:dyDescent="0.25">
      <c r="A2060" s="65">
        <v>2059</v>
      </c>
      <c r="B2060" s="64">
        <v>29155284.168035667</v>
      </c>
    </row>
    <row r="2061" spans="1:2" x14ac:dyDescent="0.25">
      <c r="A2061" s="65">
        <v>2060</v>
      </c>
      <c r="B2061" s="64">
        <v>29829597.756278921</v>
      </c>
    </row>
    <row r="2062" spans="1:2" x14ac:dyDescent="0.25">
      <c r="A2062" s="65">
        <v>2061</v>
      </c>
      <c r="B2062" s="64">
        <v>28860471.717782196</v>
      </c>
    </row>
    <row r="2063" spans="1:2" x14ac:dyDescent="0.25">
      <c r="A2063" s="65">
        <v>2062</v>
      </c>
      <c r="B2063" s="64">
        <v>28878997.693976067</v>
      </c>
    </row>
    <row r="2064" spans="1:2" x14ac:dyDescent="0.25">
      <c r="A2064" s="65">
        <v>2063</v>
      </c>
      <c r="B2064" s="64">
        <v>28841868.559382677</v>
      </c>
    </row>
    <row r="2065" spans="1:2" x14ac:dyDescent="0.25">
      <c r="A2065" s="65">
        <v>2064</v>
      </c>
      <c r="B2065" s="64">
        <v>28851838.71856891</v>
      </c>
    </row>
    <row r="2066" spans="1:2" x14ac:dyDescent="0.25">
      <c r="A2066" s="65">
        <v>2065</v>
      </c>
      <c r="B2066" s="64">
        <v>30191896.022075292</v>
      </c>
    </row>
    <row r="2067" spans="1:2" x14ac:dyDescent="0.25">
      <c r="A2067" s="65">
        <v>2066</v>
      </c>
      <c r="B2067" s="64">
        <v>30111384.197079755</v>
      </c>
    </row>
    <row r="2068" spans="1:2" x14ac:dyDescent="0.25">
      <c r="A2068" s="65">
        <v>2067</v>
      </c>
      <c r="B2068" s="64">
        <v>28713230.999679051</v>
      </c>
    </row>
    <row r="2069" spans="1:2" x14ac:dyDescent="0.25">
      <c r="A2069" s="65">
        <v>2068</v>
      </c>
      <c r="B2069" s="64">
        <v>29301815.737592168</v>
      </c>
    </row>
    <row r="2070" spans="1:2" x14ac:dyDescent="0.25">
      <c r="A2070" s="65">
        <v>2069</v>
      </c>
      <c r="B2070" s="64">
        <v>28657711.014501505</v>
      </c>
    </row>
    <row r="2071" spans="1:2" x14ac:dyDescent="0.25">
      <c r="A2071" s="65">
        <v>2070</v>
      </c>
      <c r="B2071" s="64">
        <v>29433300.494352814</v>
      </c>
    </row>
    <row r="2072" spans="1:2" x14ac:dyDescent="0.25">
      <c r="A2072" s="65">
        <v>2071</v>
      </c>
      <c r="B2072" s="64">
        <v>29666020.96490575</v>
      </c>
    </row>
    <row r="2073" spans="1:2" x14ac:dyDescent="0.25">
      <c r="A2073" s="65">
        <v>2072</v>
      </c>
      <c r="B2073" s="64">
        <v>29244706.588458382</v>
      </c>
    </row>
    <row r="2074" spans="1:2" x14ac:dyDescent="0.25">
      <c r="A2074" s="65">
        <v>2073</v>
      </c>
      <c r="B2074" s="64">
        <v>29637736.158671964</v>
      </c>
    </row>
    <row r="2075" spans="1:2" x14ac:dyDescent="0.25">
      <c r="A2075" s="65">
        <v>2074</v>
      </c>
      <c r="B2075" s="64">
        <v>28715953.995441373</v>
      </c>
    </row>
    <row r="2076" spans="1:2" x14ac:dyDescent="0.25">
      <c r="A2076" s="65">
        <v>2075</v>
      </c>
      <c r="B2076" s="64">
        <v>29589200.278468024</v>
      </c>
    </row>
    <row r="2077" spans="1:2" x14ac:dyDescent="0.25">
      <c r="A2077" s="65">
        <v>2076</v>
      </c>
      <c r="B2077" s="64">
        <v>29229240.388307057</v>
      </c>
    </row>
    <row r="2078" spans="1:2" x14ac:dyDescent="0.25">
      <c r="A2078" s="65">
        <v>2077</v>
      </c>
      <c r="B2078" s="64">
        <v>28828301.918808602</v>
      </c>
    </row>
    <row r="2079" spans="1:2" x14ac:dyDescent="0.25">
      <c r="A2079" s="65">
        <v>2078</v>
      </c>
      <c r="B2079" s="64">
        <v>29738184.84458252</v>
      </c>
    </row>
    <row r="2080" spans="1:2" x14ac:dyDescent="0.25">
      <c r="A2080" s="65">
        <v>2079</v>
      </c>
      <c r="B2080" s="64">
        <v>29468704.410914447</v>
      </c>
    </row>
    <row r="2081" spans="1:2" x14ac:dyDescent="0.25">
      <c r="A2081" s="65">
        <v>2080</v>
      </c>
      <c r="B2081" s="64">
        <v>28806358.78977095</v>
      </c>
    </row>
    <row r="2082" spans="1:2" x14ac:dyDescent="0.25">
      <c r="A2082" s="65">
        <v>2081</v>
      </c>
      <c r="B2082" s="64">
        <v>29387304.704814415</v>
      </c>
    </row>
    <row r="2083" spans="1:2" x14ac:dyDescent="0.25">
      <c r="A2083" s="65">
        <v>2082</v>
      </c>
      <c r="B2083" s="64">
        <v>28826956.361740224</v>
      </c>
    </row>
    <row r="2084" spans="1:2" x14ac:dyDescent="0.25">
      <c r="A2084" s="65">
        <v>2083</v>
      </c>
      <c r="B2084" s="64">
        <v>29752220.766898785</v>
      </c>
    </row>
    <row r="2085" spans="1:2" x14ac:dyDescent="0.25">
      <c r="A2085" s="65">
        <v>2084</v>
      </c>
      <c r="B2085" s="64">
        <v>29131378.971095964</v>
      </c>
    </row>
    <row r="2086" spans="1:2" x14ac:dyDescent="0.25">
      <c r="A2086" s="65">
        <v>2085</v>
      </c>
      <c r="B2086" s="64">
        <v>29773927.682274774</v>
      </c>
    </row>
    <row r="2087" spans="1:2" x14ac:dyDescent="0.25">
      <c r="A2087" s="65">
        <v>2086</v>
      </c>
      <c r="B2087" s="64">
        <v>28734292.074717578</v>
      </c>
    </row>
    <row r="2088" spans="1:2" x14ac:dyDescent="0.25">
      <c r="A2088" s="65">
        <v>2087</v>
      </c>
      <c r="B2088" s="64">
        <v>28415478.063602947</v>
      </c>
    </row>
    <row r="2089" spans="1:2" x14ac:dyDescent="0.25">
      <c r="A2089" s="65">
        <v>2088</v>
      </c>
      <c r="B2089" s="64">
        <v>29605887.649905119</v>
      </c>
    </row>
    <row r="2090" spans="1:2" x14ac:dyDescent="0.25">
      <c r="A2090" s="65">
        <v>2089</v>
      </c>
      <c r="B2090" s="64">
        <v>29176214.812873643</v>
      </c>
    </row>
    <row r="2091" spans="1:2" x14ac:dyDescent="0.25">
      <c r="A2091" s="65">
        <v>2090</v>
      </c>
      <c r="B2091" s="64">
        <v>29954813.40779997</v>
      </c>
    </row>
    <row r="2092" spans="1:2" x14ac:dyDescent="0.25">
      <c r="A2092" s="65">
        <v>2091</v>
      </c>
      <c r="B2092" s="64">
        <v>29587870.226026297</v>
      </c>
    </row>
    <row r="2093" spans="1:2" x14ac:dyDescent="0.25">
      <c r="A2093" s="65">
        <v>2092</v>
      </c>
      <c r="B2093" s="64">
        <v>28857839.251634937</v>
      </c>
    </row>
    <row r="2094" spans="1:2" x14ac:dyDescent="0.25">
      <c r="A2094" s="65">
        <v>2093</v>
      </c>
      <c r="B2094" s="64">
        <v>28945617.857540101</v>
      </c>
    </row>
    <row r="2095" spans="1:2" x14ac:dyDescent="0.25">
      <c r="A2095" s="65">
        <v>2094</v>
      </c>
      <c r="B2095" s="64">
        <v>29997675.460490942</v>
      </c>
    </row>
    <row r="2096" spans="1:2" x14ac:dyDescent="0.25">
      <c r="A2096" s="65">
        <v>2095</v>
      </c>
      <c r="B2096" s="64">
        <v>28851755.184930768</v>
      </c>
    </row>
    <row r="2097" spans="1:2" x14ac:dyDescent="0.25">
      <c r="A2097" s="65">
        <v>2096</v>
      </c>
      <c r="B2097" s="64">
        <v>29732848.656494264</v>
      </c>
    </row>
    <row r="2098" spans="1:2" x14ac:dyDescent="0.25">
      <c r="A2098" s="65">
        <v>2097</v>
      </c>
      <c r="B2098" s="64">
        <v>28827365.663047697</v>
      </c>
    </row>
    <row r="2099" spans="1:2" x14ac:dyDescent="0.25">
      <c r="A2099" s="65">
        <v>2098</v>
      </c>
      <c r="B2099" s="64">
        <v>29727568.918223012</v>
      </c>
    </row>
    <row r="2100" spans="1:2" x14ac:dyDescent="0.25">
      <c r="A2100" s="65">
        <v>2099</v>
      </c>
      <c r="B2100" s="64">
        <v>29176130.199549723</v>
      </c>
    </row>
    <row r="2101" spans="1:2" x14ac:dyDescent="0.25">
      <c r="A2101" s="65">
        <v>2100</v>
      </c>
      <c r="B2101" s="64">
        <v>28899600.669801112</v>
      </c>
    </row>
    <row r="2102" spans="1:2" x14ac:dyDescent="0.25">
      <c r="A2102" s="65">
        <v>2101</v>
      </c>
      <c r="B2102" s="64">
        <v>28662213.75994708</v>
      </c>
    </row>
    <row r="2103" spans="1:2" x14ac:dyDescent="0.25">
      <c r="A2103" s="65">
        <v>2102</v>
      </c>
      <c r="B2103" s="64">
        <v>28694043.633396428</v>
      </c>
    </row>
    <row r="2104" spans="1:2" x14ac:dyDescent="0.25">
      <c r="A2104" s="65">
        <v>2103</v>
      </c>
      <c r="B2104" s="64">
        <v>28410659.380270593</v>
      </c>
    </row>
    <row r="2105" spans="1:2" x14ac:dyDescent="0.25">
      <c r="A2105" s="65">
        <v>2104</v>
      </c>
      <c r="B2105" s="64">
        <v>29204736.419809144</v>
      </c>
    </row>
    <row r="2106" spans="1:2" x14ac:dyDescent="0.25">
      <c r="A2106" s="65">
        <v>2105</v>
      </c>
      <c r="B2106" s="64">
        <v>28549575.934062421</v>
      </c>
    </row>
    <row r="2107" spans="1:2" x14ac:dyDescent="0.25">
      <c r="A2107" s="65">
        <v>2106</v>
      </c>
      <c r="B2107" s="64">
        <v>28978808.891163766</v>
      </c>
    </row>
    <row r="2108" spans="1:2" x14ac:dyDescent="0.25">
      <c r="A2108" s="65">
        <v>2107</v>
      </c>
      <c r="B2108" s="64">
        <v>28657312.83034898</v>
      </c>
    </row>
    <row r="2109" spans="1:2" x14ac:dyDescent="0.25">
      <c r="A2109" s="65">
        <v>2108</v>
      </c>
      <c r="B2109" s="64">
        <v>29588985.227698006</v>
      </c>
    </row>
    <row r="2110" spans="1:2" x14ac:dyDescent="0.25">
      <c r="A2110" s="65">
        <v>2109</v>
      </c>
      <c r="B2110" s="64">
        <v>29374487.650353611</v>
      </c>
    </row>
    <row r="2111" spans="1:2" x14ac:dyDescent="0.25">
      <c r="A2111" s="65">
        <v>2110</v>
      </c>
      <c r="B2111" s="64">
        <v>28905635.889397573</v>
      </c>
    </row>
    <row r="2112" spans="1:2" x14ac:dyDescent="0.25">
      <c r="A2112" s="65">
        <v>2111</v>
      </c>
      <c r="B2112" s="64">
        <v>28960625.087002847</v>
      </c>
    </row>
    <row r="2113" spans="1:2" x14ac:dyDescent="0.25">
      <c r="A2113" s="65">
        <v>2112</v>
      </c>
      <c r="B2113" s="64">
        <v>28974886.102909528</v>
      </c>
    </row>
    <row r="2114" spans="1:2" x14ac:dyDescent="0.25">
      <c r="A2114" s="65">
        <v>2113</v>
      </c>
      <c r="B2114" s="64">
        <v>32951657.260829438</v>
      </c>
    </row>
    <row r="2115" spans="1:2" x14ac:dyDescent="0.25">
      <c r="A2115" s="65">
        <v>2114</v>
      </c>
      <c r="B2115" s="64">
        <v>29354511.551390838</v>
      </c>
    </row>
    <row r="2116" spans="1:2" x14ac:dyDescent="0.25">
      <c r="A2116" s="65">
        <v>2115</v>
      </c>
      <c r="B2116" s="64">
        <v>30048457.704019517</v>
      </c>
    </row>
    <row r="2117" spans="1:2" x14ac:dyDescent="0.25">
      <c r="A2117" s="65">
        <v>2116</v>
      </c>
      <c r="B2117" s="64">
        <v>28658343.855629843</v>
      </c>
    </row>
    <row r="2118" spans="1:2" x14ac:dyDescent="0.25">
      <c r="A2118" s="65">
        <v>2117</v>
      </c>
      <c r="B2118" s="64">
        <v>29017723.068802662</v>
      </c>
    </row>
    <row r="2119" spans="1:2" x14ac:dyDescent="0.25">
      <c r="A2119" s="65">
        <v>2118</v>
      </c>
      <c r="B2119" s="64">
        <v>28762963.064788375</v>
      </c>
    </row>
    <row r="2120" spans="1:2" x14ac:dyDescent="0.25">
      <c r="A2120" s="65">
        <v>2119</v>
      </c>
      <c r="B2120" s="64">
        <v>28457372.812655631</v>
      </c>
    </row>
    <row r="2121" spans="1:2" x14ac:dyDescent="0.25">
      <c r="A2121" s="65">
        <v>2120</v>
      </c>
      <c r="B2121" s="64">
        <v>28427587.969017062</v>
      </c>
    </row>
    <row r="2122" spans="1:2" x14ac:dyDescent="0.25">
      <c r="A2122" s="65">
        <v>2121</v>
      </c>
      <c r="B2122" s="64">
        <v>30095965.62623325</v>
      </c>
    </row>
    <row r="2123" spans="1:2" x14ac:dyDescent="0.25">
      <c r="A2123" s="65">
        <v>2122</v>
      </c>
      <c r="B2123" s="64">
        <v>29668669.220129021</v>
      </c>
    </row>
    <row r="2124" spans="1:2" x14ac:dyDescent="0.25">
      <c r="A2124" s="65">
        <v>2123</v>
      </c>
      <c r="B2124" s="64">
        <v>29041373.769494046</v>
      </c>
    </row>
    <row r="2125" spans="1:2" x14ac:dyDescent="0.25">
      <c r="A2125" s="65">
        <v>2124</v>
      </c>
      <c r="B2125" s="64">
        <v>29051867.235276051</v>
      </c>
    </row>
    <row r="2126" spans="1:2" x14ac:dyDescent="0.25">
      <c r="A2126" s="65">
        <v>2125</v>
      </c>
      <c r="B2126" s="64">
        <v>28765080.88408789</v>
      </c>
    </row>
    <row r="2127" spans="1:2" x14ac:dyDescent="0.25">
      <c r="A2127" s="65">
        <v>2126</v>
      </c>
      <c r="B2127" s="64">
        <v>28556846.942693148</v>
      </c>
    </row>
    <row r="2128" spans="1:2" x14ac:dyDescent="0.25">
      <c r="A2128" s="65">
        <v>2127</v>
      </c>
      <c r="B2128" s="64">
        <v>30374064.94510157</v>
      </c>
    </row>
    <row r="2129" spans="1:2" x14ac:dyDescent="0.25">
      <c r="A2129" s="65">
        <v>2128</v>
      </c>
      <c r="B2129" s="64">
        <v>28865988.132548042</v>
      </c>
    </row>
    <row r="2130" spans="1:2" x14ac:dyDescent="0.25">
      <c r="A2130" s="65">
        <v>2129</v>
      </c>
      <c r="B2130" s="64">
        <v>28732685.462016072</v>
      </c>
    </row>
    <row r="2131" spans="1:2" x14ac:dyDescent="0.25">
      <c r="A2131" s="65">
        <v>2130</v>
      </c>
      <c r="B2131" s="64">
        <v>28472718.894657977</v>
      </c>
    </row>
    <row r="2132" spans="1:2" x14ac:dyDescent="0.25">
      <c r="A2132" s="65">
        <v>2131</v>
      </c>
      <c r="B2132" s="64">
        <v>29081259.368507065</v>
      </c>
    </row>
    <row r="2133" spans="1:2" x14ac:dyDescent="0.25">
      <c r="A2133" s="65">
        <v>2132</v>
      </c>
      <c r="B2133" s="64">
        <v>28630828.744845696</v>
      </c>
    </row>
    <row r="2134" spans="1:2" x14ac:dyDescent="0.25">
      <c r="A2134" s="65">
        <v>2133</v>
      </c>
      <c r="B2134" s="64">
        <v>28441962.284430806</v>
      </c>
    </row>
    <row r="2135" spans="1:2" x14ac:dyDescent="0.25">
      <c r="A2135" s="65">
        <v>2134</v>
      </c>
      <c r="B2135" s="64">
        <v>30351657.604254503</v>
      </c>
    </row>
    <row r="2136" spans="1:2" x14ac:dyDescent="0.25">
      <c r="A2136" s="65">
        <v>2135</v>
      </c>
      <c r="B2136" s="64">
        <v>30169482.179726567</v>
      </c>
    </row>
    <row r="2137" spans="1:2" x14ac:dyDescent="0.25">
      <c r="A2137" s="65">
        <v>2136</v>
      </c>
      <c r="B2137" s="64">
        <v>30739448.638871659</v>
      </c>
    </row>
    <row r="2138" spans="1:2" x14ac:dyDescent="0.25">
      <c r="A2138" s="65">
        <v>2137</v>
      </c>
      <c r="B2138" s="64">
        <v>35118884.909426495</v>
      </c>
    </row>
    <row r="2139" spans="1:2" x14ac:dyDescent="0.25">
      <c r="A2139" s="65">
        <v>2138</v>
      </c>
      <c r="B2139" s="64">
        <v>29169943.797065329</v>
      </c>
    </row>
    <row r="2140" spans="1:2" x14ac:dyDescent="0.25">
      <c r="A2140" s="65">
        <v>2139</v>
      </c>
      <c r="B2140" s="64">
        <v>30460026.642061498</v>
      </c>
    </row>
    <row r="2141" spans="1:2" x14ac:dyDescent="0.25">
      <c r="A2141" s="65">
        <v>2140</v>
      </c>
      <c r="B2141" s="64">
        <v>29843389.443611987</v>
      </c>
    </row>
    <row r="2142" spans="1:2" x14ac:dyDescent="0.25">
      <c r="A2142" s="65">
        <v>2141</v>
      </c>
      <c r="B2142" s="64">
        <v>29065981.982972268</v>
      </c>
    </row>
    <row r="2143" spans="1:2" x14ac:dyDescent="0.25">
      <c r="A2143" s="65">
        <v>2142</v>
      </c>
      <c r="B2143" s="64">
        <v>29154912.629453935</v>
      </c>
    </row>
    <row r="2144" spans="1:2" x14ac:dyDescent="0.25">
      <c r="A2144" s="65">
        <v>2143</v>
      </c>
      <c r="B2144" s="64">
        <v>28661777.566661831</v>
      </c>
    </row>
    <row r="2145" spans="1:2" x14ac:dyDescent="0.25">
      <c r="A2145" s="65">
        <v>2144</v>
      </c>
      <c r="B2145" s="64">
        <v>30742932.335739154</v>
      </c>
    </row>
    <row r="2146" spans="1:2" x14ac:dyDescent="0.25">
      <c r="A2146" s="65">
        <v>2145</v>
      </c>
      <c r="B2146" s="64">
        <v>31312773.040349152</v>
      </c>
    </row>
    <row r="2147" spans="1:2" x14ac:dyDescent="0.25">
      <c r="A2147" s="65">
        <v>2146</v>
      </c>
      <c r="B2147" s="64">
        <v>28534795.811821323</v>
      </c>
    </row>
    <row r="2148" spans="1:2" x14ac:dyDescent="0.25">
      <c r="A2148" s="65">
        <v>2147</v>
      </c>
      <c r="B2148" s="64">
        <v>28677691.198171515</v>
      </c>
    </row>
    <row r="2149" spans="1:2" x14ac:dyDescent="0.25">
      <c r="A2149" s="65">
        <v>2148</v>
      </c>
      <c r="B2149" s="64">
        <v>31159915.389589574</v>
      </c>
    </row>
    <row r="2150" spans="1:2" x14ac:dyDescent="0.25">
      <c r="A2150" s="65">
        <v>2149</v>
      </c>
      <c r="B2150" s="64">
        <v>30561233.656097222</v>
      </c>
    </row>
    <row r="2151" spans="1:2" x14ac:dyDescent="0.25">
      <c r="A2151" s="65">
        <v>2150</v>
      </c>
      <c r="B2151" s="64">
        <v>29309983.322611537</v>
      </c>
    </row>
    <row r="2152" spans="1:2" x14ac:dyDescent="0.25">
      <c r="A2152" s="65">
        <v>2151</v>
      </c>
      <c r="B2152" s="64">
        <v>28523154.180823095</v>
      </c>
    </row>
    <row r="2153" spans="1:2" x14ac:dyDescent="0.25">
      <c r="A2153" s="65">
        <v>2152</v>
      </c>
      <c r="B2153" s="64">
        <v>29317780.575824223</v>
      </c>
    </row>
    <row r="2154" spans="1:2" x14ac:dyDescent="0.25">
      <c r="A2154" s="65">
        <v>2153</v>
      </c>
      <c r="B2154" s="64">
        <v>28606193.687732898</v>
      </c>
    </row>
    <row r="2155" spans="1:2" x14ac:dyDescent="0.25">
      <c r="A2155" s="65">
        <v>2154</v>
      </c>
      <c r="B2155" s="64">
        <v>28827916.205084499</v>
      </c>
    </row>
    <row r="2156" spans="1:2" x14ac:dyDescent="0.25">
      <c r="A2156" s="65">
        <v>2155</v>
      </c>
      <c r="B2156" s="64">
        <v>28770292.759939693</v>
      </c>
    </row>
    <row r="2157" spans="1:2" x14ac:dyDescent="0.25">
      <c r="A2157" s="65">
        <v>2156</v>
      </c>
      <c r="B2157" s="64">
        <v>29897788.934109069</v>
      </c>
    </row>
    <row r="2158" spans="1:2" x14ac:dyDescent="0.25">
      <c r="A2158" s="65">
        <v>2157</v>
      </c>
      <c r="B2158" s="64">
        <v>29261183.02322096</v>
      </c>
    </row>
    <row r="2159" spans="1:2" x14ac:dyDescent="0.25">
      <c r="A2159" s="65">
        <v>2158</v>
      </c>
      <c r="B2159" s="64">
        <v>28814436.867911626</v>
      </c>
    </row>
    <row r="2160" spans="1:2" x14ac:dyDescent="0.25">
      <c r="A2160" s="65">
        <v>2159</v>
      </c>
      <c r="B2160" s="64">
        <v>30057529.226233218</v>
      </c>
    </row>
    <row r="2161" spans="1:2" x14ac:dyDescent="0.25">
      <c r="A2161" s="65">
        <v>2160</v>
      </c>
      <c r="B2161" s="64">
        <v>28317090.547818359</v>
      </c>
    </row>
    <row r="2162" spans="1:2" x14ac:dyDescent="0.25">
      <c r="A2162" s="65">
        <v>2161</v>
      </c>
      <c r="B2162" s="64">
        <v>29899429.538271341</v>
      </c>
    </row>
    <row r="2163" spans="1:2" x14ac:dyDescent="0.25">
      <c r="A2163" s="65">
        <v>2162</v>
      </c>
      <c r="B2163" s="64">
        <v>29042745.067971446</v>
      </c>
    </row>
    <row r="2164" spans="1:2" x14ac:dyDescent="0.25">
      <c r="A2164" s="65">
        <v>2163</v>
      </c>
      <c r="B2164" s="64">
        <v>29501866.347125553</v>
      </c>
    </row>
    <row r="2165" spans="1:2" x14ac:dyDescent="0.25">
      <c r="A2165" s="65">
        <v>2164</v>
      </c>
      <c r="B2165" s="64">
        <v>29096064.408786837</v>
      </c>
    </row>
    <row r="2166" spans="1:2" x14ac:dyDescent="0.25">
      <c r="A2166" s="65">
        <v>2165</v>
      </c>
      <c r="B2166" s="64">
        <v>29643636.216347083</v>
      </c>
    </row>
    <row r="2167" spans="1:2" x14ac:dyDescent="0.25">
      <c r="A2167" s="65">
        <v>2166</v>
      </c>
      <c r="B2167" s="64">
        <v>28621980.84255103</v>
      </c>
    </row>
    <row r="2168" spans="1:2" x14ac:dyDescent="0.25">
      <c r="A2168" s="65">
        <v>2167</v>
      </c>
      <c r="B2168" s="64">
        <v>28715101.889327805</v>
      </c>
    </row>
    <row r="2169" spans="1:2" x14ac:dyDescent="0.25">
      <c r="A2169" s="65">
        <v>2168</v>
      </c>
      <c r="B2169" s="64">
        <v>29734856.26213361</v>
      </c>
    </row>
    <row r="2170" spans="1:2" x14ac:dyDescent="0.25">
      <c r="A2170" s="65">
        <v>2169</v>
      </c>
      <c r="B2170" s="64">
        <v>30132214.316387508</v>
      </c>
    </row>
    <row r="2171" spans="1:2" x14ac:dyDescent="0.25">
      <c r="A2171" s="65">
        <v>2170</v>
      </c>
      <c r="B2171" s="64">
        <v>29206184.745191392</v>
      </c>
    </row>
    <row r="2172" spans="1:2" x14ac:dyDescent="0.25">
      <c r="A2172" s="65">
        <v>2171</v>
      </c>
      <c r="B2172" s="64">
        <v>28580090.771111846</v>
      </c>
    </row>
    <row r="2173" spans="1:2" x14ac:dyDescent="0.25">
      <c r="A2173" s="65">
        <v>2172</v>
      </c>
      <c r="B2173" s="64">
        <v>33661744.429458335</v>
      </c>
    </row>
    <row r="2174" spans="1:2" x14ac:dyDescent="0.25">
      <c r="A2174" s="65">
        <v>2173</v>
      </c>
      <c r="B2174" s="64">
        <v>28665473.34246983</v>
      </c>
    </row>
    <row r="2175" spans="1:2" x14ac:dyDescent="0.25">
      <c r="A2175" s="65">
        <v>2174</v>
      </c>
      <c r="B2175" s="64">
        <v>30196702.714970171</v>
      </c>
    </row>
    <row r="2176" spans="1:2" x14ac:dyDescent="0.25">
      <c r="A2176" s="65">
        <v>2175</v>
      </c>
      <c r="B2176" s="64">
        <v>30857146.992735837</v>
      </c>
    </row>
    <row r="2177" spans="1:2" x14ac:dyDescent="0.25">
      <c r="A2177" s="65">
        <v>2176</v>
      </c>
      <c r="B2177" s="64">
        <v>29195286.023302466</v>
      </c>
    </row>
    <row r="2178" spans="1:2" x14ac:dyDescent="0.25">
      <c r="A2178" s="65">
        <v>2177</v>
      </c>
      <c r="B2178" s="64">
        <v>28620247.669798307</v>
      </c>
    </row>
    <row r="2179" spans="1:2" x14ac:dyDescent="0.25">
      <c r="A2179" s="65">
        <v>2178</v>
      </c>
      <c r="B2179" s="64">
        <v>28972123.87768821</v>
      </c>
    </row>
    <row r="2180" spans="1:2" x14ac:dyDescent="0.25">
      <c r="A2180" s="65">
        <v>2179</v>
      </c>
      <c r="B2180" s="64">
        <v>29358231.467342377</v>
      </c>
    </row>
    <row r="2181" spans="1:2" x14ac:dyDescent="0.25">
      <c r="A2181" s="65">
        <v>2180</v>
      </c>
      <c r="B2181" s="64">
        <v>29356405.706553239</v>
      </c>
    </row>
    <row r="2182" spans="1:2" x14ac:dyDescent="0.25">
      <c r="A2182" s="65">
        <v>2181</v>
      </c>
      <c r="B2182" s="64">
        <v>28657429.91234554</v>
      </c>
    </row>
    <row r="2183" spans="1:2" x14ac:dyDescent="0.25">
      <c r="A2183" s="65">
        <v>2182</v>
      </c>
      <c r="B2183" s="64">
        <v>28805878.149987344</v>
      </c>
    </row>
    <row r="2184" spans="1:2" x14ac:dyDescent="0.25">
      <c r="A2184" s="65">
        <v>2183</v>
      </c>
      <c r="B2184" s="64">
        <v>29160490.716066163</v>
      </c>
    </row>
    <row r="2185" spans="1:2" x14ac:dyDescent="0.25">
      <c r="A2185" s="65">
        <v>2184</v>
      </c>
      <c r="B2185" s="64">
        <v>31272159.500044271</v>
      </c>
    </row>
    <row r="2186" spans="1:2" x14ac:dyDescent="0.25">
      <c r="A2186" s="65">
        <v>2185</v>
      </c>
      <c r="B2186" s="64">
        <v>28416459.72040141</v>
      </c>
    </row>
    <row r="2187" spans="1:2" x14ac:dyDescent="0.25">
      <c r="A2187" s="65">
        <v>2186</v>
      </c>
      <c r="B2187" s="64">
        <v>33389085.164208952</v>
      </c>
    </row>
    <row r="2188" spans="1:2" x14ac:dyDescent="0.25">
      <c r="A2188" s="65">
        <v>2187</v>
      </c>
      <c r="B2188" s="64">
        <v>29000166.424879555</v>
      </c>
    </row>
    <row r="2189" spans="1:2" x14ac:dyDescent="0.25">
      <c r="A2189" s="65">
        <v>2188</v>
      </c>
      <c r="B2189" s="64">
        <v>28665936.029778376</v>
      </c>
    </row>
    <row r="2190" spans="1:2" x14ac:dyDescent="0.25">
      <c r="A2190" s="65">
        <v>2189</v>
      </c>
      <c r="B2190" s="64">
        <v>29504626.287077073</v>
      </c>
    </row>
    <row r="2191" spans="1:2" x14ac:dyDescent="0.25">
      <c r="A2191" s="65">
        <v>2190</v>
      </c>
      <c r="B2191" s="64">
        <v>29742430.181634732</v>
      </c>
    </row>
    <row r="2192" spans="1:2" x14ac:dyDescent="0.25">
      <c r="A2192" s="65">
        <v>2191</v>
      </c>
      <c r="B2192" s="64">
        <v>28988583.006129052</v>
      </c>
    </row>
    <row r="2193" spans="1:2" x14ac:dyDescent="0.25">
      <c r="A2193" s="65">
        <v>2192</v>
      </c>
      <c r="B2193" s="64">
        <v>28719225.067119509</v>
      </c>
    </row>
    <row r="2194" spans="1:2" x14ac:dyDescent="0.25">
      <c r="A2194" s="65">
        <v>2193</v>
      </c>
      <c r="B2194" s="64">
        <v>29897709.698191863</v>
      </c>
    </row>
    <row r="2195" spans="1:2" x14ac:dyDescent="0.25">
      <c r="A2195" s="65">
        <v>2194</v>
      </c>
      <c r="B2195" s="64">
        <v>28717126.839369718</v>
      </c>
    </row>
    <row r="2196" spans="1:2" x14ac:dyDescent="0.25">
      <c r="A2196" s="65">
        <v>2195</v>
      </c>
      <c r="B2196" s="64">
        <v>29341526.53524765</v>
      </c>
    </row>
    <row r="2197" spans="1:2" x14ac:dyDescent="0.25">
      <c r="A2197" s="65">
        <v>2196</v>
      </c>
      <c r="B2197" s="64">
        <v>29899574.357566558</v>
      </c>
    </row>
    <row r="2198" spans="1:2" x14ac:dyDescent="0.25">
      <c r="A2198" s="65">
        <v>2197</v>
      </c>
      <c r="B2198" s="64">
        <v>29642382.61454219</v>
      </c>
    </row>
    <row r="2199" spans="1:2" x14ac:dyDescent="0.25">
      <c r="A2199" s="65">
        <v>2198</v>
      </c>
      <c r="B2199" s="64">
        <v>28790576.998622939</v>
      </c>
    </row>
    <row r="2200" spans="1:2" x14ac:dyDescent="0.25">
      <c r="A2200" s="65">
        <v>2199</v>
      </c>
      <c r="B2200" s="64">
        <v>28846260.554523278</v>
      </c>
    </row>
    <row r="2201" spans="1:2" x14ac:dyDescent="0.25">
      <c r="A2201" s="65">
        <v>2200</v>
      </c>
      <c r="B2201" s="64">
        <v>28692200.458766118</v>
      </c>
    </row>
    <row r="2202" spans="1:2" x14ac:dyDescent="0.25">
      <c r="A2202" s="65">
        <v>2201</v>
      </c>
      <c r="B2202" s="64">
        <v>28710844.994546138</v>
      </c>
    </row>
    <row r="2203" spans="1:2" x14ac:dyDescent="0.25">
      <c r="A2203" s="65">
        <v>2202</v>
      </c>
      <c r="B2203" s="64">
        <v>28621244.891368199</v>
      </c>
    </row>
    <row r="2204" spans="1:2" x14ac:dyDescent="0.25">
      <c r="A2204" s="65">
        <v>2203</v>
      </c>
      <c r="B2204" s="64">
        <v>28512225.836775031</v>
      </c>
    </row>
    <row r="2205" spans="1:2" x14ac:dyDescent="0.25">
      <c r="A2205" s="65">
        <v>2204</v>
      </c>
      <c r="B2205" s="64">
        <v>28623310.066234551</v>
      </c>
    </row>
    <row r="2206" spans="1:2" x14ac:dyDescent="0.25">
      <c r="A2206" s="65">
        <v>2205</v>
      </c>
      <c r="B2206" s="64">
        <v>29509003.754776824</v>
      </c>
    </row>
    <row r="2207" spans="1:2" x14ac:dyDescent="0.25">
      <c r="A2207" s="65">
        <v>2206</v>
      </c>
      <c r="B2207" s="64">
        <v>28790353.084336851</v>
      </c>
    </row>
    <row r="2208" spans="1:2" x14ac:dyDescent="0.25">
      <c r="A2208" s="65">
        <v>2207</v>
      </c>
      <c r="B2208" s="64">
        <v>30001456.915595297</v>
      </c>
    </row>
    <row r="2209" spans="1:2" x14ac:dyDescent="0.25">
      <c r="A2209" s="65">
        <v>2208</v>
      </c>
      <c r="B2209" s="64">
        <v>29282648.406336483</v>
      </c>
    </row>
    <row r="2210" spans="1:2" x14ac:dyDescent="0.25">
      <c r="A2210" s="65">
        <v>2209</v>
      </c>
      <c r="B2210" s="64">
        <v>28785061.986496974</v>
      </c>
    </row>
    <row r="2211" spans="1:2" x14ac:dyDescent="0.25">
      <c r="A2211" s="65">
        <v>2210</v>
      </c>
      <c r="B2211" s="64">
        <v>28995391.102403436</v>
      </c>
    </row>
    <row r="2212" spans="1:2" x14ac:dyDescent="0.25">
      <c r="A2212" s="65">
        <v>2211</v>
      </c>
      <c r="B2212" s="64">
        <v>29174923.143569067</v>
      </c>
    </row>
    <row r="2213" spans="1:2" x14ac:dyDescent="0.25">
      <c r="A2213" s="65">
        <v>2212</v>
      </c>
      <c r="B2213" s="64">
        <v>33224973.341036703</v>
      </c>
    </row>
    <row r="2214" spans="1:2" x14ac:dyDescent="0.25">
      <c r="A2214" s="65">
        <v>2213</v>
      </c>
      <c r="B2214" s="64">
        <v>28467531.838643815</v>
      </c>
    </row>
    <row r="2215" spans="1:2" x14ac:dyDescent="0.25">
      <c r="A2215" s="65">
        <v>2214</v>
      </c>
      <c r="B2215" s="64">
        <v>29572085.211698305</v>
      </c>
    </row>
    <row r="2216" spans="1:2" x14ac:dyDescent="0.25">
      <c r="A2216" s="65">
        <v>2215</v>
      </c>
      <c r="B2216" s="64">
        <v>28357091.585574433</v>
      </c>
    </row>
    <row r="2217" spans="1:2" x14ac:dyDescent="0.25">
      <c r="A2217" s="65">
        <v>2216</v>
      </c>
      <c r="B2217" s="64">
        <v>28800841.762413237</v>
      </c>
    </row>
    <row r="2218" spans="1:2" x14ac:dyDescent="0.25">
      <c r="A2218" s="65">
        <v>2217</v>
      </c>
      <c r="B2218" s="64">
        <v>28441997.087450013</v>
      </c>
    </row>
    <row r="2219" spans="1:2" x14ac:dyDescent="0.25">
      <c r="A2219" s="65">
        <v>2218</v>
      </c>
      <c r="B2219" s="64">
        <v>30028822.768446483</v>
      </c>
    </row>
    <row r="2220" spans="1:2" x14ac:dyDescent="0.25">
      <c r="A2220" s="65">
        <v>2219</v>
      </c>
      <c r="B2220" s="64">
        <v>29492831.87317213</v>
      </c>
    </row>
    <row r="2221" spans="1:2" x14ac:dyDescent="0.25">
      <c r="A2221" s="65">
        <v>2220</v>
      </c>
      <c r="B2221" s="64">
        <v>29364537.334793102</v>
      </c>
    </row>
    <row r="2222" spans="1:2" x14ac:dyDescent="0.25">
      <c r="A2222" s="65">
        <v>2221</v>
      </c>
      <c r="B2222" s="64">
        <v>33064290.180106107</v>
      </c>
    </row>
    <row r="2223" spans="1:2" x14ac:dyDescent="0.25">
      <c r="A2223" s="65">
        <v>2222</v>
      </c>
      <c r="B2223" s="64">
        <v>29911038.353109691</v>
      </c>
    </row>
    <row r="2224" spans="1:2" x14ac:dyDescent="0.25">
      <c r="A2224" s="65">
        <v>2223</v>
      </c>
      <c r="B2224" s="64">
        <v>29427793.089046884</v>
      </c>
    </row>
    <row r="2225" spans="1:2" x14ac:dyDescent="0.25">
      <c r="A2225" s="65">
        <v>2224</v>
      </c>
      <c r="B2225" s="64">
        <v>28749891.721156213</v>
      </c>
    </row>
    <row r="2226" spans="1:2" x14ac:dyDescent="0.25">
      <c r="A2226" s="65">
        <v>2225</v>
      </c>
      <c r="B2226" s="64">
        <v>28707344.859640006</v>
      </c>
    </row>
    <row r="2227" spans="1:2" x14ac:dyDescent="0.25">
      <c r="A2227" s="65">
        <v>2226</v>
      </c>
      <c r="B2227" s="64">
        <v>29296271.462690677</v>
      </c>
    </row>
    <row r="2228" spans="1:2" x14ac:dyDescent="0.25">
      <c r="A2228" s="65">
        <v>2227</v>
      </c>
      <c r="B2228" s="64">
        <v>29317693.9940001</v>
      </c>
    </row>
    <row r="2229" spans="1:2" x14ac:dyDescent="0.25">
      <c r="A2229" s="65">
        <v>2228</v>
      </c>
      <c r="B2229" s="64">
        <v>29350120.790341862</v>
      </c>
    </row>
    <row r="2230" spans="1:2" x14ac:dyDescent="0.25">
      <c r="A2230" s="65">
        <v>2229</v>
      </c>
      <c r="B2230" s="64">
        <v>28650021.261963889</v>
      </c>
    </row>
    <row r="2231" spans="1:2" x14ac:dyDescent="0.25">
      <c r="A2231" s="65">
        <v>2230</v>
      </c>
      <c r="B2231" s="64">
        <v>30314677.711900327</v>
      </c>
    </row>
    <row r="2232" spans="1:2" x14ac:dyDescent="0.25">
      <c r="A2232" s="65">
        <v>2231</v>
      </c>
      <c r="B2232" s="64">
        <v>29530986.799196247</v>
      </c>
    </row>
    <row r="2233" spans="1:2" x14ac:dyDescent="0.25">
      <c r="A2233" s="65">
        <v>2232</v>
      </c>
      <c r="B2233" s="64">
        <v>28857808.770760018</v>
      </c>
    </row>
    <row r="2234" spans="1:2" x14ac:dyDescent="0.25">
      <c r="A2234" s="65">
        <v>2233</v>
      </c>
      <c r="B2234" s="64">
        <v>29314513.379225522</v>
      </c>
    </row>
    <row r="2235" spans="1:2" x14ac:dyDescent="0.25">
      <c r="A2235" s="65">
        <v>2234</v>
      </c>
      <c r="B2235" s="64">
        <v>30157614.102957942</v>
      </c>
    </row>
    <row r="2236" spans="1:2" x14ac:dyDescent="0.25">
      <c r="A2236" s="65">
        <v>2235</v>
      </c>
      <c r="B2236" s="64">
        <v>29085565.525245059</v>
      </c>
    </row>
    <row r="2237" spans="1:2" x14ac:dyDescent="0.25">
      <c r="A2237" s="65">
        <v>2236</v>
      </c>
      <c r="B2237" s="64">
        <v>28734283.905478757</v>
      </c>
    </row>
    <row r="2238" spans="1:2" x14ac:dyDescent="0.25">
      <c r="A2238" s="65">
        <v>2237</v>
      </c>
      <c r="B2238" s="64">
        <v>28640980.193016164</v>
      </c>
    </row>
    <row r="2239" spans="1:2" x14ac:dyDescent="0.25">
      <c r="A2239" s="65">
        <v>2238</v>
      </c>
      <c r="B2239" s="64">
        <v>29087986.510386661</v>
      </c>
    </row>
    <row r="2240" spans="1:2" x14ac:dyDescent="0.25">
      <c r="A2240" s="65">
        <v>2239</v>
      </c>
      <c r="B2240" s="64">
        <v>28983327.65183365</v>
      </c>
    </row>
    <row r="2241" spans="1:2" x14ac:dyDescent="0.25">
      <c r="A2241" s="65">
        <v>2240</v>
      </c>
      <c r="B2241" s="64">
        <v>30011216.480530728</v>
      </c>
    </row>
    <row r="2242" spans="1:2" x14ac:dyDescent="0.25">
      <c r="A2242" s="65">
        <v>2241</v>
      </c>
      <c r="B2242" s="64">
        <v>28632943.578710236</v>
      </c>
    </row>
    <row r="2243" spans="1:2" x14ac:dyDescent="0.25">
      <c r="A2243" s="65">
        <v>2242</v>
      </c>
      <c r="B2243" s="64">
        <v>29381186.938311029</v>
      </c>
    </row>
    <row r="2244" spans="1:2" x14ac:dyDescent="0.25">
      <c r="A2244" s="65">
        <v>2243</v>
      </c>
      <c r="B2244" s="64">
        <v>28971168.412111204</v>
      </c>
    </row>
    <row r="2245" spans="1:2" x14ac:dyDescent="0.25">
      <c r="A2245" s="65">
        <v>2244</v>
      </c>
      <c r="B2245" s="64">
        <v>28884315.129061438</v>
      </c>
    </row>
    <row r="2246" spans="1:2" x14ac:dyDescent="0.25">
      <c r="A2246" s="65">
        <v>2245</v>
      </c>
      <c r="B2246" s="64">
        <v>28860393.367906693</v>
      </c>
    </row>
    <row r="2247" spans="1:2" x14ac:dyDescent="0.25">
      <c r="A2247" s="65">
        <v>2246</v>
      </c>
      <c r="B2247" s="64">
        <v>28563168.082107875</v>
      </c>
    </row>
    <row r="2248" spans="1:2" x14ac:dyDescent="0.25">
      <c r="A2248" s="65">
        <v>2247</v>
      </c>
      <c r="B2248" s="64">
        <v>30013077.607981283</v>
      </c>
    </row>
    <row r="2249" spans="1:2" x14ac:dyDescent="0.25">
      <c r="A2249" s="65">
        <v>2248</v>
      </c>
      <c r="B2249" s="64">
        <v>29286479.635364853</v>
      </c>
    </row>
    <row r="2250" spans="1:2" x14ac:dyDescent="0.25">
      <c r="A2250" s="65">
        <v>2249</v>
      </c>
      <c r="B2250" s="64">
        <v>30052158.095444847</v>
      </c>
    </row>
    <row r="2251" spans="1:2" x14ac:dyDescent="0.25">
      <c r="A2251" s="65">
        <v>2250</v>
      </c>
      <c r="B2251" s="64">
        <v>29166256.369188212</v>
      </c>
    </row>
    <row r="2252" spans="1:2" x14ac:dyDescent="0.25">
      <c r="A2252" s="65">
        <v>2251</v>
      </c>
      <c r="B2252" s="64">
        <v>30671700.57835995</v>
      </c>
    </row>
    <row r="2253" spans="1:2" x14ac:dyDescent="0.25">
      <c r="A2253" s="65">
        <v>2252</v>
      </c>
      <c r="B2253" s="64">
        <v>28753060.430403803</v>
      </c>
    </row>
    <row r="2254" spans="1:2" x14ac:dyDescent="0.25">
      <c r="A2254" s="65">
        <v>2253</v>
      </c>
      <c r="B2254" s="64">
        <v>29023397.393474609</v>
      </c>
    </row>
    <row r="2255" spans="1:2" x14ac:dyDescent="0.25">
      <c r="A2255" s="65">
        <v>2254</v>
      </c>
      <c r="B2255" s="64">
        <v>30860271.235701077</v>
      </c>
    </row>
    <row r="2256" spans="1:2" x14ac:dyDescent="0.25">
      <c r="A2256" s="65">
        <v>2255</v>
      </c>
      <c r="B2256" s="64">
        <v>29434194.121915068</v>
      </c>
    </row>
    <row r="2257" spans="1:2" x14ac:dyDescent="0.25">
      <c r="A2257" s="65">
        <v>2256</v>
      </c>
      <c r="B2257" s="64">
        <v>28651959.872509152</v>
      </c>
    </row>
    <row r="2258" spans="1:2" x14ac:dyDescent="0.25">
      <c r="A2258" s="65">
        <v>2257</v>
      </c>
      <c r="B2258" s="64">
        <v>31141864.634534176</v>
      </c>
    </row>
    <row r="2259" spans="1:2" x14ac:dyDescent="0.25">
      <c r="A2259" s="65">
        <v>2258</v>
      </c>
      <c r="B2259" s="64">
        <v>28795476.72338064</v>
      </c>
    </row>
    <row r="2260" spans="1:2" x14ac:dyDescent="0.25">
      <c r="A2260" s="65">
        <v>2259</v>
      </c>
      <c r="B2260" s="64">
        <v>28701072.48982079</v>
      </c>
    </row>
    <row r="2261" spans="1:2" x14ac:dyDescent="0.25">
      <c r="A2261" s="65">
        <v>2260</v>
      </c>
      <c r="B2261" s="64">
        <v>30754817.055342779</v>
      </c>
    </row>
    <row r="2262" spans="1:2" x14ac:dyDescent="0.25">
      <c r="A2262" s="65">
        <v>2261</v>
      </c>
      <c r="B2262" s="64">
        <v>29817193.968201622</v>
      </c>
    </row>
    <row r="2263" spans="1:2" x14ac:dyDescent="0.25">
      <c r="A2263" s="65">
        <v>2262</v>
      </c>
      <c r="B2263" s="64">
        <v>28945962.490399968</v>
      </c>
    </row>
    <row r="2264" spans="1:2" x14ac:dyDescent="0.25">
      <c r="A2264" s="65">
        <v>2263</v>
      </c>
      <c r="B2264" s="64">
        <v>28829236.027658295</v>
      </c>
    </row>
    <row r="2265" spans="1:2" x14ac:dyDescent="0.25">
      <c r="A2265" s="65">
        <v>2264</v>
      </c>
      <c r="B2265" s="64">
        <v>28714120.045176104</v>
      </c>
    </row>
    <row r="2266" spans="1:2" x14ac:dyDescent="0.25">
      <c r="A2266" s="65">
        <v>2265</v>
      </c>
      <c r="B2266" s="64">
        <v>28905749.953964151</v>
      </c>
    </row>
    <row r="2267" spans="1:2" x14ac:dyDescent="0.25">
      <c r="A2267" s="65">
        <v>2266</v>
      </c>
      <c r="B2267" s="64">
        <v>29175259.386338133</v>
      </c>
    </row>
    <row r="2268" spans="1:2" x14ac:dyDescent="0.25">
      <c r="A2268" s="65">
        <v>2267</v>
      </c>
      <c r="B2268" s="64">
        <v>29006941.539996393</v>
      </c>
    </row>
    <row r="2269" spans="1:2" x14ac:dyDescent="0.25">
      <c r="A2269" s="65">
        <v>2268</v>
      </c>
      <c r="B2269" s="64">
        <v>28522300.541299686</v>
      </c>
    </row>
    <row r="2270" spans="1:2" x14ac:dyDescent="0.25">
      <c r="A2270" s="65">
        <v>2269</v>
      </c>
      <c r="B2270" s="64">
        <v>29200348.050637618</v>
      </c>
    </row>
    <row r="2271" spans="1:2" x14ac:dyDescent="0.25">
      <c r="A2271" s="65">
        <v>2270</v>
      </c>
      <c r="B2271" s="64">
        <v>28898730.531563312</v>
      </c>
    </row>
    <row r="2272" spans="1:2" x14ac:dyDescent="0.25">
      <c r="A2272" s="65">
        <v>2271</v>
      </c>
      <c r="B2272" s="64">
        <v>28986138.674333703</v>
      </c>
    </row>
    <row r="2273" spans="1:2" x14ac:dyDescent="0.25">
      <c r="A2273" s="65">
        <v>2272</v>
      </c>
      <c r="B2273" s="64">
        <v>28586388.184180163</v>
      </c>
    </row>
    <row r="2274" spans="1:2" x14ac:dyDescent="0.25">
      <c r="A2274" s="65">
        <v>2273</v>
      </c>
      <c r="B2274" s="64">
        <v>28744886.695664637</v>
      </c>
    </row>
    <row r="2275" spans="1:2" x14ac:dyDescent="0.25">
      <c r="A2275" s="65">
        <v>2274</v>
      </c>
      <c r="B2275" s="64">
        <v>29497992.333679128</v>
      </c>
    </row>
    <row r="2276" spans="1:2" x14ac:dyDescent="0.25">
      <c r="A2276" s="65">
        <v>2275</v>
      </c>
      <c r="B2276" s="64">
        <v>29046888.931844957</v>
      </c>
    </row>
    <row r="2277" spans="1:2" x14ac:dyDescent="0.25">
      <c r="A2277" s="65">
        <v>2276</v>
      </c>
      <c r="B2277" s="64">
        <v>33413137.158183105</v>
      </c>
    </row>
    <row r="2278" spans="1:2" x14ac:dyDescent="0.25">
      <c r="A2278" s="65">
        <v>2277</v>
      </c>
      <c r="B2278" s="64">
        <v>30576663.871176109</v>
      </c>
    </row>
    <row r="2279" spans="1:2" x14ac:dyDescent="0.25">
      <c r="A2279" s="65">
        <v>2278</v>
      </c>
      <c r="B2279" s="64">
        <v>28844867.155059814</v>
      </c>
    </row>
    <row r="2280" spans="1:2" x14ac:dyDescent="0.25">
      <c r="A2280" s="65">
        <v>2279</v>
      </c>
      <c r="B2280" s="64">
        <v>29149004.403612204</v>
      </c>
    </row>
    <row r="2281" spans="1:2" x14ac:dyDescent="0.25">
      <c r="A2281" s="65">
        <v>2280</v>
      </c>
      <c r="B2281" s="64">
        <v>30413824.162846219</v>
      </c>
    </row>
    <row r="2282" spans="1:2" x14ac:dyDescent="0.25">
      <c r="A2282" s="65">
        <v>2281</v>
      </c>
      <c r="B2282" s="64">
        <v>28962266.559347611</v>
      </c>
    </row>
    <row r="2283" spans="1:2" x14ac:dyDescent="0.25">
      <c r="A2283" s="65">
        <v>2282</v>
      </c>
      <c r="B2283" s="64">
        <v>32499810.358249862</v>
      </c>
    </row>
    <row r="2284" spans="1:2" x14ac:dyDescent="0.25">
      <c r="A2284" s="65">
        <v>2283</v>
      </c>
      <c r="B2284" s="64">
        <v>28642260.431257438</v>
      </c>
    </row>
    <row r="2285" spans="1:2" x14ac:dyDescent="0.25">
      <c r="A2285" s="65">
        <v>2284</v>
      </c>
      <c r="B2285" s="64">
        <v>28547057.057298008</v>
      </c>
    </row>
    <row r="2286" spans="1:2" x14ac:dyDescent="0.25">
      <c r="A2286" s="65">
        <v>2285</v>
      </c>
      <c r="B2286" s="64">
        <v>29279374.367573746</v>
      </c>
    </row>
    <row r="2287" spans="1:2" x14ac:dyDescent="0.25">
      <c r="A2287" s="65">
        <v>2286</v>
      </c>
      <c r="B2287" s="64">
        <v>29254929.073957063</v>
      </c>
    </row>
    <row r="2288" spans="1:2" x14ac:dyDescent="0.25">
      <c r="A2288" s="65">
        <v>2287</v>
      </c>
      <c r="B2288" s="64">
        <v>28797660.838875659</v>
      </c>
    </row>
    <row r="2289" spans="1:2" x14ac:dyDescent="0.25">
      <c r="A2289" s="65">
        <v>2288</v>
      </c>
      <c r="B2289" s="64">
        <v>28826232.143580649</v>
      </c>
    </row>
    <row r="2290" spans="1:2" x14ac:dyDescent="0.25">
      <c r="A2290" s="65">
        <v>2289</v>
      </c>
      <c r="B2290" s="64">
        <v>28742203.62526257</v>
      </c>
    </row>
    <row r="2291" spans="1:2" x14ac:dyDescent="0.25">
      <c r="A2291" s="65">
        <v>2290</v>
      </c>
      <c r="B2291" s="64">
        <v>29049975.115273129</v>
      </c>
    </row>
    <row r="2292" spans="1:2" x14ac:dyDescent="0.25">
      <c r="A2292" s="65">
        <v>2291</v>
      </c>
      <c r="B2292" s="64">
        <v>34822882.631037265</v>
      </c>
    </row>
    <row r="2293" spans="1:2" x14ac:dyDescent="0.25">
      <c r="A2293" s="65">
        <v>2292</v>
      </c>
      <c r="B2293" s="64">
        <v>30104624.465519033</v>
      </c>
    </row>
    <row r="2294" spans="1:2" x14ac:dyDescent="0.25">
      <c r="A2294" s="65">
        <v>2293</v>
      </c>
      <c r="B2294" s="64">
        <v>30360397.61201353</v>
      </c>
    </row>
    <row r="2295" spans="1:2" x14ac:dyDescent="0.25">
      <c r="A2295" s="65">
        <v>2294</v>
      </c>
      <c r="B2295" s="64">
        <v>28799588.229746789</v>
      </c>
    </row>
    <row r="2296" spans="1:2" x14ac:dyDescent="0.25">
      <c r="A2296" s="65">
        <v>2295</v>
      </c>
      <c r="B2296" s="64">
        <v>28793172.60275054</v>
      </c>
    </row>
    <row r="2297" spans="1:2" x14ac:dyDescent="0.25">
      <c r="A2297" s="65">
        <v>2296</v>
      </c>
      <c r="B2297" s="64">
        <v>30832682.81372511</v>
      </c>
    </row>
    <row r="2298" spans="1:2" x14ac:dyDescent="0.25">
      <c r="A2298" s="65">
        <v>2297</v>
      </c>
      <c r="B2298" s="64">
        <v>29100631.007084463</v>
      </c>
    </row>
    <row r="2299" spans="1:2" x14ac:dyDescent="0.25">
      <c r="A2299" s="65">
        <v>2298</v>
      </c>
      <c r="B2299" s="64">
        <v>29040366.000525769</v>
      </c>
    </row>
    <row r="2300" spans="1:2" x14ac:dyDescent="0.25">
      <c r="A2300" s="65">
        <v>2299</v>
      </c>
      <c r="B2300" s="64">
        <v>28696758.522127163</v>
      </c>
    </row>
    <row r="2301" spans="1:2" x14ac:dyDescent="0.25">
      <c r="A2301" s="65">
        <v>2300</v>
      </c>
      <c r="B2301" s="64">
        <v>28709540.939127836</v>
      </c>
    </row>
    <row r="2302" spans="1:2" x14ac:dyDescent="0.25">
      <c r="A2302" s="65">
        <v>2301</v>
      </c>
      <c r="B2302" s="64">
        <v>29686106.913532216</v>
      </c>
    </row>
    <row r="2303" spans="1:2" x14ac:dyDescent="0.25">
      <c r="A2303" s="65">
        <v>2302</v>
      </c>
      <c r="B2303" s="64">
        <v>30780101.755152561</v>
      </c>
    </row>
    <row r="2304" spans="1:2" x14ac:dyDescent="0.25">
      <c r="A2304" s="65">
        <v>2303</v>
      </c>
      <c r="B2304" s="64">
        <v>29025745.324927457</v>
      </c>
    </row>
    <row r="2305" spans="1:2" x14ac:dyDescent="0.25">
      <c r="A2305" s="65">
        <v>2304</v>
      </c>
      <c r="B2305" s="64">
        <v>29034128.558839437</v>
      </c>
    </row>
    <row r="2306" spans="1:2" x14ac:dyDescent="0.25">
      <c r="A2306" s="65">
        <v>2305</v>
      </c>
      <c r="B2306" s="64">
        <v>29927772.876525793</v>
      </c>
    </row>
    <row r="2307" spans="1:2" x14ac:dyDescent="0.25">
      <c r="A2307" s="65">
        <v>2306</v>
      </c>
      <c r="B2307" s="64">
        <v>29333819.877382495</v>
      </c>
    </row>
    <row r="2308" spans="1:2" x14ac:dyDescent="0.25">
      <c r="A2308" s="65">
        <v>2307</v>
      </c>
      <c r="B2308" s="64">
        <v>28765308.935047459</v>
      </c>
    </row>
    <row r="2309" spans="1:2" x14ac:dyDescent="0.25">
      <c r="A2309" s="65">
        <v>2308</v>
      </c>
      <c r="B2309" s="64">
        <v>28800354.903594058</v>
      </c>
    </row>
    <row r="2310" spans="1:2" x14ac:dyDescent="0.25">
      <c r="A2310" s="65">
        <v>2309</v>
      </c>
      <c r="B2310" s="64">
        <v>28950510.61766072</v>
      </c>
    </row>
    <row r="2311" spans="1:2" x14ac:dyDescent="0.25">
      <c r="A2311" s="65">
        <v>2310</v>
      </c>
      <c r="B2311" s="64">
        <v>28865235.800343771</v>
      </c>
    </row>
    <row r="2312" spans="1:2" x14ac:dyDescent="0.25">
      <c r="A2312" s="65">
        <v>2311</v>
      </c>
      <c r="B2312" s="64">
        <v>29685089.980587259</v>
      </c>
    </row>
    <row r="2313" spans="1:2" x14ac:dyDescent="0.25">
      <c r="A2313" s="65">
        <v>2312</v>
      </c>
      <c r="B2313" s="64">
        <v>34678477.873114333</v>
      </c>
    </row>
    <row r="2314" spans="1:2" x14ac:dyDescent="0.25">
      <c r="A2314" s="65">
        <v>2313</v>
      </c>
      <c r="B2314" s="64">
        <v>28587948.258311033</v>
      </c>
    </row>
    <row r="2315" spans="1:2" x14ac:dyDescent="0.25">
      <c r="A2315" s="65">
        <v>2314</v>
      </c>
      <c r="B2315" s="64">
        <v>29738762.359812811</v>
      </c>
    </row>
    <row r="2316" spans="1:2" x14ac:dyDescent="0.25">
      <c r="A2316" s="65">
        <v>2315</v>
      </c>
      <c r="B2316" s="64">
        <v>28466527.948989391</v>
      </c>
    </row>
    <row r="2317" spans="1:2" x14ac:dyDescent="0.25">
      <c r="A2317" s="65">
        <v>2316</v>
      </c>
      <c r="B2317" s="64">
        <v>28753653.107171342</v>
      </c>
    </row>
    <row r="2318" spans="1:2" x14ac:dyDescent="0.25">
      <c r="A2318" s="65">
        <v>2317</v>
      </c>
      <c r="B2318" s="64">
        <v>29084961.774865042</v>
      </c>
    </row>
    <row r="2319" spans="1:2" x14ac:dyDescent="0.25">
      <c r="A2319" s="65">
        <v>2318</v>
      </c>
      <c r="B2319" s="64">
        <v>29575444.505208567</v>
      </c>
    </row>
    <row r="2320" spans="1:2" x14ac:dyDescent="0.25">
      <c r="A2320" s="65">
        <v>2319</v>
      </c>
      <c r="B2320" s="64">
        <v>30352351.412395366</v>
      </c>
    </row>
    <row r="2321" spans="1:2" x14ac:dyDescent="0.25">
      <c r="A2321" s="65">
        <v>2320</v>
      </c>
      <c r="B2321" s="64">
        <v>29594020.079910818</v>
      </c>
    </row>
    <row r="2322" spans="1:2" x14ac:dyDescent="0.25">
      <c r="A2322" s="65">
        <v>2321</v>
      </c>
      <c r="B2322" s="64">
        <v>29081560.344094921</v>
      </c>
    </row>
    <row r="2323" spans="1:2" x14ac:dyDescent="0.25">
      <c r="A2323" s="65">
        <v>2322</v>
      </c>
      <c r="B2323" s="64">
        <v>29279048.469418127</v>
      </c>
    </row>
    <row r="2324" spans="1:2" x14ac:dyDescent="0.25">
      <c r="A2324" s="65">
        <v>2323</v>
      </c>
      <c r="B2324" s="64">
        <v>28742013.930141076</v>
      </c>
    </row>
    <row r="2325" spans="1:2" x14ac:dyDescent="0.25">
      <c r="A2325" s="65">
        <v>2324</v>
      </c>
      <c r="B2325" s="64">
        <v>28956988.573114026</v>
      </c>
    </row>
    <row r="2326" spans="1:2" x14ac:dyDescent="0.25">
      <c r="A2326" s="65">
        <v>2325</v>
      </c>
      <c r="B2326" s="64">
        <v>29232055.496200148</v>
      </c>
    </row>
    <row r="2327" spans="1:2" x14ac:dyDescent="0.25">
      <c r="A2327" s="65">
        <v>2326</v>
      </c>
      <c r="B2327" s="64">
        <v>29812318.925777894</v>
      </c>
    </row>
    <row r="2328" spans="1:2" x14ac:dyDescent="0.25">
      <c r="A2328" s="65">
        <v>2327</v>
      </c>
      <c r="B2328" s="64">
        <v>33295932.239552431</v>
      </c>
    </row>
    <row r="2329" spans="1:2" x14ac:dyDescent="0.25">
      <c r="A2329" s="65">
        <v>2328</v>
      </c>
      <c r="B2329" s="64">
        <v>29987500.791124601</v>
      </c>
    </row>
    <row r="2330" spans="1:2" x14ac:dyDescent="0.25">
      <c r="A2330" s="65">
        <v>2329</v>
      </c>
      <c r="B2330" s="64">
        <v>29084348.090558991</v>
      </c>
    </row>
    <row r="2331" spans="1:2" x14ac:dyDescent="0.25">
      <c r="A2331" s="65">
        <v>2330</v>
      </c>
      <c r="B2331" s="64">
        <v>28752094.106473494</v>
      </c>
    </row>
    <row r="2332" spans="1:2" x14ac:dyDescent="0.25">
      <c r="A2332" s="65">
        <v>2331</v>
      </c>
      <c r="B2332" s="64">
        <v>30660346.477564577</v>
      </c>
    </row>
    <row r="2333" spans="1:2" x14ac:dyDescent="0.25">
      <c r="A2333" s="65">
        <v>2332</v>
      </c>
      <c r="B2333" s="64">
        <v>28977403.53466969</v>
      </c>
    </row>
    <row r="2334" spans="1:2" x14ac:dyDescent="0.25">
      <c r="A2334" s="65">
        <v>2333</v>
      </c>
      <c r="B2334" s="64">
        <v>28773770.897923775</v>
      </c>
    </row>
    <row r="2335" spans="1:2" x14ac:dyDescent="0.25">
      <c r="A2335" s="65">
        <v>2334</v>
      </c>
      <c r="B2335" s="64">
        <v>33818469.998987034</v>
      </c>
    </row>
    <row r="2336" spans="1:2" x14ac:dyDescent="0.25">
      <c r="A2336" s="65">
        <v>2335</v>
      </c>
      <c r="B2336" s="64">
        <v>29325334.788357478</v>
      </c>
    </row>
    <row r="2337" spans="1:2" x14ac:dyDescent="0.25">
      <c r="A2337" s="65">
        <v>2336</v>
      </c>
      <c r="B2337" s="64">
        <v>29108639.552514262</v>
      </c>
    </row>
    <row r="2338" spans="1:2" x14ac:dyDescent="0.25">
      <c r="A2338" s="65">
        <v>2337</v>
      </c>
      <c r="B2338" s="64">
        <v>29031011.025668148</v>
      </c>
    </row>
    <row r="2339" spans="1:2" x14ac:dyDescent="0.25">
      <c r="A2339" s="65">
        <v>2338</v>
      </c>
      <c r="B2339" s="64">
        <v>29247730.896362506</v>
      </c>
    </row>
    <row r="2340" spans="1:2" x14ac:dyDescent="0.25">
      <c r="A2340" s="65">
        <v>2339</v>
      </c>
      <c r="B2340" s="64">
        <v>28972677.039171461</v>
      </c>
    </row>
    <row r="2341" spans="1:2" x14ac:dyDescent="0.25">
      <c r="A2341" s="65">
        <v>2340</v>
      </c>
      <c r="B2341" s="64">
        <v>28874597.285935335</v>
      </c>
    </row>
    <row r="2342" spans="1:2" x14ac:dyDescent="0.25">
      <c r="A2342" s="65">
        <v>2341</v>
      </c>
      <c r="B2342" s="64">
        <v>29576465.084565479</v>
      </c>
    </row>
    <row r="2343" spans="1:2" x14ac:dyDescent="0.25">
      <c r="A2343" s="65">
        <v>2342</v>
      </c>
      <c r="B2343" s="64">
        <v>29076209.800895806</v>
      </c>
    </row>
    <row r="2344" spans="1:2" x14ac:dyDescent="0.25">
      <c r="A2344" s="65">
        <v>2343</v>
      </c>
      <c r="B2344" s="64">
        <v>29314546.580187771</v>
      </c>
    </row>
    <row r="2345" spans="1:2" x14ac:dyDescent="0.25">
      <c r="A2345" s="65">
        <v>2344</v>
      </c>
      <c r="B2345" s="64">
        <v>28588424.314703055</v>
      </c>
    </row>
    <row r="2346" spans="1:2" x14ac:dyDescent="0.25">
      <c r="A2346" s="65">
        <v>2345</v>
      </c>
      <c r="B2346" s="64">
        <v>29251475.510974843</v>
      </c>
    </row>
    <row r="2347" spans="1:2" x14ac:dyDescent="0.25">
      <c r="A2347" s="65">
        <v>2346</v>
      </c>
      <c r="B2347" s="64">
        <v>28959247.691315066</v>
      </c>
    </row>
    <row r="2348" spans="1:2" x14ac:dyDescent="0.25">
      <c r="A2348" s="65">
        <v>2347</v>
      </c>
      <c r="B2348" s="64">
        <v>28600242.550783571</v>
      </c>
    </row>
    <row r="2349" spans="1:2" x14ac:dyDescent="0.25">
      <c r="A2349" s="65">
        <v>2348</v>
      </c>
      <c r="B2349" s="64">
        <v>28871257.184303101</v>
      </c>
    </row>
    <row r="2350" spans="1:2" x14ac:dyDescent="0.25">
      <c r="A2350" s="65">
        <v>2349</v>
      </c>
      <c r="B2350" s="64">
        <v>29906338.664420113</v>
      </c>
    </row>
    <row r="2351" spans="1:2" x14ac:dyDescent="0.25">
      <c r="A2351" s="65">
        <v>2350</v>
      </c>
      <c r="B2351" s="64">
        <v>28787490.635368507</v>
      </c>
    </row>
    <row r="2352" spans="1:2" x14ac:dyDescent="0.25">
      <c r="A2352" s="65">
        <v>2351</v>
      </c>
      <c r="B2352" s="64">
        <v>29053846.014069866</v>
      </c>
    </row>
    <row r="2353" spans="1:2" x14ac:dyDescent="0.25">
      <c r="A2353" s="65">
        <v>2352</v>
      </c>
      <c r="B2353" s="64">
        <v>31154732.974738397</v>
      </c>
    </row>
    <row r="2354" spans="1:2" x14ac:dyDescent="0.25">
      <c r="A2354" s="65">
        <v>2353</v>
      </c>
      <c r="B2354" s="64">
        <v>29936780.128965255</v>
      </c>
    </row>
    <row r="2355" spans="1:2" x14ac:dyDescent="0.25">
      <c r="A2355" s="65">
        <v>2354</v>
      </c>
      <c r="B2355" s="64">
        <v>28680965.452614158</v>
      </c>
    </row>
    <row r="2356" spans="1:2" x14ac:dyDescent="0.25">
      <c r="A2356" s="65">
        <v>2355</v>
      </c>
      <c r="B2356" s="64">
        <v>29445944.122522745</v>
      </c>
    </row>
    <row r="2357" spans="1:2" x14ac:dyDescent="0.25">
      <c r="A2357" s="65">
        <v>2356</v>
      </c>
      <c r="B2357" s="64">
        <v>28884337.011608128</v>
      </c>
    </row>
    <row r="2358" spans="1:2" x14ac:dyDescent="0.25">
      <c r="A2358" s="65">
        <v>2357</v>
      </c>
      <c r="B2358" s="64">
        <v>28812914.174876198</v>
      </c>
    </row>
    <row r="2359" spans="1:2" x14ac:dyDescent="0.25">
      <c r="A2359" s="65">
        <v>2358</v>
      </c>
      <c r="B2359" s="64">
        <v>29215929.341949776</v>
      </c>
    </row>
    <row r="2360" spans="1:2" x14ac:dyDescent="0.25">
      <c r="A2360" s="65">
        <v>2359</v>
      </c>
      <c r="B2360" s="64">
        <v>29691685.045550261</v>
      </c>
    </row>
    <row r="2361" spans="1:2" x14ac:dyDescent="0.25">
      <c r="A2361" s="65">
        <v>2360</v>
      </c>
      <c r="B2361" s="64">
        <v>28915012.273638733</v>
      </c>
    </row>
    <row r="2362" spans="1:2" x14ac:dyDescent="0.25">
      <c r="A2362" s="65">
        <v>2361</v>
      </c>
      <c r="B2362" s="64">
        <v>30617225.705438495</v>
      </c>
    </row>
    <row r="2363" spans="1:2" x14ac:dyDescent="0.25">
      <c r="A2363" s="65">
        <v>2362</v>
      </c>
      <c r="B2363" s="64">
        <v>28635221.033266339</v>
      </c>
    </row>
    <row r="2364" spans="1:2" x14ac:dyDescent="0.25">
      <c r="A2364" s="65">
        <v>2363</v>
      </c>
      <c r="B2364" s="64">
        <v>28575329.745693117</v>
      </c>
    </row>
    <row r="2365" spans="1:2" x14ac:dyDescent="0.25">
      <c r="A2365" s="65">
        <v>2364</v>
      </c>
      <c r="B2365" s="64">
        <v>30221129.978167918</v>
      </c>
    </row>
    <row r="2366" spans="1:2" x14ac:dyDescent="0.25">
      <c r="A2366" s="65">
        <v>2365</v>
      </c>
      <c r="B2366" s="64">
        <v>28531799.130047027</v>
      </c>
    </row>
    <row r="2367" spans="1:2" x14ac:dyDescent="0.25">
      <c r="A2367" s="65">
        <v>2366</v>
      </c>
      <c r="B2367" s="64">
        <v>29113111.428052008</v>
      </c>
    </row>
    <row r="2368" spans="1:2" x14ac:dyDescent="0.25">
      <c r="A2368" s="65">
        <v>2367</v>
      </c>
      <c r="B2368" s="64">
        <v>28881638.355229743</v>
      </c>
    </row>
    <row r="2369" spans="1:2" x14ac:dyDescent="0.25">
      <c r="A2369" s="65">
        <v>2368</v>
      </c>
      <c r="B2369" s="64">
        <v>28698204.983278826</v>
      </c>
    </row>
    <row r="2370" spans="1:2" x14ac:dyDescent="0.25">
      <c r="A2370" s="65">
        <v>2369</v>
      </c>
      <c r="B2370" s="64">
        <v>28787360.176004905</v>
      </c>
    </row>
    <row r="2371" spans="1:2" x14ac:dyDescent="0.25">
      <c r="A2371" s="65">
        <v>2370</v>
      </c>
      <c r="B2371" s="64">
        <v>28978026.959753342</v>
      </c>
    </row>
    <row r="2372" spans="1:2" x14ac:dyDescent="0.25">
      <c r="A2372" s="65">
        <v>2371</v>
      </c>
      <c r="B2372" s="64">
        <v>30008310.453939281</v>
      </c>
    </row>
    <row r="2373" spans="1:2" x14ac:dyDescent="0.25">
      <c r="A2373" s="65">
        <v>2372</v>
      </c>
      <c r="B2373" s="64">
        <v>29318922.178427968</v>
      </c>
    </row>
    <row r="2374" spans="1:2" x14ac:dyDescent="0.25">
      <c r="A2374" s="65">
        <v>2373</v>
      </c>
      <c r="B2374" s="64">
        <v>29066575.626030203</v>
      </c>
    </row>
    <row r="2375" spans="1:2" x14ac:dyDescent="0.25">
      <c r="A2375" s="65">
        <v>2374</v>
      </c>
      <c r="B2375" s="64">
        <v>29502432.156503391</v>
      </c>
    </row>
    <row r="2376" spans="1:2" x14ac:dyDescent="0.25">
      <c r="A2376" s="65">
        <v>2375</v>
      </c>
      <c r="B2376" s="64">
        <v>28358189.576435272</v>
      </c>
    </row>
    <row r="2377" spans="1:2" x14ac:dyDescent="0.25">
      <c r="A2377" s="65">
        <v>2376</v>
      </c>
      <c r="B2377" s="64">
        <v>28780435.333024397</v>
      </c>
    </row>
    <row r="2378" spans="1:2" x14ac:dyDescent="0.25">
      <c r="A2378" s="65">
        <v>2377</v>
      </c>
      <c r="B2378" s="64">
        <v>29638200.477221292</v>
      </c>
    </row>
    <row r="2379" spans="1:2" x14ac:dyDescent="0.25">
      <c r="A2379" s="65">
        <v>2378</v>
      </c>
      <c r="B2379" s="64">
        <v>28473001.301710371</v>
      </c>
    </row>
    <row r="2380" spans="1:2" x14ac:dyDescent="0.25">
      <c r="A2380" s="65">
        <v>2379</v>
      </c>
      <c r="B2380" s="64">
        <v>29565913.060564458</v>
      </c>
    </row>
    <row r="2381" spans="1:2" x14ac:dyDescent="0.25">
      <c r="A2381" s="65">
        <v>2380</v>
      </c>
      <c r="B2381" s="64">
        <v>28758024.748829696</v>
      </c>
    </row>
    <row r="2382" spans="1:2" x14ac:dyDescent="0.25">
      <c r="A2382" s="65">
        <v>2381</v>
      </c>
      <c r="B2382" s="64">
        <v>29534548.038918551</v>
      </c>
    </row>
    <row r="2383" spans="1:2" x14ac:dyDescent="0.25">
      <c r="A2383" s="65">
        <v>2382</v>
      </c>
      <c r="B2383" s="64">
        <v>28700345.128282938</v>
      </c>
    </row>
    <row r="2384" spans="1:2" x14ac:dyDescent="0.25">
      <c r="A2384" s="65">
        <v>2383</v>
      </c>
      <c r="B2384" s="64">
        <v>28843813.535762284</v>
      </c>
    </row>
    <row r="2385" spans="1:2" x14ac:dyDescent="0.25">
      <c r="A2385" s="65">
        <v>2384</v>
      </c>
      <c r="B2385" s="64">
        <v>29199386.286335025</v>
      </c>
    </row>
    <row r="2386" spans="1:2" x14ac:dyDescent="0.25">
      <c r="A2386" s="65">
        <v>2385</v>
      </c>
      <c r="B2386" s="64">
        <v>30440497.759526581</v>
      </c>
    </row>
    <row r="2387" spans="1:2" x14ac:dyDescent="0.25">
      <c r="A2387" s="65">
        <v>2386</v>
      </c>
      <c r="B2387" s="64">
        <v>28870673.031937703</v>
      </c>
    </row>
    <row r="2388" spans="1:2" x14ac:dyDescent="0.25">
      <c r="A2388" s="65">
        <v>2387</v>
      </c>
      <c r="B2388" s="64">
        <v>28357704.048394389</v>
      </c>
    </row>
    <row r="2389" spans="1:2" x14ac:dyDescent="0.25">
      <c r="A2389" s="65">
        <v>2388</v>
      </c>
      <c r="B2389" s="64">
        <v>30242294.068808936</v>
      </c>
    </row>
    <row r="2390" spans="1:2" x14ac:dyDescent="0.25">
      <c r="A2390" s="65">
        <v>2389</v>
      </c>
      <c r="B2390" s="64">
        <v>28931271.592278454</v>
      </c>
    </row>
    <row r="2391" spans="1:2" x14ac:dyDescent="0.25">
      <c r="A2391" s="65">
        <v>2390</v>
      </c>
      <c r="B2391" s="64">
        <v>29001261.321513597</v>
      </c>
    </row>
    <row r="2392" spans="1:2" x14ac:dyDescent="0.25">
      <c r="A2392" s="65">
        <v>2391</v>
      </c>
      <c r="B2392" s="64">
        <v>29389729.849685371</v>
      </c>
    </row>
    <row r="2393" spans="1:2" x14ac:dyDescent="0.25">
      <c r="A2393" s="65">
        <v>2392</v>
      </c>
      <c r="B2393" s="64">
        <v>29898186.307481829</v>
      </c>
    </row>
    <row r="2394" spans="1:2" x14ac:dyDescent="0.25">
      <c r="A2394" s="65">
        <v>2393</v>
      </c>
      <c r="B2394" s="64">
        <v>29228574.163829993</v>
      </c>
    </row>
    <row r="2395" spans="1:2" x14ac:dyDescent="0.25">
      <c r="A2395" s="65">
        <v>2394</v>
      </c>
      <c r="B2395" s="64">
        <v>28728105.511561427</v>
      </c>
    </row>
    <row r="2396" spans="1:2" x14ac:dyDescent="0.25">
      <c r="A2396" s="65">
        <v>2395</v>
      </c>
      <c r="B2396" s="64">
        <v>28371263.478048239</v>
      </c>
    </row>
    <row r="2397" spans="1:2" x14ac:dyDescent="0.25">
      <c r="A2397" s="65">
        <v>2396</v>
      </c>
      <c r="B2397" s="64">
        <v>29252886.734249994</v>
      </c>
    </row>
    <row r="2398" spans="1:2" x14ac:dyDescent="0.25">
      <c r="A2398" s="65">
        <v>2397</v>
      </c>
      <c r="B2398" s="64">
        <v>29281900.139317546</v>
      </c>
    </row>
    <row r="2399" spans="1:2" x14ac:dyDescent="0.25">
      <c r="A2399" s="65">
        <v>2398</v>
      </c>
      <c r="B2399" s="64">
        <v>28827363.602213673</v>
      </c>
    </row>
    <row r="2400" spans="1:2" x14ac:dyDescent="0.25">
      <c r="A2400" s="65">
        <v>2399</v>
      </c>
      <c r="B2400" s="64">
        <v>28630228.087138984</v>
      </c>
    </row>
    <row r="2401" spans="1:2" x14ac:dyDescent="0.25">
      <c r="A2401" s="65">
        <v>2400</v>
      </c>
      <c r="B2401" s="64">
        <v>29717721.591798395</v>
      </c>
    </row>
    <row r="2402" spans="1:2" x14ac:dyDescent="0.25">
      <c r="A2402" s="65">
        <v>2401</v>
      </c>
      <c r="B2402" s="64">
        <v>28575984.226505913</v>
      </c>
    </row>
    <row r="2403" spans="1:2" x14ac:dyDescent="0.25">
      <c r="A2403" s="65">
        <v>2402</v>
      </c>
      <c r="B2403" s="64">
        <v>30308231.150031526</v>
      </c>
    </row>
    <row r="2404" spans="1:2" x14ac:dyDescent="0.25">
      <c r="A2404" s="65">
        <v>2403</v>
      </c>
      <c r="B2404" s="64">
        <v>28725895.907907061</v>
      </c>
    </row>
    <row r="2405" spans="1:2" x14ac:dyDescent="0.25">
      <c r="A2405" s="65">
        <v>2404</v>
      </c>
      <c r="B2405" s="64">
        <v>29004530.385655139</v>
      </c>
    </row>
    <row r="2406" spans="1:2" x14ac:dyDescent="0.25">
      <c r="A2406" s="65">
        <v>2405</v>
      </c>
      <c r="B2406" s="64">
        <v>28694601.221896444</v>
      </c>
    </row>
    <row r="2407" spans="1:2" x14ac:dyDescent="0.25">
      <c r="A2407" s="65">
        <v>2406</v>
      </c>
      <c r="B2407" s="64">
        <v>29754669.044584878</v>
      </c>
    </row>
    <row r="2408" spans="1:2" x14ac:dyDescent="0.25">
      <c r="A2408" s="65">
        <v>2407</v>
      </c>
      <c r="B2408" s="64">
        <v>28583000.846789081</v>
      </c>
    </row>
    <row r="2409" spans="1:2" x14ac:dyDescent="0.25">
      <c r="A2409" s="65">
        <v>2408</v>
      </c>
      <c r="B2409" s="64">
        <v>29456706.567420918</v>
      </c>
    </row>
    <row r="2410" spans="1:2" x14ac:dyDescent="0.25">
      <c r="A2410" s="65">
        <v>2409</v>
      </c>
      <c r="B2410" s="64">
        <v>30250270.166781463</v>
      </c>
    </row>
    <row r="2411" spans="1:2" x14ac:dyDescent="0.25">
      <c r="A2411" s="65">
        <v>2410</v>
      </c>
      <c r="B2411" s="64">
        <v>29342212.001868058</v>
      </c>
    </row>
    <row r="2412" spans="1:2" x14ac:dyDescent="0.25">
      <c r="A2412" s="65">
        <v>2411</v>
      </c>
      <c r="B2412" s="64">
        <v>28455754.670871008</v>
      </c>
    </row>
    <row r="2413" spans="1:2" x14ac:dyDescent="0.25">
      <c r="A2413" s="65">
        <v>2412</v>
      </c>
      <c r="B2413" s="64">
        <v>28589551.395166397</v>
      </c>
    </row>
    <row r="2414" spans="1:2" x14ac:dyDescent="0.25">
      <c r="A2414" s="65">
        <v>2413</v>
      </c>
      <c r="B2414" s="64">
        <v>29126286.855796199</v>
      </c>
    </row>
    <row r="2415" spans="1:2" x14ac:dyDescent="0.25">
      <c r="A2415" s="65">
        <v>2414</v>
      </c>
      <c r="B2415" s="64">
        <v>28623686.634529471</v>
      </c>
    </row>
    <row r="2416" spans="1:2" x14ac:dyDescent="0.25">
      <c r="A2416" s="65">
        <v>2415</v>
      </c>
      <c r="B2416" s="64">
        <v>29407290.233167667</v>
      </c>
    </row>
    <row r="2417" spans="1:2" x14ac:dyDescent="0.25">
      <c r="A2417" s="65">
        <v>2416</v>
      </c>
      <c r="B2417" s="64">
        <v>28796365.387870718</v>
      </c>
    </row>
    <row r="2418" spans="1:2" x14ac:dyDescent="0.25">
      <c r="A2418" s="65">
        <v>2417</v>
      </c>
      <c r="B2418" s="64">
        <v>28961353.007262807</v>
      </c>
    </row>
    <row r="2419" spans="1:2" x14ac:dyDescent="0.25">
      <c r="A2419" s="65">
        <v>2418</v>
      </c>
      <c r="B2419" s="64">
        <v>29177525.1267635</v>
      </c>
    </row>
    <row r="2420" spans="1:2" x14ac:dyDescent="0.25">
      <c r="A2420" s="65">
        <v>2419</v>
      </c>
      <c r="B2420" s="64">
        <v>29320785.422195651</v>
      </c>
    </row>
    <row r="2421" spans="1:2" x14ac:dyDescent="0.25">
      <c r="A2421" s="65">
        <v>2420</v>
      </c>
      <c r="B2421" s="64">
        <v>29461196.194803238</v>
      </c>
    </row>
    <row r="2422" spans="1:2" x14ac:dyDescent="0.25">
      <c r="A2422" s="65">
        <v>2421</v>
      </c>
      <c r="B2422" s="64">
        <v>30902890.770067144</v>
      </c>
    </row>
    <row r="2423" spans="1:2" x14ac:dyDescent="0.25">
      <c r="A2423" s="65">
        <v>2422</v>
      </c>
      <c r="B2423" s="64">
        <v>29436263.075620238</v>
      </c>
    </row>
    <row r="2424" spans="1:2" x14ac:dyDescent="0.25">
      <c r="A2424" s="65">
        <v>2423</v>
      </c>
      <c r="B2424" s="64">
        <v>29062272.552232813</v>
      </c>
    </row>
    <row r="2425" spans="1:2" x14ac:dyDescent="0.25">
      <c r="A2425" s="65">
        <v>2424</v>
      </c>
      <c r="B2425" s="64">
        <v>33730090.732462168</v>
      </c>
    </row>
    <row r="2426" spans="1:2" x14ac:dyDescent="0.25">
      <c r="A2426" s="65">
        <v>2425</v>
      </c>
      <c r="B2426" s="64">
        <v>29011576.035896331</v>
      </c>
    </row>
    <row r="2427" spans="1:2" x14ac:dyDescent="0.25">
      <c r="A2427" s="65">
        <v>2426</v>
      </c>
      <c r="B2427" s="64">
        <v>29438704.572675366</v>
      </c>
    </row>
    <row r="2428" spans="1:2" x14ac:dyDescent="0.25">
      <c r="A2428" s="65">
        <v>2427</v>
      </c>
      <c r="B2428" s="64">
        <v>29784693.236811604</v>
      </c>
    </row>
    <row r="2429" spans="1:2" x14ac:dyDescent="0.25">
      <c r="A2429" s="65">
        <v>2428</v>
      </c>
      <c r="B2429" s="64">
        <v>28950211.156576417</v>
      </c>
    </row>
    <row r="2430" spans="1:2" x14ac:dyDescent="0.25">
      <c r="A2430" s="65">
        <v>2429</v>
      </c>
      <c r="B2430" s="64">
        <v>28850028.955914773</v>
      </c>
    </row>
    <row r="2431" spans="1:2" x14ac:dyDescent="0.25">
      <c r="A2431" s="65">
        <v>2430</v>
      </c>
      <c r="B2431" s="64">
        <v>29060853.403021984</v>
      </c>
    </row>
    <row r="2432" spans="1:2" x14ac:dyDescent="0.25">
      <c r="A2432" s="65">
        <v>2431</v>
      </c>
      <c r="B2432" s="64">
        <v>28786115.296701472</v>
      </c>
    </row>
    <row r="2433" spans="1:2" x14ac:dyDescent="0.25">
      <c r="A2433" s="65">
        <v>2432</v>
      </c>
      <c r="B2433" s="64">
        <v>29261095.794520222</v>
      </c>
    </row>
    <row r="2434" spans="1:2" x14ac:dyDescent="0.25">
      <c r="A2434" s="65">
        <v>2433</v>
      </c>
      <c r="B2434" s="64">
        <v>28521674.362440228</v>
      </c>
    </row>
    <row r="2435" spans="1:2" x14ac:dyDescent="0.25">
      <c r="A2435" s="65">
        <v>2434</v>
      </c>
      <c r="B2435" s="64">
        <v>28911907.682410464</v>
      </c>
    </row>
    <row r="2436" spans="1:2" x14ac:dyDescent="0.25">
      <c r="A2436" s="65">
        <v>2435</v>
      </c>
      <c r="B2436" s="64">
        <v>28577218.82104186</v>
      </c>
    </row>
    <row r="2437" spans="1:2" x14ac:dyDescent="0.25">
      <c r="A2437" s="65">
        <v>2436</v>
      </c>
      <c r="B2437" s="64">
        <v>28956593.760590829</v>
      </c>
    </row>
    <row r="2438" spans="1:2" x14ac:dyDescent="0.25">
      <c r="A2438" s="65">
        <v>2437</v>
      </c>
      <c r="B2438" s="64">
        <v>29028788.211742453</v>
      </c>
    </row>
    <row r="2439" spans="1:2" x14ac:dyDescent="0.25">
      <c r="A2439" s="65">
        <v>2438</v>
      </c>
      <c r="B2439" s="64">
        <v>28940809.826728124</v>
      </c>
    </row>
    <row r="2440" spans="1:2" x14ac:dyDescent="0.25">
      <c r="A2440" s="65">
        <v>2439</v>
      </c>
      <c r="B2440" s="64">
        <v>28850093.116206162</v>
      </c>
    </row>
    <row r="2441" spans="1:2" x14ac:dyDescent="0.25">
      <c r="A2441" s="65">
        <v>2440</v>
      </c>
      <c r="B2441" s="64">
        <v>28537016.128666289</v>
      </c>
    </row>
    <row r="2442" spans="1:2" x14ac:dyDescent="0.25">
      <c r="A2442" s="65">
        <v>2441</v>
      </c>
      <c r="B2442" s="64">
        <v>29313263.851437077</v>
      </c>
    </row>
    <row r="2443" spans="1:2" x14ac:dyDescent="0.25">
      <c r="A2443" s="65">
        <v>2442</v>
      </c>
      <c r="B2443" s="64">
        <v>28921085.861755595</v>
      </c>
    </row>
    <row r="2444" spans="1:2" x14ac:dyDescent="0.25">
      <c r="A2444" s="65">
        <v>2443</v>
      </c>
      <c r="B2444" s="64">
        <v>28573399.029847931</v>
      </c>
    </row>
    <row r="2445" spans="1:2" x14ac:dyDescent="0.25">
      <c r="A2445" s="65">
        <v>2444</v>
      </c>
      <c r="B2445" s="64">
        <v>29165134.748990409</v>
      </c>
    </row>
    <row r="2446" spans="1:2" x14ac:dyDescent="0.25">
      <c r="A2446" s="65">
        <v>2445</v>
      </c>
      <c r="B2446" s="64">
        <v>28958347.715536863</v>
      </c>
    </row>
    <row r="2447" spans="1:2" x14ac:dyDescent="0.25">
      <c r="A2447" s="65">
        <v>2446</v>
      </c>
      <c r="B2447" s="64">
        <v>29086907.961012591</v>
      </c>
    </row>
    <row r="2448" spans="1:2" x14ac:dyDescent="0.25">
      <c r="A2448" s="65">
        <v>2447</v>
      </c>
      <c r="B2448" s="64">
        <v>28839110.962194439</v>
      </c>
    </row>
    <row r="2449" spans="1:2" x14ac:dyDescent="0.25">
      <c r="A2449" s="65">
        <v>2448</v>
      </c>
      <c r="B2449" s="64">
        <v>29080446.330139983</v>
      </c>
    </row>
    <row r="2450" spans="1:2" x14ac:dyDescent="0.25">
      <c r="A2450" s="65">
        <v>2449</v>
      </c>
      <c r="B2450" s="64">
        <v>29825427.922162149</v>
      </c>
    </row>
    <row r="2451" spans="1:2" x14ac:dyDescent="0.25">
      <c r="A2451" s="65">
        <v>2450</v>
      </c>
      <c r="B2451" s="64">
        <v>30146908.024310596</v>
      </c>
    </row>
    <row r="2452" spans="1:2" x14ac:dyDescent="0.25">
      <c r="A2452" s="65">
        <v>2451</v>
      </c>
      <c r="B2452" s="64">
        <v>33861535.371186256</v>
      </c>
    </row>
    <row r="2453" spans="1:2" x14ac:dyDescent="0.25">
      <c r="A2453" s="65">
        <v>2452</v>
      </c>
      <c r="B2453" s="64">
        <v>28608495.521750879</v>
      </c>
    </row>
    <row r="2454" spans="1:2" x14ac:dyDescent="0.25">
      <c r="A2454" s="65">
        <v>2453</v>
      </c>
      <c r="B2454" s="64">
        <v>28841226.858532328</v>
      </c>
    </row>
    <row r="2455" spans="1:2" x14ac:dyDescent="0.25">
      <c r="A2455" s="65">
        <v>2454</v>
      </c>
      <c r="B2455" s="64">
        <v>28547309.304733984</v>
      </c>
    </row>
    <row r="2456" spans="1:2" x14ac:dyDescent="0.25">
      <c r="A2456" s="65">
        <v>2455</v>
      </c>
      <c r="B2456" s="64">
        <v>28601796.44726846</v>
      </c>
    </row>
    <row r="2457" spans="1:2" x14ac:dyDescent="0.25">
      <c r="A2457" s="65">
        <v>2456</v>
      </c>
      <c r="B2457" s="64">
        <v>28650712.072428461</v>
      </c>
    </row>
    <row r="2458" spans="1:2" x14ac:dyDescent="0.25">
      <c r="A2458" s="65">
        <v>2457</v>
      </c>
      <c r="B2458" s="64">
        <v>28606366.419337716</v>
      </c>
    </row>
    <row r="2459" spans="1:2" x14ac:dyDescent="0.25">
      <c r="A2459" s="65">
        <v>2458</v>
      </c>
      <c r="B2459" s="64">
        <v>28627492.241807375</v>
      </c>
    </row>
    <row r="2460" spans="1:2" x14ac:dyDescent="0.25">
      <c r="A2460" s="65">
        <v>2459</v>
      </c>
      <c r="B2460" s="64">
        <v>28775331.638717044</v>
      </c>
    </row>
    <row r="2461" spans="1:2" x14ac:dyDescent="0.25">
      <c r="A2461" s="65">
        <v>2460</v>
      </c>
      <c r="B2461" s="64">
        <v>29539964.048220001</v>
      </c>
    </row>
    <row r="2462" spans="1:2" x14ac:dyDescent="0.25">
      <c r="A2462" s="65">
        <v>2461</v>
      </c>
      <c r="B2462" s="64">
        <v>30399432.495156817</v>
      </c>
    </row>
    <row r="2463" spans="1:2" x14ac:dyDescent="0.25">
      <c r="A2463" s="65">
        <v>2462</v>
      </c>
      <c r="B2463" s="64">
        <v>29932485.341375493</v>
      </c>
    </row>
    <row r="2464" spans="1:2" x14ac:dyDescent="0.25">
      <c r="A2464" s="65">
        <v>2463</v>
      </c>
      <c r="B2464" s="64">
        <v>29205586.152771723</v>
      </c>
    </row>
    <row r="2465" spans="1:2" x14ac:dyDescent="0.25">
      <c r="A2465" s="65">
        <v>2464</v>
      </c>
      <c r="B2465" s="64">
        <v>29102557.661889192</v>
      </c>
    </row>
    <row r="2466" spans="1:2" x14ac:dyDescent="0.25">
      <c r="A2466" s="65">
        <v>2465</v>
      </c>
      <c r="B2466" s="64">
        <v>28950248.108854324</v>
      </c>
    </row>
    <row r="2467" spans="1:2" x14ac:dyDescent="0.25">
      <c r="A2467" s="65">
        <v>2466</v>
      </c>
      <c r="B2467" s="64">
        <v>28905687.65386891</v>
      </c>
    </row>
    <row r="2468" spans="1:2" x14ac:dyDescent="0.25">
      <c r="A2468" s="65">
        <v>2467</v>
      </c>
      <c r="B2468" s="64">
        <v>29685852.668987729</v>
      </c>
    </row>
    <row r="2469" spans="1:2" x14ac:dyDescent="0.25">
      <c r="A2469" s="65">
        <v>2468</v>
      </c>
      <c r="B2469" s="64">
        <v>28829905.463062532</v>
      </c>
    </row>
    <row r="2470" spans="1:2" x14ac:dyDescent="0.25">
      <c r="A2470" s="65">
        <v>2469</v>
      </c>
      <c r="B2470" s="64">
        <v>29318570.395230919</v>
      </c>
    </row>
    <row r="2471" spans="1:2" x14ac:dyDescent="0.25">
      <c r="A2471" s="65">
        <v>2470</v>
      </c>
      <c r="B2471" s="64">
        <v>30527291.168294631</v>
      </c>
    </row>
    <row r="2472" spans="1:2" x14ac:dyDescent="0.25">
      <c r="A2472" s="65">
        <v>2471</v>
      </c>
      <c r="B2472" s="64">
        <v>29102807.363315336</v>
      </c>
    </row>
    <row r="2473" spans="1:2" x14ac:dyDescent="0.25">
      <c r="A2473" s="65">
        <v>2472</v>
      </c>
      <c r="B2473" s="64">
        <v>30483426.981642257</v>
      </c>
    </row>
    <row r="2474" spans="1:2" x14ac:dyDescent="0.25">
      <c r="A2474" s="65">
        <v>2473</v>
      </c>
      <c r="B2474" s="64">
        <v>28694837.954140544</v>
      </c>
    </row>
    <row r="2475" spans="1:2" x14ac:dyDescent="0.25">
      <c r="A2475" s="65">
        <v>2474</v>
      </c>
      <c r="B2475" s="64">
        <v>28475330.908941165</v>
      </c>
    </row>
    <row r="2476" spans="1:2" x14ac:dyDescent="0.25">
      <c r="A2476" s="65">
        <v>2475</v>
      </c>
      <c r="B2476" s="64">
        <v>29860021.59187853</v>
      </c>
    </row>
    <row r="2477" spans="1:2" x14ac:dyDescent="0.25">
      <c r="A2477" s="65">
        <v>2476</v>
      </c>
      <c r="B2477" s="64">
        <v>28833878.746683948</v>
      </c>
    </row>
    <row r="2478" spans="1:2" x14ac:dyDescent="0.25">
      <c r="A2478" s="65">
        <v>2477</v>
      </c>
      <c r="B2478" s="64">
        <v>29174809.307684172</v>
      </c>
    </row>
    <row r="2479" spans="1:2" x14ac:dyDescent="0.25">
      <c r="A2479" s="65">
        <v>2478</v>
      </c>
      <c r="B2479" s="64">
        <v>30234827.579675928</v>
      </c>
    </row>
    <row r="2480" spans="1:2" x14ac:dyDescent="0.25">
      <c r="A2480" s="65">
        <v>2479</v>
      </c>
      <c r="B2480" s="64">
        <v>30624948.463439126</v>
      </c>
    </row>
    <row r="2481" spans="1:2" x14ac:dyDescent="0.25">
      <c r="A2481" s="65">
        <v>2480</v>
      </c>
      <c r="B2481" s="64">
        <v>28976212.736615762</v>
      </c>
    </row>
    <row r="2482" spans="1:2" x14ac:dyDescent="0.25">
      <c r="A2482" s="65">
        <v>2481</v>
      </c>
      <c r="B2482" s="64">
        <v>28416712.340316378</v>
      </c>
    </row>
    <row r="2483" spans="1:2" x14ac:dyDescent="0.25">
      <c r="A2483" s="65">
        <v>2482</v>
      </c>
      <c r="B2483" s="64">
        <v>31155772.438963942</v>
      </c>
    </row>
    <row r="2484" spans="1:2" x14ac:dyDescent="0.25">
      <c r="A2484" s="65">
        <v>2483</v>
      </c>
      <c r="B2484" s="64">
        <v>29411252.909913946</v>
      </c>
    </row>
    <row r="2485" spans="1:2" x14ac:dyDescent="0.25">
      <c r="A2485" s="65">
        <v>2484</v>
      </c>
      <c r="B2485" s="64">
        <v>28466735.805713624</v>
      </c>
    </row>
    <row r="2486" spans="1:2" x14ac:dyDescent="0.25">
      <c r="A2486" s="65">
        <v>2485</v>
      </c>
      <c r="B2486" s="64">
        <v>29914117.593604617</v>
      </c>
    </row>
    <row r="2487" spans="1:2" x14ac:dyDescent="0.25">
      <c r="A2487" s="65">
        <v>2486</v>
      </c>
      <c r="B2487" s="64">
        <v>28795853.075390682</v>
      </c>
    </row>
    <row r="2488" spans="1:2" x14ac:dyDescent="0.25">
      <c r="A2488" s="65">
        <v>2487</v>
      </c>
      <c r="B2488" s="64">
        <v>29714950.488439571</v>
      </c>
    </row>
    <row r="2489" spans="1:2" x14ac:dyDescent="0.25">
      <c r="A2489" s="65">
        <v>2488</v>
      </c>
      <c r="B2489" s="64">
        <v>29241232.37330991</v>
      </c>
    </row>
    <row r="2490" spans="1:2" x14ac:dyDescent="0.25">
      <c r="A2490" s="65">
        <v>2489</v>
      </c>
      <c r="B2490" s="64">
        <v>29453064.633402202</v>
      </c>
    </row>
    <row r="2491" spans="1:2" x14ac:dyDescent="0.25">
      <c r="A2491" s="65">
        <v>2490</v>
      </c>
      <c r="B2491" s="64">
        <v>30836064.813602962</v>
      </c>
    </row>
    <row r="2492" spans="1:2" x14ac:dyDescent="0.25">
      <c r="A2492" s="65">
        <v>2491</v>
      </c>
      <c r="B2492" s="64">
        <v>28796016.918210432</v>
      </c>
    </row>
    <row r="2493" spans="1:2" x14ac:dyDescent="0.25">
      <c r="A2493" s="65">
        <v>2492</v>
      </c>
      <c r="B2493" s="64">
        <v>28654690.857927643</v>
      </c>
    </row>
    <row r="2494" spans="1:2" x14ac:dyDescent="0.25">
      <c r="A2494" s="65">
        <v>2493</v>
      </c>
      <c r="B2494" s="64">
        <v>29651492.541908108</v>
      </c>
    </row>
    <row r="2495" spans="1:2" x14ac:dyDescent="0.25">
      <c r="A2495" s="65">
        <v>2494</v>
      </c>
      <c r="B2495" s="64">
        <v>29600728.615520094</v>
      </c>
    </row>
    <row r="2496" spans="1:2" x14ac:dyDescent="0.25">
      <c r="A2496" s="65">
        <v>2495</v>
      </c>
      <c r="B2496" s="64">
        <v>28576947.154591013</v>
      </c>
    </row>
    <row r="2497" spans="1:2" x14ac:dyDescent="0.25">
      <c r="A2497" s="65">
        <v>2496</v>
      </c>
      <c r="B2497" s="64">
        <v>29981002.310995687</v>
      </c>
    </row>
    <row r="2498" spans="1:2" x14ac:dyDescent="0.25">
      <c r="A2498" s="65">
        <v>2497</v>
      </c>
      <c r="B2498" s="64">
        <v>29567060.832664788</v>
      </c>
    </row>
    <row r="2499" spans="1:2" x14ac:dyDescent="0.25">
      <c r="A2499" s="65">
        <v>2498</v>
      </c>
      <c r="B2499" s="64">
        <v>29080896.349802654</v>
      </c>
    </row>
    <row r="2500" spans="1:2" x14ac:dyDescent="0.25">
      <c r="A2500" s="65">
        <v>2499</v>
      </c>
      <c r="B2500" s="64">
        <v>28829061.241861414</v>
      </c>
    </row>
    <row r="2501" spans="1:2" x14ac:dyDescent="0.25">
      <c r="A2501" s="65">
        <v>2500</v>
      </c>
      <c r="B2501" s="64">
        <v>29034449.279381286</v>
      </c>
    </row>
    <row r="2502" spans="1:2" x14ac:dyDescent="0.25">
      <c r="A2502" s="65">
        <v>2501</v>
      </c>
      <c r="B2502" s="64">
        <v>30173391.224486027</v>
      </c>
    </row>
    <row r="2503" spans="1:2" x14ac:dyDescent="0.25">
      <c r="A2503" s="65">
        <v>2502</v>
      </c>
      <c r="B2503" s="64">
        <v>30158290.077957213</v>
      </c>
    </row>
    <row r="2504" spans="1:2" x14ac:dyDescent="0.25">
      <c r="A2504" s="65">
        <v>2503</v>
      </c>
      <c r="B2504" s="64">
        <v>29850119.382021707</v>
      </c>
    </row>
    <row r="2505" spans="1:2" x14ac:dyDescent="0.25">
      <c r="A2505" s="65">
        <v>2504</v>
      </c>
      <c r="B2505" s="64">
        <v>29560262.009598158</v>
      </c>
    </row>
    <row r="2506" spans="1:2" x14ac:dyDescent="0.25">
      <c r="A2506" s="65">
        <v>2505</v>
      </c>
      <c r="B2506" s="64">
        <v>28848792.026852354</v>
      </c>
    </row>
    <row r="2507" spans="1:2" x14ac:dyDescent="0.25">
      <c r="A2507" s="65">
        <v>2506</v>
      </c>
      <c r="B2507" s="64">
        <v>31871367.552086376</v>
      </c>
    </row>
    <row r="2508" spans="1:2" x14ac:dyDescent="0.25">
      <c r="A2508" s="65">
        <v>2507</v>
      </c>
      <c r="B2508" s="64">
        <v>33420895.016308013</v>
      </c>
    </row>
    <row r="2509" spans="1:2" x14ac:dyDescent="0.25">
      <c r="A2509" s="65">
        <v>2508</v>
      </c>
      <c r="B2509" s="64">
        <v>28732181.542856023</v>
      </c>
    </row>
    <row r="2510" spans="1:2" x14ac:dyDescent="0.25">
      <c r="A2510" s="65">
        <v>2509</v>
      </c>
      <c r="B2510" s="64">
        <v>28951806.775672577</v>
      </c>
    </row>
    <row r="2511" spans="1:2" x14ac:dyDescent="0.25">
      <c r="A2511" s="65">
        <v>2510</v>
      </c>
      <c r="B2511" s="64">
        <v>29858197.517435331</v>
      </c>
    </row>
    <row r="2512" spans="1:2" x14ac:dyDescent="0.25">
      <c r="A2512" s="65">
        <v>2511</v>
      </c>
      <c r="B2512" s="64">
        <v>28766283.448583905</v>
      </c>
    </row>
    <row r="2513" spans="1:2" x14ac:dyDescent="0.25">
      <c r="A2513" s="65">
        <v>2512</v>
      </c>
      <c r="B2513" s="64">
        <v>30393740.815348778</v>
      </c>
    </row>
    <row r="2514" spans="1:2" x14ac:dyDescent="0.25">
      <c r="A2514" s="65">
        <v>2513</v>
      </c>
      <c r="B2514" s="64">
        <v>32693898.99011841</v>
      </c>
    </row>
    <row r="2515" spans="1:2" x14ac:dyDescent="0.25">
      <c r="A2515" s="65">
        <v>2514</v>
      </c>
      <c r="B2515" s="64">
        <v>28958802.205343157</v>
      </c>
    </row>
    <row r="2516" spans="1:2" x14ac:dyDescent="0.25">
      <c r="A2516" s="65">
        <v>2515</v>
      </c>
      <c r="B2516" s="64">
        <v>28347455.681485452</v>
      </c>
    </row>
    <row r="2517" spans="1:2" x14ac:dyDescent="0.25">
      <c r="A2517" s="65">
        <v>2516</v>
      </c>
      <c r="B2517" s="64">
        <v>29563402.058485411</v>
      </c>
    </row>
    <row r="2518" spans="1:2" x14ac:dyDescent="0.25">
      <c r="A2518" s="65">
        <v>2517</v>
      </c>
      <c r="B2518" s="64">
        <v>28528955.440830652</v>
      </c>
    </row>
    <row r="2519" spans="1:2" x14ac:dyDescent="0.25">
      <c r="A2519" s="65">
        <v>2518</v>
      </c>
      <c r="B2519" s="64">
        <v>28589369.439710014</v>
      </c>
    </row>
    <row r="2520" spans="1:2" x14ac:dyDescent="0.25">
      <c r="A2520" s="65">
        <v>2519</v>
      </c>
      <c r="B2520" s="64">
        <v>29264785.733650401</v>
      </c>
    </row>
    <row r="2521" spans="1:2" x14ac:dyDescent="0.25">
      <c r="A2521" s="65">
        <v>2520</v>
      </c>
      <c r="B2521" s="64">
        <v>29665594.248292647</v>
      </c>
    </row>
    <row r="2522" spans="1:2" x14ac:dyDescent="0.25">
      <c r="A2522" s="65">
        <v>2521</v>
      </c>
      <c r="B2522" s="64">
        <v>29473174.772287041</v>
      </c>
    </row>
    <row r="2523" spans="1:2" x14ac:dyDescent="0.25">
      <c r="A2523" s="65">
        <v>2522</v>
      </c>
      <c r="B2523" s="64">
        <v>28698521.899359278</v>
      </c>
    </row>
    <row r="2524" spans="1:2" x14ac:dyDescent="0.25">
      <c r="A2524" s="65">
        <v>2523</v>
      </c>
      <c r="B2524" s="64">
        <v>28344175.60210342</v>
      </c>
    </row>
    <row r="2525" spans="1:2" x14ac:dyDescent="0.25">
      <c r="A2525" s="65">
        <v>2524</v>
      </c>
      <c r="B2525" s="64">
        <v>28716660.076239523</v>
      </c>
    </row>
    <row r="2526" spans="1:2" x14ac:dyDescent="0.25">
      <c r="A2526" s="65">
        <v>2525</v>
      </c>
      <c r="B2526" s="64">
        <v>29888955.422946092</v>
      </c>
    </row>
    <row r="2527" spans="1:2" x14ac:dyDescent="0.25">
      <c r="A2527" s="65">
        <v>2526</v>
      </c>
      <c r="B2527" s="64">
        <v>29151436.489773747</v>
      </c>
    </row>
    <row r="2528" spans="1:2" x14ac:dyDescent="0.25">
      <c r="A2528" s="65">
        <v>2527</v>
      </c>
      <c r="B2528" s="64">
        <v>28822513.568286844</v>
      </c>
    </row>
    <row r="2529" spans="1:2" x14ac:dyDescent="0.25">
      <c r="A2529" s="65">
        <v>2528</v>
      </c>
      <c r="B2529" s="64">
        <v>28611754.563652184</v>
      </c>
    </row>
    <row r="2530" spans="1:2" x14ac:dyDescent="0.25">
      <c r="A2530" s="65">
        <v>2529</v>
      </c>
      <c r="B2530" s="64">
        <v>29961246.280145299</v>
      </c>
    </row>
    <row r="2531" spans="1:2" x14ac:dyDescent="0.25">
      <c r="A2531" s="65">
        <v>2530</v>
      </c>
      <c r="B2531" s="64">
        <v>29334508.582381591</v>
      </c>
    </row>
    <row r="2532" spans="1:2" x14ac:dyDescent="0.25">
      <c r="A2532" s="65">
        <v>2531</v>
      </c>
      <c r="B2532" s="64">
        <v>33375990.884941477</v>
      </c>
    </row>
    <row r="2533" spans="1:2" x14ac:dyDescent="0.25">
      <c r="A2533" s="65">
        <v>2532</v>
      </c>
      <c r="B2533" s="64">
        <v>30468953.533470839</v>
      </c>
    </row>
    <row r="2534" spans="1:2" x14ac:dyDescent="0.25">
      <c r="A2534" s="65">
        <v>2533</v>
      </c>
      <c r="B2534" s="64">
        <v>29382200.562160384</v>
      </c>
    </row>
    <row r="2535" spans="1:2" x14ac:dyDescent="0.25">
      <c r="A2535" s="65">
        <v>2534</v>
      </c>
      <c r="B2535" s="64">
        <v>29308780.513781082</v>
      </c>
    </row>
    <row r="2536" spans="1:2" x14ac:dyDescent="0.25">
      <c r="A2536" s="65">
        <v>2535</v>
      </c>
      <c r="B2536" s="64">
        <v>29395413.327923961</v>
      </c>
    </row>
    <row r="2537" spans="1:2" x14ac:dyDescent="0.25">
      <c r="A2537" s="65">
        <v>2536</v>
      </c>
      <c r="B2537" s="64">
        <v>28361991.267415356</v>
      </c>
    </row>
    <row r="2538" spans="1:2" x14ac:dyDescent="0.25">
      <c r="A2538" s="65">
        <v>2537</v>
      </c>
      <c r="B2538" s="64">
        <v>30075152.475012608</v>
      </c>
    </row>
    <row r="2539" spans="1:2" x14ac:dyDescent="0.25">
      <c r="A2539" s="65">
        <v>2538</v>
      </c>
      <c r="B2539" s="64">
        <v>28884504.668315396</v>
      </c>
    </row>
    <row r="2540" spans="1:2" x14ac:dyDescent="0.25">
      <c r="A2540" s="65">
        <v>2539</v>
      </c>
      <c r="B2540" s="64">
        <v>30565391.360821046</v>
      </c>
    </row>
    <row r="2541" spans="1:2" x14ac:dyDescent="0.25">
      <c r="A2541" s="65">
        <v>2540</v>
      </c>
      <c r="B2541" s="64">
        <v>29001806.380263489</v>
      </c>
    </row>
    <row r="2542" spans="1:2" x14ac:dyDescent="0.25">
      <c r="A2542" s="65">
        <v>2541</v>
      </c>
      <c r="B2542" s="64">
        <v>29155251.263877757</v>
      </c>
    </row>
    <row r="2543" spans="1:2" x14ac:dyDescent="0.25">
      <c r="A2543" s="65">
        <v>2542</v>
      </c>
      <c r="B2543" s="64">
        <v>29561780.668497521</v>
      </c>
    </row>
    <row r="2544" spans="1:2" x14ac:dyDescent="0.25">
      <c r="A2544" s="65">
        <v>2543</v>
      </c>
      <c r="B2544" s="64">
        <v>29644723.604483001</v>
      </c>
    </row>
    <row r="2545" spans="1:2" x14ac:dyDescent="0.25">
      <c r="A2545" s="65">
        <v>2544</v>
      </c>
      <c r="B2545" s="64">
        <v>29373534.764336787</v>
      </c>
    </row>
    <row r="2546" spans="1:2" x14ac:dyDescent="0.25">
      <c r="A2546" s="65">
        <v>2545</v>
      </c>
      <c r="B2546" s="64">
        <v>29704472.039966196</v>
      </c>
    </row>
    <row r="2547" spans="1:2" x14ac:dyDescent="0.25">
      <c r="A2547" s="65">
        <v>2546</v>
      </c>
      <c r="B2547" s="64">
        <v>28608019.33358907</v>
      </c>
    </row>
    <row r="2548" spans="1:2" x14ac:dyDescent="0.25">
      <c r="A2548" s="65">
        <v>2547</v>
      </c>
      <c r="B2548" s="64">
        <v>29097596.197455235</v>
      </c>
    </row>
    <row r="2549" spans="1:2" x14ac:dyDescent="0.25">
      <c r="A2549" s="65">
        <v>2548</v>
      </c>
      <c r="B2549" s="64">
        <v>28797078.474414088</v>
      </c>
    </row>
    <row r="2550" spans="1:2" x14ac:dyDescent="0.25">
      <c r="A2550" s="65">
        <v>2549</v>
      </c>
      <c r="B2550" s="64">
        <v>29492364.863381915</v>
      </c>
    </row>
    <row r="2551" spans="1:2" x14ac:dyDescent="0.25">
      <c r="A2551" s="65">
        <v>2550</v>
      </c>
      <c r="B2551" s="64">
        <v>28359969.339877583</v>
      </c>
    </row>
    <row r="2552" spans="1:2" x14ac:dyDescent="0.25">
      <c r="A2552" s="65">
        <v>2551</v>
      </c>
      <c r="B2552" s="64">
        <v>29387953.792266313</v>
      </c>
    </row>
    <row r="2553" spans="1:2" x14ac:dyDescent="0.25">
      <c r="A2553" s="65">
        <v>2552</v>
      </c>
      <c r="B2553" s="64">
        <v>29299536.99470941</v>
      </c>
    </row>
    <row r="2554" spans="1:2" x14ac:dyDescent="0.25">
      <c r="A2554" s="65">
        <v>2553</v>
      </c>
      <c r="B2554" s="64">
        <v>28321261.192128643</v>
      </c>
    </row>
    <row r="2555" spans="1:2" x14ac:dyDescent="0.25">
      <c r="A2555" s="65">
        <v>2554</v>
      </c>
      <c r="B2555" s="64">
        <v>28990298.486596126</v>
      </c>
    </row>
    <row r="2556" spans="1:2" x14ac:dyDescent="0.25">
      <c r="A2556" s="65">
        <v>2555</v>
      </c>
      <c r="B2556" s="64">
        <v>31536076.207702123</v>
      </c>
    </row>
    <row r="2557" spans="1:2" x14ac:dyDescent="0.25">
      <c r="A2557" s="65">
        <v>2556</v>
      </c>
      <c r="B2557" s="64">
        <v>28883084.646015782</v>
      </c>
    </row>
    <row r="2558" spans="1:2" x14ac:dyDescent="0.25">
      <c r="A2558" s="65">
        <v>2557</v>
      </c>
      <c r="B2558" s="64">
        <v>29111363.108422417</v>
      </c>
    </row>
    <row r="2559" spans="1:2" x14ac:dyDescent="0.25">
      <c r="A2559" s="65">
        <v>2558</v>
      </c>
      <c r="B2559" s="64">
        <v>29159678.734077416</v>
      </c>
    </row>
    <row r="2560" spans="1:2" x14ac:dyDescent="0.25">
      <c r="A2560" s="65">
        <v>2559</v>
      </c>
      <c r="B2560" s="64">
        <v>29273670.321265735</v>
      </c>
    </row>
    <row r="2561" spans="1:2" x14ac:dyDescent="0.25">
      <c r="A2561" s="65">
        <v>2560</v>
      </c>
      <c r="B2561" s="64">
        <v>29353078.760562252</v>
      </c>
    </row>
    <row r="2562" spans="1:2" x14ac:dyDescent="0.25">
      <c r="A2562" s="65">
        <v>2561</v>
      </c>
      <c r="B2562" s="64">
        <v>28699598.589638066</v>
      </c>
    </row>
    <row r="2563" spans="1:2" x14ac:dyDescent="0.25">
      <c r="A2563" s="65">
        <v>2562</v>
      </c>
      <c r="B2563" s="64">
        <v>28843435.617791452</v>
      </c>
    </row>
    <row r="2564" spans="1:2" x14ac:dyDescent="0.25">
      <c r="A2564" s="65">
        <v>2563</v>
      </c>
      <c r="B2564" s="64">
        <v>28670229.733907022</v>
      </c>
    </row>
    <row r="2565" spans="1:2" x14ac:dyDescent="0.25">
      <c r="A2565" s="65">
        <v>2564</v>
      </c>
      <c r="B2565" s="64">
        <v>28712441.511651315</v>
      </c>
    </row>
    <row r="2566" spans="1:2" x14ac:dyDescent="0.25">
      <c r="A2566" s="65">
        <v>2565</v>
      </c>
      <c r="B2566" s="64">
        <v>29505816.019941211</v>
      </c>
    </row>
    <row r="2567" spans="1:2" x14ac:dyDescent="0.25">
      <c r="A2567" s="65">
        <v>2566</v>
      </c>
      <c r="B2567" s="64">
        <v>29178553.446043633</v>
      </c>
    </row>
    <row r="2568" spans="1:2" x14ac:dyDescent="0.25">
      <c r="A2568" s="65">
        <v>2567</v>
      </c>
      <c r="B2568" s="64">
        <v>30361306.471398775</v>
      </c>
    </row>
    <row r="2569" spans="1:2" x14ac:dyDescent="0.25">
      <c r="A2569" s="65">
        <v>2568</v>
      </c>
      <c r="B2569" s="64">
        <v>28556931.887693711</v>
      </c>
    </row>
    <row r="2570" spans="1:2" x14ac:dyDescent="0.25">
      <c r="A2570" s="65">
        <v>2569</v>
      </c>
      <c r="B2570" s="64">
        <v>28709898.784986231</v>
      </c>
    </row>
    <row r="2571" spans="1:2" x14ac:dyDescent="0.25">
      <c r="A2571" s="65">
        <v>2570</v>
      </c>
      <c r="B2571" s="64">
        <v>28593449.642484784</v>
      </c>
    </row>
    <row r="2572" spans="1:2" x14ac:dyDescent="0.25">
      <c r="A2572" s="65">
        <v>2571</v>
      </c>
      <c r="B2572" s="64">
        <v>28756720.00966908</v>
      </c>
    </row>
    <row r="2573" spans="1:2" x14ac:dyDescent="0.25">
      <c r="A2573" s="65">
        <v>2572</v>
      </c>
      <c r="B2573" s="64">
        <v>28761874.720291134</v>
      </c>
    </row>
    <row r="2574" spans="1:2" x14ac:dyDescent="0.25">
      <c r="A2574" s="65">
        <v>2573</v>
      </c>
      <c r="B2574" s="64">
        <v>28711107.233391788</v>
      </c>
    </row>
    <row r="2575" spans="1:2" x14ac:dyDescent="0.25">
      <c r="A2575" s="65">
        <v>2574</v>
      </c>
      <c r="B2575" s="64">
        <v>29858012.689269368</v>
      </c>
    </row>
    <row r="2576" spans="1:2" x14ac:dyDescent="0.25">
      <c r="A2576" s="65">
        <v>2575</v>
      </c>
      <c r="B2576" s="64">
        <v>28690188.880204093</v>
      </c>
    </row>
    <row r="2577" spans="1:2" x14ac:dyDescent="0.25">
      <c r="A2577" s="65">
        <v>2576</v>
      </c>
      <c r="B2577" s="64">
        <v>28576495.756712142</v>
      </c>
    </row>
    <row r="2578" spans="1:2" x14ac:dyDescent="0.25">
      <c r="A2578" s="65">
        <v>2577</v>
      </c>
      <c r="B2578" s="64">
        <v>29908448.20135165</v>
      </c>
    </row>
    <row r="2579" spans="1:2" x14ac:dyDescent="0.25">
      <c r="A2579" s="65">
        <v>2578</v>
      </c>
      <c r="B2579" s="64">
        <v>30428431.925293293</v>
      </c>
    </row>
    <row r="2580" spans="1:2" x14ac:dyDescent="0.25">
      <c r="A2580" s="65">
        <v>2579</v>
      </c>
      <c r="B2580" s="64">
        <v>29587231.568968359</v>
      </c>
    </row>
    <row r="2581" spans="1:2" x14ac:dyDescent="0.25">
      <c r="A2581" s="65">
        <v>2580</v>
      </c>
      <c r="B2581" s="64">
        <v>28843565.735503767</v>
      </c>
    </row>
    <row r="2582" spans="1:2" x14ac:dyDescent="0.25">
      <c r="A2582" s="65">
        <v>2581</v>
      </c>
      <c r="B2582" s="64">
        <v>28656123.223355334</v>
      </c>
    </row>
    <row r="2583" spans="1:2" x14ac:dyDescent="0.25">
      <c r="A2583" s="65">
        <v>2582</v>
      </c>
      <c r="B2583" s="64">
        <v>28597815.691597465</v>
      </c>
    </row>
    <row r="2584" spans="1:2" x14ac:dyDescent="0.25">
      <c r="A2584" s="65">
        <v>2583</v>
      </c>
      <c r="B2584" s="64">
        <v>28927320.053034388</v>
      </c>
    </row>
    <row r="2585" spans="1:2" x14ac:dyDescent="0.25">
      <c r="A2585" s="65">
        <v>2584</v>
      </c>
      <c r="B2585" s="64">
        <v>29221144.494668894</v>
      </c>
    </row>
    <row r="2586" spans="1:2" x14ac:dyDescent="0.25">
      <c r="A2586" s="65">
        <v>2585</v>
      </c>
      <c r="B2586" s="64">
        <v>29254373.696637489</v>
      </c>
    </row>
    <row r="2587" spans="1:2" x14ac:dyDescent="0.25">
      <c r="A2587" s="65">
        <v>2586</v>
      </c>
      <c r="B2587" s="64">
        <v>30118487.618971046</v>
      </c>
    </row>
    <row r="2588" spans="1:2" x14ac:dyDescent="0.25">
      <c r="A2588" s="65">
        <v>2587</v>
      </c>
      <c r="B2588" s="64">
        <v>28791932.741150972</v>
      </c>
    </row>
    <row r="2589" spans="1:2" x14ac:dyDescent="0.25">
      <c r="A2589" s="65">
        <v>2588</v>
      </c>
      <c r="B2589" s="64">
        <v>28914704.158384938</v>
      </c>
    </row>
    <row r="2590" spans="1:2" x14ac:dyDescent="0.25">
      <c r="A2590" s="65">
        <v>2589</v>
      </c>
      <c r="B2590" s="64">
        <v>28455468.4222764</v>
      </c>
    </row>
    <row r="2591" spans="1:2" x14ac:dyDescent="0.25">
      <c r="A2591" s="65">
        <v>2590</v>
      </c>
      <c r="B2591" s="64">
        <v>29733877.94560089</v>
      </c>
    </row>
    <row r="2592" spans="1:2" x14ac:dyDescent="0.25">
      <c r="A2592" s="65">
        <v>2591</v>
      </c>
      <c r="B2592" s="64">
        <v>28999183.629727971</v>
      </c>
    </row>
    <row r="2593" spans="1:2" x14ac:dyDescent="0.25">
      <c r="A2593" s="65">
        <v>2592</v>
      </c>
      <c r="B2593" s="64">
        <v>29049071.284734115</v>
      </c>
    </row>
    <row r="2594" spans="1:2" x14ac:dyDescent="0.25">
      <c r="A2594" s="65">
        <v>2593</v>
      </c>
      <c r="B2594" s="64">
        <v>28885651.04416113</v>
      </c>
    </row>
    <row r="2595" spans="1:2" x14ac:dyDescent="0.25">
      <c r="A2595" s="65">
        <v>2594</v>
      </c>
      <c r="B2595" s="64">
        <v>30090998.087416127</v>
      </c>
    </row>
    <row r="2596" spans="1:2" x14ac:dyDescent="0.25">
      <c r="A2596" s="65">
        <v>2595</v>
      </c>
      <c r="B2596" s="64">
        <v>30290904.032489881</v>
      </c>
    </row>
    <row r="2597" spans="1:2" x14ac:dyDescent="0.25">
      <c r="A2597" s="65">
        <v>2596</v>
      </c>
      <c r="B2597" s="64">
        <v>29140616.210345104</v>
      </c>
    </row>
    <row r="2598" spans="1:2" x14ac:dyDescent="0.25">
      <c r="A2598" s="65">
        <v>2597</v>
      </c>
      <c r="B2598" s="64">
        <v>30068625.698514659</v>
      </c>
    </row>
    <row r="2599" spans="1:2" x14ac:dyDescent="0.25">
      <c r="A2599" s="65">
        <v>2598</v>
      </c>
      <c r="B2599" s="64">
        <v>29090219.140532393</v>
      </c>
    </row>
    <row r="2600" spans="1:2" x14ac:dyDescent="0.25">
      <c r="A2600" s="65">
        <v>2599</v>
      </c>
      <c r="B2600" s="64">
        <v>29287018.586530074</v>
      </c>
    </row>
    <row r="2601" spans="1:2" x14ac:dyDescent="0.25">
      <c r="A2601" s="65">
        <v>2600</v>
      </c>
      <c r="B2601" s="64">
        <v>28741383.239859037</v>
      </c>
    </row>
    <row r="2602" spans="1:2" x14ac:dyDescent="0.25">
      <c r="A2602" s="65">
        <v>2601</v>
      </c>
      <c r="B2602" s="64">
        <v>29598353.080615588</v>
      </c>
    </row>
    <row r="2603" spans="1:2" x14ac:dyDescent="0.25">
      <c r="A2603" s="65">
        <v>2602</v>
      </c>
      <c r="B2603" s="64">
        <v>28813937.312009975</v>
      </c>
    </row>
    <row r="2604" spans="1:2" x14ac:dyDescent="0.25">
      <c r="A2604" s="65">
        <v>2603</v>
      </c>
      <c r="B2604" s="64">
        <v>28994165.297592733</v>
      </c>
    </row>
    <row r="2605" spans="1:2" x14ac:dyDescent="0.25">
      <c r="A2605" s="65">
        <v>2604</v>
      </c>
      <c r="B2605" s="64">
        <v>28875427.991686098</v>
      </c>
    </row>
    <row r="2606" spans="1:2" x14ac:dyDescent="0.25">
      <c r="A2606" s="65">
        <v>2605</v>
      </c>
      <c r="B2606" s="64">
        <v>28451959.667664465</v>
      </c>
    </row>
    <row r="2607" spans="1:2" x14ac:dyDescent="0.25">
      <c r="A2607" s="65">
        <v>2606</v>
      </c>
      <c r="B2607" s="64">
        <v>28844836.273992732</v>
      </c>
    </row>
    <row r="2608" spans="1:2" x14ac:dyDescent="0.25">
      <c r="A2608" s="65">
        <v>2607</v>
      </c>
      <c r="B2608" s="64">
        <v>28689731.826820448</v>
      </c>
    </row>
    <row r="2609" spans="1:2" x14ac:dyDescent="0.25">
      <c r="A2609" s="65">
        <v>2608</v>
      </c>
      <c r="B2609" s="64">
        <v>28905613.502721783</v>
      </c>
    </row>
    <row r="2610" spans="1:2" x14ac:dyDescent="0.25">
      <c r="A2610" s="65">
        <v>2609</v>
      </c>
      <c r="B2610" s="64">
        <v>28763210.30772173</v>
      </c>
    </row>
    <row r="2611" spans="1:2" x14ac:dyDescent="0.25">
      <c r="A2611" s="65">
        <v>2610</v>
      </c>
      <c r="B2611" s="64">
        <v>29468676.118854549</v>
      </c>
    </row>
    <row r="2612" spans="1:2" x14ac:dyDescent="0.25">
      <c r="A2612" s="65">
        <v>2611</v>
      </c>
      <c r="B2612" s="64">
        <v>29042328.86573372</v>
      </c>
    </row>
    <row r="2613" spans="1:2" x14ac:dyDescent="0.25">
      <c r="A2613" s="65">
        <v>2612</v>
      </c>
      <c r="B2613" s="64">
        <v>29083219.301279683</v>
      </c>
    </row>
    <row r="2614" spans="1:2" x14ac:dyDescent="0.25">
      <c r="A2614" s="65">
        <v>2613</v>
      </c>
      <c r="B2614" s="64">
        <v>28570721.20878676</v>
      </c>
    </row>
    <row r="2615" spans="1:2" x14ac:dyDescent="0.25">
      <c r="A2615" s="65">
        <v>2614</v>
      </c>
      <c r="B2615" s="64">
        <v>28391809.321621452</v>
      </c>
    </row>
    <row r="2616" spans="1:2" x14ac:dyDescent="0.25">
      <c r="A2616" s="65">
        <v>2615</v>
      </c>
      <c r="B2616" s="64">
        <v>29112196.042823482</v>
      </c>
    </row>
    <row r="2617" spans="1:2" x14ac:dyDescent="0.25">
      <c r="A2617" s="65">
        <v>2616</v>
      </c>
      <c r="B2617" s="64">
        <v>29304285.390916023</v>
      </c>
    </row>
    <row r="2618" spans="1:2" x14ac:dyDescent="0.25">
      <c r="A2618" s="65">
        <v>2617</v>
      </c>
      <c r="B2618" s="64">
        <v>29553480.053631335</v>
      </c>
    </row>
    <row r="2619" spans="1:2" x14ac:dyDescent="0.25">
      <c r="A2619" s="65">
        <v>2618</v>
      </c>
      <c r="B2619" s="64">
        <v>29263200.55077875</v>
      </c>
    </row>
    <row r="2620" spans="1:2" x14ac:dyDescent="0.25">
      <c r="A2620" s="65">
        <v>2619</v>
      </c>
      <c r="B2620" s="64">
        <v>28849063.28453438</v>
      </c>
    </row>
    <row r="2621" spans="1:2" x14ac:dyDescent="0.25">
      <c r="A2621" s="65">
        <v>2620</v>
      </c>
      <c r="B2621" s="64">
        <v>29017954.911436476</v>
      </c>
    </row>
    <row r="2622" spans="1:2" x14ac:dyDescent="0.25">
      <c r="A2622" s="65">
        <v>2621</v>
      </c>
      <c r="B2622" s="64">
        <v>28726195.119645637</v>
      </c>
    </row>
    <row r="2623" spans="1:2" x14ac:dyDescent="0.25">
      <c r="A2623" s="65">
        <v>2622</v>
      </c>
      <c r="B2623" s="64">
        <v>34116270.031216003</v>
      </c>
    </row>
    <row r="2624" spans="1:2" x14ac:dyDescent="0.25">
      <c r="A2624" s="65">
        <v>2623</v>
      </c>
      <c r="B2624" s="64">
        <v>30954393.798664257</v>
      </c>
    </row>
    <row r="2625" spans="1:2" x14ac:dyDescent="0.25">
      <c r="A2625" s="65">
        <v>2624</v>
      </c>
      <c r="B2625" s="64">
        <v>29382453.733866144</v>
      </c>
    </row>
    <row r="2626" spans="1:2" x14ac:dyDescent="0.25">
      <c r="A2626" s="65">
        <v>2625</v>
      </c>
      <c r="B2626" s="64">
        <v>28911678.601765607</v>
      </c>
    </row>
    <row r="2627" spans="1:2" x14ac:dyDescent="0.25">
      <c r="A2627" s="65">
        <v>2626</v>
      </c>
      <c r="B2627" s="64">
        <v>29885780.841153037</v>
      </c>
    </row>
    <row r="2628" spans="1:2" x14ac:dyDescent="0.25">
      <c r="A2628" s="65">
        <v>2627</v>
      </c>
      <c r="B2628" s="64">
        <v>33288178.645339206</v>
      </c>
    </row>
    <row r="2629" spans="1:2" x14ac:dyDescent="0.25">
      <c r="A2629" s="65">
        <v>2628</v>
      </c>
      <c r="B2629" s="64">
        <v>28489318.432051137</v>
      </c>
    </row>
    <row r="2630" spans="1:2" x14ac:dyDescent="0.25">
      <c r="A2630" s="65">
        <v>2629</v>
      </c>
      <c r="B2630" s="64">
        <v>29112956.977448042</v>
      </c>
    </row>
    <row r="2631" spans="1:2" x14ac:dyDescent="0.25">
      <c r="A2631" s="65">
        <v>2630</v>
      </c>
      <c r="B2631" s="64">
        <v>29668722.501619101</v>
      </c>
    </row>
    <row r="2632" spans="1:2" x14ac:dyDescent="0.25">
      <c r="A2632" s="65">
        <v>2631</v>
      </c>
      <c r="B2632" s="64">
        <v>28712125.012685437</v>
      </c>
    </row>
    <row r="2633" spans="1:2" x14ac:dyDescent="0.25">
      <c r="A2633" s="65">
        <v>2632</v>
      </c>
      <c r="B2633" s="64">
        <v>28893990.117062766</v>
      </c>
    </row>
    <row r="2634" spans="1:2" x14ac:dyDescent="0.25">
      <c r="A2634" s="65">
        <v>2633</v>
      </c>
      <c r="B2634" s="64">
        <v>29596811.70095484</v>
      </c>
    </row>
    <row r="2635" spans="1:2" x14ac:dyDescent="0.25">
      <c r="A2635" s="65">
        <v>2634</v>
      </c>
      <c r="B2635" s="64">
        <v>28550536.351039853</v>
      </c>
    </row>
    <row r="2636" spans="1:2" x14ac:dyDescent="0.25">
      <c r="A2636" s="65">
        <v>2635</v>
      </c>
      <c r="B2636" s="64">
        <v>28642739.034281883</v>
      </c>
    </row>
    <row r="2637" spans="1:2" x14ac:dyDescent="0.25">
      <c r="A2637" s="65">
        <v>2636</v>
      </c>
      <c r="B2637" s="64">
        <v>34165807.533948995</v>
      </c>
    </row>
    <row r="2638" spans="1:2" x14ac:dyDescent="0.25">
      <c r="A2638" s="65">
        <v>2637</v>
      </c>
      <c r="B2638" s="64">
        <v>29026602.979873035</v>
      </c>
    </row>
    <row r="2639" spans="1:2" x14ac:dyDescent="0.25">
      <c r="A2639" s="65">
        <v>2638</v>
      </c>
      <c r="B2639" s="64">
        <v>29944384.505942944</v>
      </c>
    </row>
    <row r="2640" spans="1:2" x14ac:dyDescent="0.25">
      <c r="A2640" s="65">
        <v>2639</v>
      </c>
      <c r="B2640" s="64">
        <v>29213537.787648406</v>
      </c>
    </row>
    <row r="2641" spans="1:2" x14ac:dyDescent="0.25">
      <c r="A2641" s="65">
        <v>2640</v>
      </c>
      <c r="B2641" s="64">
        <v>29590542.042195782</v>
      </c>
    </row>
    <row r="2642" spans="1:2" x14ac:dyDescent="0.25">
      <c r="A2642" s="65">
        <v>2641</v>
      </c>
      <c r="B2642" s="64">
        <v>29494438.721780814</v>
      </c>
    </row>
    <row r="2643" spans="1:2" x14ac:dyDescent="0.25">
      <c r="A2643" s="65">
        <v>2642</v>
      </c>
      <c r="B2643" s="64">
        <v>30104993.590055935</v>
      </c>
    </row>
    <row r="2644" spans="1:2" x14ac:dyDescent="0.25">
      <c r="A2644" s="65">
        <v>2643</v>
      </c>
      <c r="B2644" s="64">
        <v>29607418.729851704</v>
      </c>
    </row>
    <row r="2645" spans="1:2" x14ac:dyDescent="0.25">
      <c r="A2645" s="65">
        <v>2644</v>
      </c>
      <c r="B2645" s="64">
        <v>28542162.89404092</v>
      </c>
    </row>
    <row r="2646" spans="1:2" x14ac:dyDescent="0.25">
      <c r="A2646" s="65">
        <v>2645</v>
      </c>
      <c r="B2646" s="64">
        <v>29600861.37218108</v>
      </c>
    </row>
    <row r="2647" spans="1:2" x14ac:dyDescent="0.25">
      <c r="A2647" s="65">
        <v>2646</v>
      </c>
      <c r="B2647" s="64">
        <v>29648222.38596978</v>
      </c>
    </row>
    <row r="2648" spans="1:2" x14ac:dyDescent="0.25">
      <c r="A2648" s="65">
        <v>2647</v>
      </c>
      <c r="B2648" s="64">
        <v>29097188.381915972</v>
      </c>
    </row>
    <row r="2649" spans="1:2" x14ac:dyDescent="0.25">
      <c r="A2649" s="65">
        <v>2648</v>
      </c>
      <c r="B2649" s="64">
        <v>29071660.66500346</v>
      </c>
    </row>
    <row r="2650" spans="1:2" x14ac:dyDescent="0.25">
      <c r="A2650" s="65">
        <v>2649</v>
      </c>
      <c r="B2650" s="64">
        <v>28882957.243298646</v>
      </c>
    </row>
    <row r="2651" spans="1:2" x14ac:dyDescent="0.25">
      <c r="A2651" s="65">
        <v>2650</v>
      </c>
      <c r="B2651" s="64">
        <v>29061530.062885251</v>
      </c>
    </row>
    <row r="2652" spans="1:2" x14ac:dyDescent="0.25">
      <c r="A2652" s="65">
        <v>2651</v>
      </c>
      <c r="B2652" s="64">
        <v>28795904.588544928</v>
      </c>
    </row>
    <row r="2653" spans="1:2" x14ac:dyDescent="0.25">
      <c r="A2653" s="65">
        <v>2652</v>
      </c>
      <c r="B2653" s="64">
        <v>29289958.166351207</v>
      </c>
    </row>
    <row r="2654" spans="1:2" x14ac:dyDescent="0.25">
      <c r="A2654" s="65">
        <v>2653</v>
      </c>
      <c r="B2654" s="64">
        <v>34021044.757820845</v>
      </c>
    </row>
    <row r="2655" spans="1:2" x14ac:dyDescent="0.25">
      <c r="A2655" s="65">
        <v>2654</v>
      </c>
      <c r="B2655" s="64">
        <v>29850621.304496937</v>
      </c>
    </row>
    <row r="2656" spans="1:2" x14ac:dyDescent="0.25">
      <c r="A2656" s="65">
        <v>2655</v>
      </c>
      <c r="B2656" s="64">
        <v>30235827.551438354</v>
      </c>
    </row>
    <row r="2657" spans="1:2" x14ac:dyDescent="0.25">
      <c r="A2657" s="65">
        <v>2656</v>
      </c>
      <c r="B2657" s="64">
        <v>28857407.538102716</v>
      </c>
    </row>
    <row r="2658" spans="1:2" x14ac:dyDescent="0.25">
      <c r="A2658" s="65">
        <v>2657</v>
      </c>
      <c r="B2658" s="64">
        <v>29867673.640603855</v>
      </c>
    </row>
    <row r="2659" spans="1:2" x14ac:dyDescent="0.25">
      <c r="A2659" s="65">
        <v>2658</v>
      </c>
      <c r="B2659" s="64">
        <v>30967110.153966442</v>
      </c>
    </row>
    <row r="2660" spans="1:2" x14ac:dyDescent="0.25">
      <c r="A2660" s="65">
        <v>2659</v>
      </c>
      <c r="B2660" s="64">
        <v>28897091.352281246</v>
      </c>
    </row>
    <row r="2661" spans="1:2" x14ac:dyDescent="0.25">
      <c r="A2661" s="65">
        <v>2660</v>
      </c>
      <c r="B2661" s="64">
        <v>29234871.775556032</v>
      </c>
    </row>
    <row r="2662" spans="1:2" x14ac:dyDescent="0.25">
      <c r="A2662" s="65">
        <v>2661</v>
      </c>
      <c r="B2662" s="64">
        <v>28553654.918261122</v>
      </c>
    </row>
    <row r="2663" spans="1:2" x14ac:dyDescent="0.25">
      <c r="A2663" s="65">
        <v>2662</v>
      </c>
      <c r="B2663" s="64">
        <v>33015425.385904189</v>
      </c>
    </row>
    <row r="2664" spans="1:2" x14ac:dyDescent="0.25">
      <c r="A2664" s="65">
        <v>2663</v>
      </c>
      <c r="B2664" s="64">
        <v>29128339.723567486</v>
      </c>
    </row>
    <row r="2665" spans="1:2" x14ac:dyDescent="0.25">
      <c r="A2665" s="65">
        <v>2664</v>
      </c>
      <c r="B2665" s="64">
        <v>30226981.609072376</v>
      </c>
    </row>
    <row r="2666" spans="1:2" x14ac:dyDescent="0.25">
      <c r="A2666" s="65">
        <v>2665</v>
      </c>
      <c r="B2666" s="64">
        <v>28659891.410587948</v>
      </c>
    </row>
    <row r="2667" spans="1:2" x14ac:dyDescent="0.25">
      <c r="A2667" s="65">
        <v>2666</v>
      </c>
      <c r="B2667" s="64">
        <v>29653443.898701172</v>
      </c>
    </row>
    <row r="2668" spans="1:2" x14ac:dyDescent="0.25">
      <c r="A2668" s="65">
        <v>2667</v>
      </c>
      <c r="B2668" s="64">
        <v>30802672.767693415</v>
      </c>
    </row>
    <row r="2669" spans="1:2" x14ac:dyDescent="0.25">
      <c r="A2669" s="65">
        <v>2668</v>
      </c>
      <c r="B2669" s="64">
        <v>29397497.144293766</v>
      </c>
    </row>
    <row r="2670" spans="1:2" x14ac:dyDescent="0.25">
      <c r="A2670" s="65">
        <v>2669</v>
      </c>
      <c r="B2670" s="64">
        <v>29070871.220166523</v>
      </c>
    </row>
    <row r="2671" spans="1:2" x14ac:dyDescent="0.25">
      <c r="A2671" s="65">
        <v>2670</v>
      </c>
      <c r="B2671" s="64">
        <v>29263979.325452149</v>
      </c>
    </row>
    <row r="2672" spans="1:2" x14ac:dyDescent="0.25">
      <c r="A2672" s="65">
        <v>2671</v>
      </c>
      <c r="B2672" s="64">
        <v>33062252.428857274</v>
      </c>
    </row>
    <row r="2673" spans="1:2" x14ac:dyDescent="0.25">
      <c r="A2673" s="65">
        <v>2672</v>
      </c>
      <c r="B2673" s="64">
        <v>28786727.570451226</v>
      </c>
    </row>
    <row r="2674" spans="1:2" x14ac:dyDescent="0.25">
      <c r="A2674" s="65">
        <v>2673</v>
      </c>
      <c r="B2674" s="64">
        <v>32423353.948637813</v>
      </c>
    </row>
    <row r="2675" spans="1:2" x14ac:dyDescent="0.25">
      <c r="A2675" s="65">
        <v>2674</v>
      </c>
      <c r="B2675" s="64">
        <v>29576060.731028613</v>
      </c>
    </row>
    <row r="2676" spans="1:2" x14ac:dyDescent="0.25">
      <c r="A2676" s="65">
        <v>2675</v>
      </c>
      <c r="B2676" s="64">
        <v>32592365.153755825</v>
      </c>
    </row>
    <row r="2677" spans="1:2" x14ac:dyDescent="0.25">
      <c r="A2677" s="65">
        <v>2676</v>
      </c>
      <c r="B2677" s="64">
        <v>28702830.463931512</v>
      </c>
    </row>
    <row r="2678" spans="1:2" x14ac:dyDescent="0.25">
      <c r="A2678" s="65">
        <v>2677</v>
      </c>
      <c r="B2678" s="64">
        <v>32089048.612984307</v>
      </c>
    </row>
    <row r="2679" spans="1:2" x14ac:dyDescent="0.25">
      <c r="A2679" s="65">
        <v>2678</v>
      </c>
      <c r="B2679" s="64">
        <v>28656484.935754336</v>
      </c>
    </row>
    <row r="2680" spans="1:2" x14ac:dyDescent="0.25">
      <c r="A2680" s="65">
        <v>2679</v>
      </c>
      <c r="B2680" s="64">
        <v>30242355.529199135</v>
      </c>
    </row>
    <row r="2681" spans="1:2" x14ac:dyDescent="0.25">
      <c r="A2681" s="65">
        <v>2680</v>
      </c>
      <c r="B2681" s="64">
        <v>28709850.807347603</v>
      </c>
    </row>
    <row r="2682" spans="1:2" x14ac:dyDescent="0.25">
      <c r="A2682" s="65">
        <v>2681</v>
      </c>
      <c r="B2682" s="64">
        <v>28826959.541894011</v>
      </c>
    </row>
    <row r="2683" spans="1:2" x14ac:dyDescent="0.25">
      <c r="A2683" s="65">
        <v>2682</v>
      </c>
      <c r="B2683" s="64">
        <v>28719674.644531041</v>
      </c>
    </row>
    <row r="2684" spans="1:2" x14ac:dyDescent="0.25">
      <c r="A2684" s="65">
        <v>2683</v>
      </c>
      <c r="B2684" s="64">
        <v>30796776.444262553</v>
      </c>
    </row>
    <row r="2685" spans="1:2" x14ac:dyDescent="0.25">
      <c r="A2685" s="65">
        <v>2684</v>
      </c>
      <c r="B2685" s="64">
        <v>29087150.346468762</v>
      </c>
    </row>
    <row r="2686" spans="1:2" x14ac:dyDescent="0.25">
      <c r="A2686" s="65">
        <v>2685</v>
      </c>
      <c r="B2686" s="64">
        <v>28744800.392886858</v>
      </c>
    </row>
    <row r="2687" spans="1:2" x14ac:dyDescent="0.25">
      <c r="A2687" s="65">
        <v>2686</v>
      </c>
      <c r="B2687" s="64">
        <v>30056165.859617457</v>
      </c>
    </row>
    <row r="2688" spans="1:2" x14ac:dyDescent="0.25">
      <c r="A2688" s="65">
        <v>2687</v>
      </c>
      <c r="B2688" s="64">
        <v>28822215.04559771</v>
      </c>
    </row>
    <row r="2689" spans="1:2" x14ac:dyDescent="0.25">
      <c r="A2689" s="65">
        <v>2688</v>
      </c>
      <c r="B2689" s="64">
        <v>29003116.326880589</v>
      </c>
    </row>
    <row r="2690" spans="1:2" x14ac:dyDescent="0.25">
      <c r="A2690" s="65">
        <v>2689</v>
      </c>
      <c r="B2690" s="64">
        <v>29209958.810709562</v>
      </c>
    </row>
    <row r="2691" spans="1:2" x14ac:dyDescent="0.25">
      <c r="A2691" s="65">
        <v>2690</v>
      </c>
      <c r="B2691" s="64">
        <v>29308495.969810326</v>
      </c>
    </row>
    <row r="2692" spans="1:2" x14ac:dyDescent="0.25">
      <c r="A2692" s="65">
        <v>2691</v>
      </c>
      <c r="B2692" s="64">
        <v>28431649.104533076</v>
      </c>
    </row>
    <row r="2693" spans="1:2" x14ac:dyDescent="0.25">
      <c r="A2693" s="65">
        <v>2692</v>
      </c>
      <c r="B2693" s="64">
        <v>28770416.016142905</v>
      </c>
    </row>
    <row r="2694" spans="1:2" x14ac:dyDescent="0.25">
      <c r="A2694" s="65">
        <v>2693</v>
      </c>
      <c r="B2694" s="64">
        <v>29015068.73095341</v>
      </c>
    </row>
    <row r="2695" spans="1:2" x14ac:dyDescent="0.25">
      <c r="A2695" s="65">
        <v>2694</v>
      </c>
      <c r="B2695" s="64">
        <v>28909325.474325638</v>
      </c>
    </row>
    <row r="2696" spans="1:2" x14ac:dyDescent="0.25">
      <c r="A2696" s="65">
        <v>2695</v>
      </c>
      <c r="B2696" s="64">
        <v>28276626.382315833</v>
      </c>
    </row>
    <row r="2697" spans="1:2" x14ac:dyDescent="0.25">
      <c r="A2697" s="65">
        <v>2696</v>
      </c>
      <c r="B2697" s="64">
        <v>28509582.006176386</v>
      </c>
    </row>
    <row r="2698" spans="1:2" x14ac:dyDescent="0.25">
      <c r="A2698" s="65">
        <v>2697</v>
      </c>
      <c r="B2698" s="64">
        <v>28833000.575508792</v>
      </c>
    </row>
    <row r="2699" spans="1:2" x14ac:dyDescent="0.25">
      <c r="A2699" s="65">
        <v>2698</v>
      </c>
      <c r="B2699" s="64">
        <v>29062642.094034713</v>
      </c>
    </row>
    <row r="2700" spans="1:2" x14ac:dyDescent="0.25">
      <c r="A2700" s="65">
        <v>2699</v>
      </c>
      <c r="B2700" s="64">
        <v>28962845.379401874</v>
      </c>
    </row>
    <row r="2701" spans="1:2" x14ac:dyDescent="0.25">
      <c r="A2701" s="65">
        <v>2700</v>
      </c>
      <c r="B2701" s="64">
        <v>28965403.032210838</v>
      </c>
    </row>
    <row r="2702" spans="1:2" x14ac:dyDescent="0.25">
      <c r="A2702" s="65">
        <v>2701</v>
      </c>
      <c r="B2702" s="64">
        <v>29709722.941158973</v>
      </c>
    </row>
    <row r="2703" spans="1:2" x14ac:dyDescent="0.25">
      <c r="A2703" s="65">
        <v>2702</v>
      </c>
      <c r="B2703" s="64">
        <v>29455271.084638964</v>
      </c>
    </row>
    <row r="2704" spans="1:2" x14ac:dyDescent="0.25">
      <c r="A2704" s="65">
        <v>2703</v>
      </c>
      <c r="B2704" s="64">
        <v>29108634.895222157</v>
      </c>
    </row>
    <row r="2705" spans="1:2" x14ac:dyDescent="0.25">
      <c r="A2705" s="65">
        <v>2704</v>
      </c>
      <c r="B2705" s="64">
        <v>31907458.1116709</v>
      </c>
    </row>
    <row r="2706" spans="1:2" x14ac:dyDescent="0.25">
      <c r="A2706" s="65">
        <v>2705</v>
      </c>
      <c r="B2706" s="64">
        <v>28701332.563979715</v>
      </c>
    </row>
    <row r="2707" spans="1:2" x14ac:dyDescent="0.25">
      <c r="A2707" s="65">
        <v>2706</v>
      </c>
      <c r="B2707" s="64">
        <v>29036384.237941463</v>
      </c>
    </row>
    <row r="2708" spans="1:2" x14ac:dyDescent="0.25">
      <c r="A2708" s="65">
        <v>2707</v>
      </c>
      <c r="B2708" s="64">
        <v>28817939.565546032</v>
      </c>
    </row>
    <row r="2709" spans="1:2" x14ac:dyDescent="0.25">
      <c r="A2709" s="65">
        <v>2708</v>
      </c>
      <c r="B2709" s="64">
        <v>29931105.494128264</v>
      </c>
    </row>
    <row r="2710" spans="1:2" x14ac:dyDescent="0.25">
      <c r="A2710" s="65">
        <v>2709</v>
      </c>
      <c r="B2710" s="64">
        <v>29781609.827983581</v>
      </c>
    </row>
    <row r="2711" spans="1:2" x14ac:dyDescent="0.25">
      <c r="A2711" s="65">
        <v>2710</v>
      </c>
      <c r="B2711" s="64">
        <v>28747734.533172548</v>
      </c>
    </row>
    <row r="2712" spans="1:2" x14ac:dyDescent="0.25">
      <c r="A2712" s="65">
        <v>2711</v>
      </c>
      <c r="B2712" s="64">
        <v>28949413.574643198</v>
      </c>
    </row>
    <row r="2713" spans="1:2" x14ac:dyDescent="0.25">
      <c r="A2713" s="65">
        <v>2712</v>
      </c>
      <c r="B2713" s="64">
        <v>28971309.479644265</v>
      </c>
    </row>
    <row r="2714" spans="1:2" x14ac:dyDescent="0.25">
      <c r="A2714" s="65">
        <v>2713</v>
      </c>
      <c r="B2714" s="64">
        <v>29290242.991004147</v>
      </c>
    </row>
    <row r="2715" spans="1:2" x14ac:dyDescent="0.25">
      <c r="A2715" s="65">
        <v>2714</v>
      </c>
      <c r="B2715" s="64">
        <v>28793361.457859706</v>
      </c>
    </row>
    <row r="2716" spans="1:2" x14ac:dyDescent="0.25">
      <c r="A2716" s="65">
        <v>2715</v>
      </c>
      <c r="B2716" s="64">
        <v>30392171.978230439</v>
      </c>
    </row>
    <row r="2717" spans="1:2" x14ac:dyDescent="0.25">
      <c r="A2717" s="65">
        <v>2716</v>
      </c>
      <c r="B2717" s="64">
        <v>29166982.725490279</v>
      </c>
    </row>
    <row r="2718" spans="1:2" x14ac:dyDescent="0.25">
      <c r="A2718" s="65">
        <v>2717</v>
      </c>
      <c r="B2718" s="64">
        <v>30761158.699861508</v>
      </c>
    </row>
    <row r="2719" spans="1:2" x14ac:dyDescent="0.25">
      <c r="A2719" s="65">
        <v>2718</v>
      </c>
      <c r="B2719" s="64">
        <v>28711496.709614057</v>
      </c>
    </row>
    <row r="2720" spans="1:2" x14ac:dyDescent="0.25">
      <c r="A2720" s="65">
        <v>2719</v>
      </c>
      <c r="B2720" s="64">
        <v>34768644.607877918</v>
      </c>
    </row>
    <row r="2721" spans="1:2" x14ac:dyDescent="0.25">
      <c r="A2721" s="65">
        <v>2720</v>
      </c>
      <c r="B2721" s="64">
        <v>28963147.307019036</v>
      </c>
    </row>
    <row r="2722" spans="1:2" x14ac:dyDescent="0.25">
      <c r="A2722" s="65">
        <v>2721</v>
      </c>
      <c r="B2722" s="64">
        <v>29258691.425081879</v>
      </c>
    </row>
    <row r="2723" spans="1:2" x14ac:dyDescent="0.25">
      <c r="A2723" s="65">
        <v>2722</v>
      </c>
      <c r="B2723" s="64">
        <v>28859948.116028022</v>
      </c>
    </row>
    <row r="2724" spans="1:2" x14ac:dyDescent="0.25">
      <c r="A2724" s="65">
        <v>2723</v>
      </c>
      <c r="B2724" s="64">
        <v>29316164.737386458</v>
      </c>
    </row>
    <row r="2725" spans="1:2" x14ac:dyDescent="0.25">
      <c r="A2725" s="65">
        <v>2724</v>
      </c>
      <c r="B2725" s="64">
        <v>29035236.876633</v>
      </c>
    </row>
    <row r="2726" spans="1:2" x14ac:dyDescent="0.25">
      <c r="A2726" s="65">
        <v>2725</v>
      </c>
      <c r="B2726" s="64">
        <v>29241603.536696356</v>
      </c>
    </row>
    <row r="2727" spans="1:2" x14ac:dyDescent="0.25">
      <c r="A2727" s="65">
        <v>2726</v>
      </c>
      <c r="B2727" s="64">
        <v>28714245.066822883</v>
      </c>
    </row>
    <row r="2728" spans="1:2" x14ac:dyDescent="0.25">
      <c r="A2728" s="65">
        <v>2727</v>
      </c>
      <c r="B2728" s="64">
        <v>29204592.73071859</v>
      </c>
    </row>
    <row r="2729" spans="1:2" x14ac:dyDescent="0.25">
      <c r="A2729" s="65">
        <v>2728</v>
      </c>
      <c r="B2729" s="64">
        <v>29016503.95146564</v>
      </c>
    </row>
    <row r="2730" spans="1:2" x14ac:dyDescent="0.25">
      <c r="A2730" s="65">
        <v>2729</v>
      </c>
      <c r="B2730" s="64">
        <v>28376485.434120715</v>
      </c>
    </row>
    <row r="2731" spans="1:2" x14ac:dyDescent="0.25">
      <c r="A2731" s="65">
        <v>2730</v>
      </c>
      <c r="B2731" s="64">
        <v>29513942.858846962</v>
      </c>
    </row>
    <row r="2732" spans="1:2" x14ac:dyDescent="0.25">
      <c r="A2732" s="65">
        <v>2731</v>
      </c>
      <c r="B2732" s="64">
        <v>29121457.60325123</v>
      </c>
    </row>
    <row r="2733" spans="1:2" x14ac:dyDescent="0.25">
      <c r="A2733" s="65">
        <v>2732</v>
      </c>
      <c r="B2733" s="64">
        <v>29099521.252281077</v>
      </c>
    </row>
    <row r="2734" spans="1:2" x14ac:dyDescent="0.25">
      <c r="A2734" s="65">
        <v>2733</v>
      </c>
      <c r="B2734" s="64">
        <v>29054889.301437076</v>
      </c>
    </row>
    <row r="2735" spans="1:2" x14ac:dyDescent="0.25">
      <c r="A2735" s="65">
        <v>2734</v>
      </c>
      <c r="B2735" s="64">
        <v>29613907.186358333</v>
      </c>
    </row>
    <row r="2736" spans="1:2" x14ac:dyDescent="0.25">
      <c r="A2736" s="65">
        <v>2735</v>
      </c>
      <c r="B2736" s="64">
        <v>29024435.789640192</v>
      </c>
    </row>
    <row r="2737" spans="1:2" x14ac:dyDescent="0.25">
      <c r="A2737" s="65">
        <v>2736</v>
      </c>
      <c r="B2737" s="64">
        <v>29275457.410839386</v>
      </c>
    </row>
    <row r="2738" spans="1:2" x14ac:dyDescent="0.25">
      <c r="A2738" s="65">
        <v>2737</v>
      </c>
      <c r="B2738" s="64">
        <v>28722019.682176497</v>
      </c>
    </row>
    <row r="2739" spans="1:2" x14ac:dyDescent="0.25">
      <c r="A2739" s="65">
        <v>2738</v>
      </c>
      <c r="B2739" s="64">
        <v>28803264.769477203</v>
      </c>
    </row>
    <row r="2740" spans="1:2" x14ac:dyDescent="0.25">
      <c r="A2740" s="65">
        <v>2739</v>
      </c>
      <c r="B2740" s="64">
        <v>29723916.155285534</v>
      </c>
    </row>
    <row r="2741" spans="1:2" x14ac:dyDescent="0.25">
      <c r="A2741" s="65">
        <v>2740</v>
      </c>
      <c r="B2741" s="64">
        <v>29557358.807275314</v>
      </c>
    </row>
    <row r="2742" spans="1:2" x14ac:dyDescent="0.25">
      <c r="A2742" s="65">
        <v>2741</v>
      </c>
      <c r="B2742" s="64">
        <v>28976300.575124443</v>
      </c>
    </row>
    <row r="2743" spans="1:2" x14ac:dyDescent="0.25">
      <c r="A2743" s="65">
        <v>2742</v>
      </c>
      <c r="B2743" s="64">
        <v>29539650.024119016</v>
      </c>
    </row>
    <row r="2744" spans="1:2" x14ac:dyDescent="0.25">
      <c r="A2744" s="65">
        <v>2743</v>
      </c>
      <c r="B2744" s="64">
        <v>29147023.569018397</v>
      </c>
    </row>
    <row r="2745" spans="1:2" x14ac:dyDescent="0.25">
      <c r="A2745" s="65">
        <v>2744</v>
      </c>
      <c r="B2745" s="64">
        <v>29169408.053101189</v>
      </c>
    </row>
    <row r="2746" spans="1:2" x14ac:dyDescent="0.25">
      <c r="A2746" s="65">
        <v>2745</v>
      </c>
      <c r="B2746" s="64">
        <v>29250820.457399864</v>
      </c>
    </row>
    <row r="2747" spans="1:2" x14ac:dyDescent="0.25">
      <c r="A2747" s="65">
        <v>2746</v>
      </c>
      <c r="B2747" s="64">
        <v>30342239.112828929</v>
      </c>
    </row>
    <row r="2748" spans="1:2" x14ac:dyDescent="0.25">
      <c r="A2748" s="65">
        <v>2747</v>
      </c>
      <c r="B2748" s="64">
        <v>29061501.388627417</v>
      </c>
    </row>
    <row r="2749" spans="1:2" x14ac:dyDescent="0.25">
      <c r="A2749" s="65">
        <v>2748</v>
      </c>
      <c r="B2749" s="64">
        <v>28908737.849484812</v>
      </c>
    </row>
    <row r="2750" spans="1:2" x14ac:dyDescent="0.25">
      <c r="A2750" s="65">
        <v>2749</v>
      </c>
      <c r="B2750" s="64">
        <v>28902179.97793733</v>
      </c>
    </row>
    <row r="2751" spans="1:2" x14ac:dyDescent="0.25">
      <c r="A2751" s="65">
        <v>2750</v>
      </c>
      <c r="B2751" s="64">
        <v>29654052.880851179</v>
      </c>
    </row>
    <row r="2752" spans="1:2" x14ac:dyDescent="0.25">
      <c r="A2752" s="65">
        <v>2751</v>
      </c>
      <c r="B2752" s="64">
        <v>29697895.270865977</v>
      </c>
    </row>
    <row r="2753" spans="1:2" x14ac:dyDescent="0.25">
      <c r="A2753" s="65">
        <v>2752</v>
      </c>
      <c r="B2753" s="64">
        <v>28935824.544291656</v>
      </c>
    </row>
    <row r="2754" spans="1:2" x14ac:dyDescent="0.25">
      <c r="A2754" s="65">
        <v>2753</v>
      </c>
      <c r="B2754" s="64">
        <v>28727648.725916032</v>
      </c>
    </row>
    <row r="2755" spans="1:2" x14ac:dyDescent="0.25">
      <c r="A2755" s="65">
        <v>2754</v>
      </c>
      <c r="B2755" s="64">
        <v>29936762.075331733</v>
      </c>
    </row>
    <row r="2756" spans="1:2" x14ac:dyDescent="0.25">
      <c r="A2756" s="65">
        <v>2755</v>
      </c>
      <c r="B2756" s="64">
        <v>28326405.243145138</v>
      </c>
    </row>
    <row r="2757" spans="1:2" x14ac:dyDescent="0.25">
      <c r="A2757" s="65">
        <v>2756</v>
      </c>
      <c r="B2757" s="64">
        <v>28821359.694378518</v>
      </c>
    </row>
    <row r="2758" spans="1:2" x14ac:dyDescent="0.25">
      <c r="A2758" s="65">
        <v>2757</v>
      </c>
      <c r="B2758" s="64">
        <v>29723743.944481675</v>
      </c>
    </row>
    <row r="2759" spans="1:2" x14ac:dyDescent="0.25">
      <c r="A2759" s="65">
        <v>2758</v>
      </c>
      <c r="B2759" s="64">
        <v>29134853.997845415</v>
      </c>
    </row>
    <row r="2760" spans="1:2" x14ac:dyDescent="0.25">
      <c r="A2760" s="65">
        <v>2759</v>
      </c>
      <c r="B2760" s="64">
        <v>28871458.584029768</v>
      </c>
    </row>
    <row r="2761" spans="1:2" x14ac:dyDescent="0.25">
      <c r="A2761" s="65">
        <v>2760</v>
      </c>
      <c r="B2761" s="64">
        <v>28423362.810917471</v>
      </c>
    </row>
    <row r="2762" spans="1:2" x14ac:dyDescent="0.25">
      <c r="A2762" s="65">
        <v>2761</v>
      </c>
      <c r="B2762" s="64">
        <v>29207543.315321188</v>
      </c>
    </row>
    <row r="2763" spans="1:2" x14ac:dyDescent="0.25">
      <c r="A2763" s="65">
        <v>2762</v>
      </c>
      <c r="B2763" s="64">
        <v>28884277.60672297</v>
      </c>
    </row>
    <row r="2764" spans="1:2" x14ac:dyDescent="0.25">
      <c r="A2764" s="65">
        <v>2763</v>
      </c>
      <c r="B2764" s="64">
        <v>28787895.406149566</v>
      </c>
    </row>
    <row r="2765" spans="1:2" x14ac:dyDescent="0.25">
      <c r="A2765" s="65">
        <v>2764</v>
      </c>
      <c r="B2765" s="64">
        <v>30481653.003282145</v>
      </c>
    </row>
    <row r="2766" spans="1:2" x14ac:dyDescent="0.25">
      <c r="A2766" s="65">
        <v>2765</v>
      </c>
      <c r="B2766" s="64">
        <v>28534046.631082356</v>
      </c>
    </row>
    <row r="2767" spans="1:2" x14ac:dyDescent="0.25">
      <c r="A2767" s="65">
        <v>2766</v>
      </c>
      <c r="B2767" s="64">
        <v>28914984.807339512</v>
      </c>
    </row>
    <row r="2768" spans="1:2" x14ac:dyDescent="0.25">
      <c r="A2768" s="65">
        <v>2767</v>
      </c>
      <c r="B2768" s="64">
        <v>29574047.210775718</v>
      </c>
    </row>
    <row r="2769" spans="1:2" x14ac:dyDescent="0.25">
      <c r="A2769" s="65">
        <v>2768</v>
      </c>
      <c r="B2769" s="64">
        <v>28430651.74597149</v>
      </c>
    </row>
    <row r="2770" spans="1:2" x14ac:dyDescent="0.25">
      <c r="A2770" s="65">
        <v>2769</v>
      </c>
      <c r="B2770" s="64">
        <v>29294514.257544406</v>
      </c>
    </row>
    <row r="2771" spans="1:2" x14ac:dyDescent="0.25">
      <c r="A2771" s="65">
        <v>2770</v>
      </c>
      <c r="B2771" s="64">
        <v>29472530.931355406</v>
      </c>
    </row>
    <row r="2772" spans="1:2" x14ac:dyDescent="0.25">
      <c r="A2772" s="65">
        <v>2771</v>
      </c>
      <c r="B2772" s="64">
        <v>30621101.89637791</v>
      </c>
    </row>
    <row r="2773" spans="1:2" x14ac:dyDescent="0.25">
      <c r="A2773" s="65">
        <v>2772</v>
      </c>
      <c r="B2773" s="64">
        <v>28967391.470050056</v>
      </c>
    </row>
    <row r="2774" spans="1:2" x14ac:dyDescent="0.25">
      <c r="A2774" s="65">
        <v>2773</v>
      </c>
      <c r="B2774" s="64">
        <v>29985097.93102574</v>
      </c>
    </row>
    <row r="2775" spans="1:2" x14ac:dyDescent="0.25">
      <c r="A2775" s="65">
        <v>2774</v>
      </c>
      <c r="B2775" s="64">
        <v>29990620.299745351</v>
      </c>
    </row>
    <row r="2776" spans="1:2" x14ac:dyDescent="0.25">
      <c r="A2776" s="65">
        <v>2775</v>
      </c>
      <c r="B2776" s="64">
        <v>29103046.397954881</v>
      </c>
    </row>
    <row r="2777" spans="1:2" x14ac:dyDescent="0.25">
      <c r="A2777" s="65">
        <v>2776</v>
      </c>
      <c r="B2777" s="64">
        <v>28575936.988425791</v>
      </c>
    </row>
    <row r="2778" spans="1:2" x14ac:dyDescent="0.25">
      <c r="A2778" s="65">
        <v>2777</v>
      </c>
      <c r="B2778" s="64">
        <v>29606848.809199117</v>
      </c>
    </row>
    <row r="2779" spans="1:2" x14ac:dyDescent="0.25">
      <c r="A2779" s="65">
        <v>2778</v>
      </c>
      <c r="B2779" s="64">
        <v>29483444.863404747</v>
      </c>
    </row>
    <row r="2780" spans="1:2" x14ac:dyDescent="0.25">
      <c r="A2780" s="65">
        <v>2779</v>
      </c>
      <c r="B2780" s="64">
        <v>29209724.869197104</v>
      </c>
    </row>
    <row r="2781" spans="1:2" x14ac:dyDescent="0.25">
      <c r="A2781" s="65">
        <v>2780</v>
      </c>
      <c r="B2781" s="64">
        <v>28654730.77828826</v>
      </c>
    </row>
    <row r="2782" spans="1:2" x14ac:dyDescent="0.25">
      <c r="A2782" s="65">
        <v>2781</v>
      </c>
      <c r="B2782" s="64">
        <v>28528548.708324928</v>
      </c>
    </row>
    <row r="2783" spans="1:2" x14ac:dyDescent="0.25">
      <c r="A2783" s="65">
        <v>2782</v>
      </c>
      <c r="B2783" s="64">
        <v>28769038.590561733</v>
      </c>
    </row>
    <row r="2784" spans="1:2" x14ac:dyDescent="0.25">
      <c r="A2784" s="65">
        <v>2783</v>
      </c>
      <c r="B2784" s="64">
        <v>28845908.419798207</v>
      </c>
    </row>
    <row r="2785" spans="1:2" x14ac:dyDescent="0.25">
      <c r="A2785" s="65">
        <v>2784</v>
      </c>
      <c r="B2785" s="64">
        <v>28940019.863056079</v>
      </c>
    </row>
    <row r="2786" spans="1:2" x14ac:dyDescent="0.25">
      <c r="A2786" s="65">
        <v>2785</v>
      </c>
      <c r="B2786" s="64">
        <v>29917914.266453918</v>
      </c>
    </row>
    <row r="2787" spans="1:2" x14ac:dyDescent="0.25">
      <c r="A2787" s="65">
        <v>2786</v>
      </c>
      <c r="B2787" s="64">
        <v>28700946.071228247</v>
      </c>
    </row>
    <row r="2788" spans="1:2" x14ac:dyDescent="0.25">
      <c r="A2788" s="65">
        <v>2787</v>
      </c>
      <c r="B2788" s="64">
        <v>30050122.88755681</v>
      </c>
    </row>
    <row r="2789" spans="1:2" x14ac:dyDescent="0.25">
      <c r="A2789" s="65">
        <v>2788</v>
      </c>
      <c r="B2789" s="64">
        <v>28762865.717508655</v>
      </c>
    </row>
    <row r="2790" spans="1:2" x14ac:dyDescent="0.25">
      <c r="A2790" s="65">
        <v>2789</v>
      </c>
      <c r="B2790" s="64">
        <v>28572689.413122892</v>
      </c>
    </row>
    <row r="2791" spans="1:2" x14ac:dyDescent="0.25">
      <c r="A2791" s="65">
        <v>2790</v>
      </c>
      <c r="B2791" s="64">
        <v>28827342.040414948</v>
      </c>
    </row>
    <row r="2792" spans="1:2" x14ac:dyDescent="0.25">
      <c r="A2792" s="65">
        <v>2791</v>
      </c>
      <c r="B2792" s="64">
        <v>30360493.496458843</v>
      </c>
    </row>
    <row r="2793" spans="1:2" x14ac:dyDescent="0.25">
      <c r="A2793" s="65">
        <v>2792</v>
      </c>
      <c r="B2793" s="64">
        <v>29290860.364866402</v>
      </c>
    </row>
    <row r="2794" spans="1:2" x14ac:dyDescent="0.25">
      <c r="A2794" s="65">
        <v>2793</v>
      </c>
      <c r="B2794" s="64">
        <v>29633492.442555513</v>
      </c>
    </row>
    <row r="2795" spans="1:2" x14ac:dyDescent="0.25">
      <c r="A2795" s="65">
        <v>2794</v>
      </c>
      <c r="B2795" s="64">
        <v>33169556.406893171</v>
      </c>
    </row>
    <row r="2796" spans="1:2" x14ac:dyDescent="0.25">
      <c r="A2796" s="65">
        <v>2795</v>
      </c>
      <c r="B2796" s="64">
        <v>28756662.296541784</v>
      </c>
    </row>
    <row r="2797" spans="1:2" x14ac:dyDescent="0.25">
      <c r="A2797" s="65">
        <v>2796</v>
      </c>
      <c r="B2797" s="64">
        <v>29453142.930734746</v>
      </c>
    </row>
    <row r="2798" spans="1:2" x14ac:dyDescent="0.25">
      <c r="A2798" s="65">
        <v>2797</v>
      </c>
      <c r="B2798" s="64">
        <v>28621234.572388038</v>
      </c>
    </row>
    <row r="2799" spans="1:2" x14ac:dyDescent="0.25">
      <c r="A2799" s="65">
        <v>2798</v>
      </c>
      <c r="B2799" s="64">
        <v>29975368.815399293</v>
      </c>
    </row>
    <row r="2800" spans="1:2" x14ac:dyDescent="0.25">
      <c r="A2800" s="65">
        <v>2799</v>
      </c>
      <c r="B2800" s="64">
        <v>29216257.040853418</v>
      </c>
    </row>
    <row r="2801" spans="1:2" x14ac:dyDescent="0.25">
      <c r="A2801" s="65">
        <v>2800</v>
      </c>
      <c r="B2801" s="64">
        <v>29379089.938417174</v>
      </c>
    </row>
    <row r="2802" spans="1:2" x14ac:dyDescent="0.25">
      <c r="A2802" s="65">
        <v>2801</v>
      </c>
      <c r="B2802" s="64">
        <v>29463379.242657278</v>
      </c>
    </row>
    <row r="2803" spans="1:2" x14ac:dyDescent="0.25">
      <c r="A2803" s="65">
        <v>2802</v>
      </c>
      <c r="B2803" s="64">
        <v>29721415.129095085</v>
      </c>
    </row>
    <row r="2804" spans="1:2" x14ac:dyDescent="0.25">
      <c r="A2804" s="65">
        <v>2803</v>
      </c>
      <c r="B2804" s="64">
        <v>29287985.764493655</v>
      </c>
    </row>
    <row r="2805" spans="1:2" x14ac:dyDescent="0.25">
      <c r="A2805" s="65">
        <v>2804</v>
      </c>
      <c r="B2805" s="64">
        <v>29725284.422236457</v>
      </c>
    </row>
    <row r="2806" spans="1:2" x14ac:dyDescent="0.25">
      <c r="A2806" s="65">
        <v>2805</v>
      </c>
      <c r="B2806" s="64">
        <v>29907402.403366152</v>
      </c>
    </row>
    <row r="2807" spans="1:2" x14ac:dyDescent="0.25">
      <c r="A2807" s="65">
        <v>2806</v>
      </c>
      <c r="B2807" s="64">
        <v>28937690.015632592</v>
      </c>
    </row>
    <row r="2808" spans="1:2" x14ac:dyDescent="0.25">
      <c r="A2808" s="65">
        <v>2807</v>
      </c>
      <c r="B2808" s="64">
        <v>29522592.737157896</v>
      </c>
    </row>
    <row r="2809" spans="1:2" x14ac:dyDescent="0.25">
      <c r="A2809" s="65">
        <v>2808</v>
      </c>
      <c r="B2809" s="64">
        <v>28970719.922957033</v>
      </c>
    </row>
    <row r="2810" spans="1:2" x14ac:dyDescent="0.25">
      <c r="A2810" s="65">
        <v>2809</v>
      </c>
      <c r="B2810" s="64">
        <v>28713350.662262019</v>
      </c>
    </row>
    <row r="2811" spans="1:2" x14ac:dyDescent="0.25">
      <c r="A2811" s="65">
        <v>2810</v>
      </c>
      <c r="B2811" s="64">
        <v>28748723.596538823</v>
      </c>
    </row>
    <row r="2812" spans="1:2" x14ac:dyDescent="0.25">
      <c r="A2812" s="65">
        <v>2811</v>
      </c>
      <c r="B2812" s="64">
        <v>29665226.034018014</v>
      </c>
    </row>
    <row r="2813" spans="1:2" x14ac:dyDescent="0.25">
      <c r="A2813" s="65">
        <v>2812</v>
      </c>
      <c r="B2813" s="64">
        <v>29066495.433802493</v>
      </c>
    </row>
    <row r="2814" spans="1:2" x14ac:dyDescent="0.25">
      <c r="A2814" s="65">
        <v>2813</v>
      </c>
      <c r="B2814" s="64">
        <v>30234207.26771751</v>
      </c>
    </row>
    <row r="2815" spans="1:2" x14ac:dyDescent="0.25">
      <c r="A2815" s="65">
        <v>2814</v>
      </c>
      <c r="B2815" s="64">
        <v>28976795.441325564</v>
      </c>
    </row>
    <row r="2816" spans="1:2" x14ac:dyDescent="0.25">
      <c r="A2816" s="65">
        <v>2815</v>
      </c>
      <c r="B2816" s="64">
        <v>28662433.754131325</v>
      </c>
    </row>
    <row r="2817" spans="1:2" x14ac:dyDescent="0.25">
      <c r="A2817" s="65">
        <v>2816</v>
      </c>
      <c r="B2817" s="64">
        <v>29328637.986111354</v>
      </c>
    </row>
    <row r="2818" spans="1:2" x14ac:dyDescent="0.25">
      <c r="A2818" s="65">
        <v>2817</v>
      </c>
      <c r="B2818" s="64">
        <v>29332538.275099337</v>
      </c>
    </row>
    <row r="2819" spans="1:2" x14ac:dyDescent="0.25">
      <c r="A2819" s="65">
        <v>2818</v>
      </c>
      <c r="B2819" s="64">
        <v>28725159.20830116</v>
      </c>
    </row>
    <row r="2820" spans="1:2" x14ac:dyDescent="0.25">
      <c r="A2820" s="65">
        <v>2819</v>
      </c>
      <c r="B2820" s="64">
        <v>29044028.666821275</v>
      </c>
    </row>
    <row r="2821" spans="1:2" x14ac:dyDescent="0.25">
      <c r="A2821" s="65">
        <v>2820</v>
      </c>
      <c r="B2821" s="64">
        <v>30184821.229240544</v>
      </c>
    </row>
    <row r="2822" spans="1:2" x14ac:dyDescent="0.25">
      <c r="A2822" s="65">
        <v>2821</v>
      </c>
      <c r="B2822" s="64">
        <v>29889451.618819468</v>
      </c>
    </row>
    <row r="2823" spans="1:2" x14ac:dyDescent="0.25">
      <c r="A2823" s="65">
        <v>2822</v>
      </c>
      <c r="B2823" s="64">
        <v>29043801.10615376</v>
      </c>
    </row>
    <row r="2824" spans="1:2" x14ac:dyDescent="0.25">
      <c r="A2824" s="65">
        <v>2823</v>
      </c>
      <c r="B2824" s="64">
        <v>28678308.131665196</v>
      </c>
    </row>
    <row r="2825" spans="1:2" x14ac:dyDescent="0.25">
      <c r="A2825" s="65">
        <v>2824</v>
      </c>
      <c r="B2825" s="64">
        <v>29035445.567500107</v>
      </c>
    </row>
    <row r="2826" spans="1:2" x14ac:dyDescent="0.25">
      <c r="A2826" s="65">
        <v>2825</v>
      </c>
      <c r="B2826" s="64">
        <v>29021965.687411208</v>
      </c>
    </row>
    <row r="2827" spans="1:2" x14ac:dyDescent="0.25">
      <c r="A2827" s="65">
        <v>2826</v>
      </c>
      <c r="B2827" s="64">
        <v>33887908.138385683</v>
      </c>
    </row>
    <row r="2828" spans="1:2" x14ac:dyDescent="0.25">
      <c r="A2828" s="65">
        <v>2827</v>
      </c>
      <c r="B2828" s="64">
        <v>28687726.930785555</v>
      </c>
    </row>
    <row r="2829" spans="1:2" x14ac:dyDescent="0.25">
      <c r="A2829" s="65">
        <v>2828</v>
      </c>
      <c r="B2829" s="64">
        <v>29658732.533607904</v>
      </c>
    </row>
    <row r="2830" spans="1:2" x14ac:dyDescent="0.25">
      <c r="A2830" s="65">
        <v>2829</v>
      </c>
      <c r="B2830" s="64">
        <v>28762485.528659165</v>
      </c>
    </row>
    <row r="2831" spans="1:2" x14ac:dyDescent="0.25">
      <c r="A2831" s="65">
        <v>2830</v>
      </c>
      <c r="B2831" s="64">
        <v>29463584.291010242</v>
      </c>
    </row>
    <row r="2832" spans="1:2" x14ac:dyDescent="0.25">
      <c r="A2832" s="65">
        <v>2831</v>
      </c>
      <c r="B2832" s="64">
        <v>29405727.334550202</v>
      </c>
    </row>
    <row r="2833" spans="1:2" x14ac:dyDescent="0.25">
      <c r="A2833" s="65">
        <v>2832</v>
      </c>
      <c r="B2833" s="64">
        <v>31412461.824348725</v>
      </c>
    </row>
    <row r="2834" spans="1:2" x14ac:dyDescent="0.25">
      <c r="A2834" s="65">
        <v>2833</v>
      </c>
      <c r="B2834" s="64">
        <v>29094476.185479149</v>
      </c>
    </row>
    <row r="2835" spans="1:2" x14ac:dyDescent="0.25">
      <c r="A2835" s="65">
        <v>2834</v>
      </c>
      <c r="B2835" s="64">
        <v>29605239.439816739</v>
      </c>
    </row>
    <row r="2836" spans="1:2" x14ac:dyDescent="0.25">
      <c r="A2836" s="65">
        <v>2835</v>
      </c>
      <c r="B2836" s="64">
        <v>28699345.596723061</v>
      </c>
    </row>
    <row r="2837" spans="1:2" x14ac:dyDescent="0.25">
      <c r="A2837" s="65">
        <v>2836</v>
      </c>
      <c r="B2837" s="64">
        <v>33288425.975076392</v>
      </c>
    </row>
    <row r="2838" spans="1:2" x14ac:dyDescent="0.25">
      <c r="A2838" s="65">
        <v>2837</v>
      </c>
      <c r="B2838" s="64">
        <v>29640608.669349208</v>
      </c>
    </row>
    <row r="2839" spans="1:2" x14ac:dyDescent="0.25">
      <c r="A2839" s="65">
        <v>2838</v>
      </c>
      <c r="B2839" s="64">
        <v>29082634.975357577</v>
      </c>
    </row>
    <row r="2840" spans="1:2" x14ac:dyDescent="0.25">
      <c r="A2840" s="65">
        <v>2839</v>
      </c>
      <c r="B2840" s="64">
        <v>28279753.575273681</v>
      </c>
    </row>
    <row r="2841" spans="1:2" x14ac:dyDescent="0.25">
      <c r="A2841" s="65">
        <v>2840</v>
      </c>
      <c r="B2841" s="64">
        <v>33696267.731282167</v>
      </c>
    </row>
    <row r="2842" spans="1:2" x14ac:dyDescent="0.25">
      <c r="A2842" s="65">
        <v>2841</v>
      </c>
      <c r="B2842" s="64">
        <v>29172441.363775287</v>
      </c>
    </row>
    <row r="2843" spans="1:2" x14ac:dyDescent="0.25">
      <c r="A2843" s="65">
        <v>2842</v>
      </c>
      <c r="B2843" s="64">
        <v>29180460.564614344</v>
      </c>
    </row>
    <row r="2844" spans="1:2" x14ac:dyDescent="0.25">
      <c r="A2844" s="65">
        <v>2843</v>
      </c>
      <c r="B2844" s="64">
        <v>32982593.003151357</v>
      </c>
    </row>
    <row r="2845" spans="1:2" x14ac:dyDescent="0.25">
      <c r="A2845" s="65">
        <v>2844</v>
      </c>
      <c r="B2845" s="64">
        <v>31416688.410361994</v>
      </c>
    </row>
    <row r="2846" spans="1:2" x14ac:dyDescent="0.25">
      <c r="A2846" s="65">
        <v>2845</v>
      </c>
      <c r="B2846" s="64">
        <v>28909109.851603929</v>
      </c>
    </row>
    <row r="2847" spans="1:2" x14ac:dyDescent="0.25">
      <c r="A2847" s="65">
        <v>2846</v>
      </c>
      <c r="B2847" s="64">
        <v>29018566.252730779</v>
      </c>
    </row>
    <row r="2848" spans="1:2" x14ac:dyDescent="0.25">
      <c r="A2848" s="65">
        <v>2847</v>
      </c>
      <c r="B2848" s="64">
        <v>30344225.550522208</v>
      </c>
    </row>
    <row r="2849" spans="1:2" x14ac:dyDescent="0.25">
      <c r="A2849" s="65">
        <v>2848</v>
      </c>
      <c r="B2849" s="64">
        <v>29516468.71443342</v>
      </c>
    </row>
    <row r="2850" spans="1:2" x14ac:dyDescent="0.25">
      <c r="A2850" s="65">
        <v>2849</v>
      </c>
      <c r="B2850" s="64">
        <v>29072699.540103789</v>
      </c>
    </row>
    <row r="2851" spans="1:2" x14ac:dyDescent="0.25">
      <c r="A2851" s="65">
        <v>2850</v>
      </c>
      <c r="B2851" s="64">
        <v>28509348.644011166</v>
      </c>
    </row>
    <row r="2852" spans="1:2" x14ac:dyDescent="0.25">
      <c r="A2852" s="65">
        <v>2851</v>
      </c>
      <c r="B2852" s="64">
        <v>28967390.517761666</v>
      </c>
    </row>
    <row r="2853" spans="1:2" x14ac:dyDescent="0.25">
      <c r="A2853" s="65">
        <v>2852</v>
      </c>
      <c r="B2853" s="64">
        <v>28634933.439087838</v>
      </c>
    </row>
    <row r="2854" spans="1:2" x14ac:dyDescent="0.25">
      <c r="A2854" s="65">
        <v>2853</v>
      </c>
      <c r="B2854" s="64">
        <v>29182475.004592329</v>
      </c>
    </row>
    <row r="2855" spans="1:2" x14ac:dyDescent="0.25">
      <c r="A2855" s="65">
        <v>2854</v>
      </c>
      <c r="B2855" s="64">
        <v>30061537.008093193</v>
      </c>
    </row>
    <row r="2856" spans="1:2" x14ac:dyDescent="0.25">
      <c r="A2856" s="65">
        <v>2855</v>
      </c>
      <c r="B2856" s="64">
        <v>29224946.837759186</v>
      </c>
    </row>
    <row r="2857" spans="1:2" x14ac:dyDescent="0.25">
      <c r="A2857" s="65">
        <v>2856</v>
      </c>
      <c r="B2857" s="64">
        <v>28595052.961354792</v>
      </c>
    </row>
    <row r="2858" spans="1:2" x14ac:dyDescent="0.25">
      <c r="A2858" s="65">
        <v>2857</v>
      </c>
      <c r="B2858" s="64">
        <v>28686416.772297028</v>
      </c>
    </row>
    <row r="2859" spans="1:2" x14ac:dyDescent="0.25">
      <c r="A2859" s="65">
        <v>2858</v>
      </c>
      <c r="B2859" s="64">
        <v>28819431.740083393</v>
      </c>
    </row>
    <row r="2860" spans="1:2" x14ac:dyDescent="0.25">
      <c r="A2860" s="65">
        <v>2859</v>
      </c>
      <c r="B2860" s="64">
        <v>28647341.443431959</v>
      </c>
    </row>
    <row r="2861" spans="1:2" x14ac:dyDescent="0.25">
      <c r="A2861" s="65">
        <v>2860</v>
      </c>
      <c r="B2861" s="64">
        <v>29166951.841533698</v>
      </c>
    </row>
    <row r="2862" spans="1:2" x14ac:dyDescent="0.25">
      <c r="A2862" s="65">
        <v>2861</v>
      </c>
      <c r="B2862" s="64">
        <v>34509652.377347365</v>
      </c>
    </row>
    <row r="2863" spans="1:2" x14ac:dyDescent="0.25">
      <c r="A2863" s="65">
        <v>2862</v>
      </c>
      <c r="B2863" s="64">
        <v>28698231.220746279</v>
      </c>
    </row>
    <row r="2864" spans="1:2" x14ac:dyDescent="0.25">
      <c r="A2864" s="65">
        <v>2863</v>
      </c>
      <c r="B2864" s="64">
        <v>29554851.555744298</v>
      </c>
    </row>
    <row r="2865" spans="1:2" x14ac:dyDescent="0.25">
      <c r="A2865" s="65">
        <v>2864</v>
      </c>
      <c r="B2865" s="64">
        <v>28944998.390670907</v>
      </c>
    </row>
    <row r="2866" spans="1:2" x14ac:dyDescent="0.25">
      <c r="A2866" s="65">
        <v>2865</v>
      </c>
      <c r="B2866" s="64">
        <v>29412073.4578797</v>
      </c>
    </row>
    <row r="2867" spans="1:2" x14ac:dyDescent="0.25">
      <c r="A2867" s="65">
        <v>2866</v>
      </c>
      <c r="B2867" s="64">
        <v>30245869.500875622</v>
      </c>
    </row>
    <row r="2868" spans="1:2" x14ac:dyDescent="0.25">
      <c r="A2868" s="65">
        <v>2867</v>
      </c>
      <c r="B2868" s="64">
        <v>29046883.12508418</v>
      </c>
    </row>
    <row r="2869" spans="1:2" x14ac:dyDescent="0.25">
      <c r="A2869" s="65">
        <v>2868</v>
      </c>
      <c r="B2869" s="64">
        <v>30026066.250815861</v>
      </c>
    </row>
    <row r="2870" spans="1:2" x14ac:dyDescent="0.25">
      <c r="A2870" s="65">
        <v>2869</v>
      </c>
      <c r="B2870" s="64">
        <v>28865697.2334943</v>
      </c>
    </row>
    <row r="2871" spans="1:2" x14ac:dyDescent="0.25">
      <c r="A2871" s="65">
        <v>2870</v>
      </c>
      <c r="B2871" s="64">
        <v>28488532.455600612</v>
      </c>
    </row>
    <row r="2872" spans="1:2" x14ac:dyDescent="0.25">
      <c r="A2872" s="65">
        <v>2871</v>
      </c>
      <c r="B2872" s="64">
        <v>29931565.77176556</v>
      </c>
    </row>
    <row r="2873" spans="1:2" x14ac:dyDescent="0.25">
      <c r="A2873" s="65">
        <v>2872</v>
      </c>
      <c r="B2873" s="64">
        <v>28481588.671369035</v>
      </c>
    </row>
    <row r="2874" spans="1:2" x14ac:dyDescent="0.25">
      <c r="A2874" s="65">
        <v>2873</v>
      </c>
      <c r="B2874" s="64">
        <v>33561244.547626607</v>
      </c>
    </row>
    <row r="2875" spans="1:2" x14ac:dyDescent="0.25">
      <c r="A2875" s="65">
        <v>2874</v>
      </c>
      <c r="B2875" s="64">
        <v>30080742.573076233</v>
      </c>
    </row>
    <row r="2876" spans="1:2" x14ac:dyDescent="0.25">
      <c r="A2876" s="65">
        <v>2875</v>
      </c>
      <c r="B2876" s="64">
        <v>29822020.718748156</v>
      </c>
    </row>
    <row r="2877" spans="1:2" x14ac:dyDescent="0.25">
      <c r="A2877" s="65">
        <v>2876</v>
      </c>
      <c r="B2877" s="64">
        <v>30400713.785805803</v>
      </c>
    </row>
    <row r="2878" spans="1:2" x14ac:dyDescent="0.25">
      <c r="A2878" s="65">
        <v>2877</v>
      </c>
      <c r="B2878" s="64">
        <v>29326313.733270396</v>
      </c>
    </row>
    <row r="2879" spans="1:2" x14ac:dyDescent="0.25">
      <c r="A2879" s="65">
        <v>2878</v>
      </c>
      <c r="B2879" s="64">
        <v>30582824.310082484</v>
      </c>
    </row>
    <row r="2880" spans="1:2" x14ac:dyDescent="0.25">
      <c r="A2880" s="65">
        <v>2879</v>
      </c>
      <c r="B2880" s="64">
        <v>30149281.614924148</v>
      </c>
    </row>
    <row r="2881" spans="1:2" x14ac:dyDescent="0.25">
      <c r="A2881" s="65">
        <v>2880</v>
      </c>
      <c r="B2881" s="64">
        <v>28832339.716615513</v>
      </c>
    </row>
    <row r="2882" spans="1:2" x14ac:dyDescent="0.25">
      <c r="A2882" s="65">
        <v>2881</v>
      </c>
      <c r="B2882" s="64">
        <v>29555167.781566411</v>
      </c>
    </row>
    <row r="2883" spans="1:2" x14ac:dyDescent="0.25">
      <c r="A2883" s="65">
        <v>2882</v>
      </c>
      <c r="B2883" s="64">
        <v>29043973.332073458</v>
      </c>
    </row>
    <row r="2884" spans="1:2" x14ac:dyDescent="0.25">
      <c r="A2884" s="65">
        <v>2883</v>
      </c>
      <c r="B2884" s="64">
        <v>29494590.981738962</v>
      </c>
    </row>
    <row r="2885" spans="1:2" x14ac:dyDescent="0.25">
      <c r="A2885" s="65">
        <v>2884</v>
      </c>
      <c r="B2885" s="64">
        <v>29861953.725722678</v>
      </c>
    </row>
    <row r="2886" spans="1:2" x14ac:dyDescent="0.25">
      <c r="A2886" s="65">
        <v>2885</v>
      </c>
      <c r="B2886" s="64">
        <v>29124482.070344325</v>
      </c>
    </row>
    <row r="2887" spans="1:2" x14ac:dyDescent="0.25">
      <c r="A2887" s="65">
        <v>2886</v>
      </c>
      <c r="B2887" s="64">
        <v>29737333.154544748</v>
      </c>
    </row>
    <row r="2888" spans="1:2" x14ac:dyDescent="0.25">
      <c r="A2888" s="65">
        <v>2887</v>
      </c>
      <c r="B2888" s="64">
        <v>29641847.215419706</v>
      </c>
    </row>
    <row r="2889" spans="1:2" x14ac:dyDescent="0.25">
      <c r="A2889" s="65">
        <v>2888</v>
      </c>
      <c r="B2889" s="64">
        <v>29122111.695293341</v>
      </c>
    </row>
    <row r="2890" spans="1:2" x14ac:dyDescent="0.25">
      <c r="A2890" s="65">
        <v>2889</v>
      </c>
      <c r="B2890" s="64">
        <v>29619233.225546923</v>
      </c>
    </row>
    <row r="2891" spans="1:2" x14ac:dyDescent="0.25">
      <c r="A2891" s="65">
        <v>2890</v>
      </c>
      <c r="B2891" s="64">
        <v>28734351.600829035</v>
      </c>
    </row>
    <row r="2892" spans="1:2" x14ac:dyDescent="0.25">
      <c r="A2892" s="65">
        <v>2891</v>
      </c>
      <c r="B2892" s="64">
        <v>28657838.162389386</v>
      </c>
    </row>
    <row r="2893" spans="1:2" x14ac:dyDescent="0.25">
      <c r="A2893" s="65">
        <v>2892</v>
      </c>
      <c r="B2893" s="64">
        <v>29774127.982327912</v>
      </c>
    </row>
    <row r="2894" spans="1:2" x14ac:dyDescent="0.25">
      <c r="A2894" s="65">
        <v>2893</v>
      </c>
      <c r="B2894" s="64">
        <v>28708279.844399258</v>
      </c>
    </row>
    <row r="2895" spans="1:2" x14ac:dyDescent="0.25">
      <c r="A2895" s="65">
        <v>2894</v>
      </c>
      <c r="B2895" s="64">
        <v>29372746.565845519</v>
      </c>
    </row>
    <row r="2896" spans="1:2" x14ac:dyDescent="0.25">
      <c r="A2896" s="65">
        <v>2895</v>
      </c>
      <c r="B2896" s="64">
        <v>28759548.957539126</v>
      </c>
    </row>
    <row r="2897" spans="1:2" x14ac:dyDescent="0.25">
      <c r="A2897" s="65">
        <v>2896</v>
      </c>
      <c r="B2897" s="64">
        <v>28869912.037113968</v>
      </c>
    </row>
    <row r="2898" spans="1:2" x14ac:dyDescent="0.25">
      <c r="A2898" s="65">
        <v>2897</v>
      </c>
      <c r="B2898" s="64">
        <v>29164107.030808933</v>
      </c>
    </row>
    <row r="2899" spans="1:2" x14ac:dyDescent="0.25">
      <c r="A2899" s="65">
        <v>2898</v>
      </c>
      <c r="B2899" s="64">
        <v>28752615.787970137</v>
      </c>
    </row>
    <row r="2900" spans="1:2" x14ac:dyDescent="0.25">
      <c r="A2900" s="65">
        <v>2899</v>
      </c>
      <c r="B2900" s="64">
        <v>28825112.009506021</v>
      </c>
    </row>
    <row r="2901" spans="1:2" x14ac:dyDescent="0.25">
      <c r="A2901" s="65">
        <v>2900</v>
      </c>
      <c r="B2901" s="64">
        <v>28492899.199585602</v>
      </c>
    </row>
    <row r="2902" spans="1:2" x14ac:dyDescent="0.25">
      <c r="A2902" s="65">
        <v>2901</v>
      </c>
      <c r="B2902" s="64">
        <v>29462861.124185614</v>
      </c>
    </row>
    <row r="2903" spans="1:2" x14ac:dyDescent="0.25">
      <c r="A2903" s="65">
        <v>2902</v>
      </c>
      <c r="B2903" s="64">
        <v>29265961.672041461</v>
      </c>
    </row>
    <row r="2904" spans="1:2" x14ac:dyDescent="0.25">
      <c r="A2904" s="65">
        <v>2903</v>
      </c>
      <c r="B2904" s="64">
        <v>28651634.615458284</v>
      </c>
    </row>
    <row r="2905" spans="1:2" x14ac:dyDescent="0.25">
      <c r="A2905" s="65">
        <v>2904</v>
      </c>
      <c r="B2905" s="64">
        <v>29285067.951588202</v>
      </c>
    </row>
    <row r="2906" spans="1:2" x14ac:dyDescent="0.25">
      <c r="A2906" s="65">
        <v>2905</v>
      </c>
      <c r="B2906" s="64">
        <v>28939642.652442347</v>
      </c>
    </row>
    <row r="2907" spans="1:2" x14ac:dyDescent="0.25">
      <c r="A2907" s="65">
        <v>2906</v>
      </c>
      <c r="B2907" s="64">
        <v>28657603.116047241</v>
      </c>
    </row>
    <row r="2908" spans="1:2" x14ac:dyDescent="0.25">
      <c r="A2908" s="65">
        <v>2907</v>
      </c>
      <c r="B2908" s="64">
        <v>29519020.045571145</v>
      </c>
    </row>
    <row r="2909" spans="1:2" x14ac:dyDescent="0.25">
      <c r="A2909" s="65">
        <v>2908</v>
      </c>
      <c r="B2909" s="64">
        <v>29617617.048980325</v>
      </c>
    </row>
    <row r="2910" spans="1:2" x14ac:dyDescent="0.25">
      <c r="A2910" s="65">
        <v>2909</v>
      </c>
      <c r="B2910" s="64">
        <v>29568094.618353851</v>
      </c>
    </row>
    <row r="2911" spans="1:2" x14ac:dyDescent="0.25">
      <c r="A2911" s="65">
        <v>2910</v>
      </c>
      <c r="B2911" s="64">
        <v>28715306.86298535</v>
      </c>
    </row>
    <row r="2912" spans="1:2" x14ac:dyDescent="0.25">
      <c r="A2912" s="65">
        <v>2911</v>
      </c>
      <c r="B2912" s="64">
        <v>29278679.293136373</v>
      </c>
    </row>
    <row r="2913" spans="1:2" x14ac:dyDescent="0.25">
      <c r="A2913" s="65">
        <v>2912</v>
      </c>
      <c r="B2913" s="64">
        <v>28820645.233054433</v>
      </c>
    </row>
    <row r="2914" spans="1:2" x14ac:dyDescent="0.25">
      <c r="A2914" s="65">
        <v>2913</v>
      </c>
      <c r="B2914" s="64">
        <v>29087540.995783281</v>
      </c>
    </row>
    <row r="2915" spans="1:2" x14ac:dyDescent="0.25">
      <c r="A2915" s="65">
        <v>2914</v>
      </c>
      <c r="B2915" s="64">
        <v>28841349.207732424</v>
      </c>
    </row>
    <row r="2916" spans="1:2" x14ac:dyDescent="0.25">
      <c r="A2916" s="65">
        <v>2915</v>
      </c>
      <c r="B2916" s="64">
        <v>29956609.946807809</v>
      </c>
    </row>
    <row r="2917" spans="1:2" x14ac:dyDescent="0.25">
      <c r="A2917" s="65">
        <v>2916</v>
      </c>
      <c r="B2917" s="64">
        <v>30367398.106877923</v>
      </c>
    </row>
    <row r="2918" spans="1:2" x14ac:dyDescent="0.25">
      <c r="A2918" s="65">
        <v>2917</v>
      </c>
      <c r="B2918" s="64">
        <v>29715595.629215695</v>
      </c>
    </row>
    <row r="2919" spans="1:2" x14ac:dyDescent="0.25">
      <c r="A2919" s="65">
        <v>2918</v>
      </c>
      <c r="B2919" s="64">
        <v>32507434.754019693</v>
      </c>
    </row>
    <row r="2920" spans="1:2" x14ac:dyDescent="0.25">
      <c r="A2920" s="65">
        <v>2919</v>
      </c>
      <c r="B2920" s="64">
        <v>28699105.357559599</v>
      </c>
    </row>
    <row r="2921" spans="1:2" x14ac:dyDescent="0.25">
      <c r="A2921" s="65">
        <v>2920</v>
      </c>
      <c r="B2921" s="64">
        <v>28801884.411875427</v>
      </c>
    </row>
    <row r="2922" spans="1:2" x14ac:dyDescent="0.25">
      <c r="A2922" s="65">
        <v>2921</v>
      </c>
      <c r="B2922" s="64">
        <v>28469420.178525917</v>
      </c>
    </row>
    <row r="2923" spans="1:2" x14ac:dyDescent="0.25">
      <c r="A2923" s="65">
        <v>2922</v>
      </c>
      <c r="B2923" s="64">
        <v>28562033.035486959</v>
      </c>
    </row>
    <row r="2924" spans="1:2" x14ac:dyDescent="0.25">
      <c r="A2924" s="65">
        <v>2923</v>
      </c>
      <c r="B2924" s="64">
        <v>28824002.196970135</v>
      </c>
    </row>
    <row r="2925" spans="1:2" x14ac:dyDescent="0.25">
      <c r="A2925" s="65">
        <v>2924</v>
      </c>
      <c r="B2925" s="64">
        <v>29633904.308651526</v>
      </c>
    </row>
    <row r="2926" spans="1:2" x14ac:dyDescent="0.25">
      <c r="A2926" s="65">
        <v>2925</v>
      </c>
      <c r="B2926" s="64">
        <v>28552823.096547686</v>
      </c>
    </row>
    <row r="2927" spans="1:2" x14ac:dyDescent="0.25">
      <c r="A2927" s="65">
        <v>2926</v>
      </c>
      <c r="B2927" s="64">
        <v>35366153.144905165</v>
      </c>
    </row>
    <row r="2928" spans="1:2" x14ac:dyDescent="0.25">
      <c r="A2928" s="65">
        <v>2927</v>
      </c>
      <c r="B2928" s="64">
        <v>28620082.092194062</v>
      </c>
    </row>
    <row r="2929" spans="1:2" x14ac:dyDescent="0.25">
      <c r="A2929" s="65">
        <v>2928</v>
      </c>
      <c r="B2929" s="64">
        <v>28816175.101021934</v>
      </c>
    </row>
    <row r="2930" spans="1:2" x14ac:dyDescent="0.25">
      <c r="A2930" s="65">
        <v>2929</v>
      </c>
      <c r="B2930" s="64">
        <v>29890470.859151088</v>
      </c>
    </row>
    <row r="2931" spans="1:2" x14ac:dyDescent="0.25">
      <c r="A2931" s="65">
        <v>2930</v>
      </c>
      <c r="B2931" s="64">
        <v>29653092.231897902</v>
      </c>
    </row>
    <row r="2932" spans="1:2" x14ac:dyDescent="0.25">
      <c r="A2932" s="65">
        <v>2931</v>
      </c>
      <c r="B2932" s="64">
        <v>31333917.646966238</v>
      </c>
    </row>
    <row r="2933" spans="1:2" x14ac:dyDescent="0.25">
      <c r="A2933" s="65">
        <v>2932</v>
      </c>
      <c r="B2933" s="64">
        <v>28802296.314721186</v>
      </c>
    </row>
    <row r="2934" spans="1:2" x14ac:dyDescent="0.25">
      <c r="A2934" s="65">
        <v>2933</v>
      </c>
      <c r="B2934" s="64">
        <v>30189320.945873007</v>
      </c>
    </row>
    <row r="2935" spans="1:2" x14ac:dyDescent="0.25">
      <c r="A2935" s="65">
        <v>2934</v>
      </c>
      <c r="B2935" s="64">
        <v>28767012.922695406</v>
      </c>
    </row>
    <row r="2936" spans="1:2" x14ac:dyDescent="0.25">
      <c r="A2936" s="65">
        <v>2935</v>
      </c>
      <c r="B2936" s="64">
        <v>28841400.129359987</v>
      </c>
    </row>
    <row r="2937" spans="1:2" x14ac:dyDescent="0.25">
      <c r="A2937" s="65">
        <v>2936</v>
      </c>
      <c r="B2937" s="64">
        <v>30240055.917384543</v>
      </c>
    </row>
    <row r="2938" spans="1:2" x14ac:dyDescent="0.25">
      <c r="A2938" s="65">
        <v>2937</v>
      </c>
      <c r="B2938" s="64">
        <v>28707680.019480124</v>
      </c>
    </row>
    <row r="2939" spans="1:2" x14ac:dyDescent="0.25">
      <c r="A2939" s="65">
        <v>2938</v>
      </c>
      <c r="B2939" s="64">
        <v>30442732.007504884</v>
      </c>
    </row>
    <row r="2940" spans="1:2" x14ac:dyDescent="0.25">
      <c r="A2940" s="65">
        <v>2939</v>
      </c>
      <c r="B2940" s="64">
        <v>29251244.005920406</v>
      </c>
    </row>
    <row r="2941" spans="1:2" x14ac:dyDescent="0.25">
      <c r="A2941" s="65">
        <v>2940</v>
      </c>
      <c r="B2941" s="64">
        <v>29059093.2042058</v>
      </c>
    </row>
    <row r="2942" spans="1:2" x14ac:dyDescent="0.25">
      <c r="A2942" s="65">
        <v>2941</v>
      </c>
      <c r="B2942" s="64">
        <v>29186684.611177836</v>
      </c>
    </row>
    <row r="2943" spans="1:2" x14ac:dyDescent="0.25">
      <c r="A2943" s="65">
        <v>2942</v>
      </c>
      <c r="B2943" s="64">
        <v>29467298.270617738</v>
      </c>
    </row>
    <row r="2944" spans="1:2" x14ac:dyDescent="0.25">
      <c r="A2944" s="65">
        <v>2943</v>
      </c>
      <c r="B2944" s="64">
        <v>29894678.625560656</v>
      </c>
    </row>
    <row r="2945" spans="1:2" x14ac:dyDescent="0.25">
      <c r="A2945" s="65">
        <v>2944</v>
      </c>
      <c r="B2945" s="64">
        <v>29415212.618464485</v>
      </c>
    </row>
    <row r="2946" spans="1:2" x14ac:dyDescent="0.25">
      <c r="A2946" s="65">
        <v>2945</v>
      </c>
      <c r="B2946" s="64">
        <v>28837338.025775004</v>
      </c>
    </row>
    <row r="2947" spans="1:2" x14ac:dyDescent="0.25">
      <c r="A2947" s="65">
        <v>2946</v>
      </c>
      <c r="B2947" s="64">
        <v>28986087.536387973</v>
      </c>
    </row>
    <row r="2948" spans="1:2" x14ac:dyDescent="0.25">
      <c r="A2948" s="65">
        <v>2947</v>
      </c>
      <c r="B2948" s="64">
        <v>29087791.985137783</v>
      </c>
    </row>
    <row r="2949" spans="1:2" x14ac:dyDescent="0.25">
      <c r="A2949" s="65">
        <v>2948</v>
      </c>
      <c r="B2949" s="64">
        <v>28814588.612051655</v>
      </c>
    </row>
    <row r="2950" spans="1:2" x14ac:dyDescent="0.25">
      <c r="A2950" s="65">
        <v>2949</v>
      </c>
      <c r="B2950" s="64">
        <v>29958731.362205736</v>
      </c>
    </row>
    <row r="2951" spans="1:2" x14ac:dyDescent="0.25">
      <c r="A2951" s="65">
        <v>2950</v>
      </c>
      <c r="B2951" s="64">
        <v>30005641.290906396</v>
      </c>
    </row>
    <row r="2952" spans="1:2" x14ac:dyDescent="0.25">
      <c r="A2952" s="65">
        <v>2951</v>
      </c>
      <c r="B2952" s="64">
        <v>29094576.623609051</v>
      </c>
    </row>
    <row r="2953" spans="1:2" x14ac:dyDescent="0.25">
      <c r="A2953" s="65">
        <v>2952</v>
      </c>
      <c r="B2953" s="64">
        <v>33479531.783483025</v>
      </c>
    </row>
    <row r="2954" spans="1:2" x14ac:dyDescent="0.25">
      <c r="A2954" s="65">
        <v>2953</v>
      </c>
      <c r="B2954" s="64">
        <v>29096349.695907164</v>
      </c>
    </row>
    <row r="2955" spans="1:2" x14ac:dyDescent="0.25">
      <c r="A2955" s="65">
        <v>2954</v>
      </c>
      <c r="B2955" s="64">
        <v>29137197.137878608</v>
      </c>
    </row>
    <row r="2956" spans="1:2" x14ac:dyDescent="0.25">
      <c r="A2956" s="65">
        <v>2955</v>
      </c>
      <c r="B2956" s="64">
        <v>31182860.265537176</v>
      </c>
    </row>
    <row r="2957" spans="1:2" x14ac:dyDescent="0.25">
      <c r="A2957" s="65">
        <v>2956</v>
      </c>
      <c r="B2957" s="64">
        <v>29407574.490000848</v>
      </c>
    </row>
    <row r="2958" spans="1:2" x14ac:dyDescent="0.25">
      <c r="A2958" s="65">
        <v>2957</v>
      </c>
      <c r="B2958" s="64">
        <v>31051878.717452496</v>
      </c>
    </row>
    <row r="2959" spans="1:2" x14ac:dyDescent="0.25">
      <c r="A2959" s="65">
        <v>2958</v>
      </c>
      <c r="B2959" s="64">
        <v>29406737.785605725</v>
      </c>
    </row>
    <row r="2960" spans="1:2" x14ac:dyDescent="0.25">
      <c r="A2960" s="65">
        <v>2959</v>
      </c>
      <c r="B2960" s="64">
        <v>28529428.964974936</v>
      </c>
    </row>
    <row r="2961" spans="1:2" x14ac:dyDescent="0.25">
      <c r="A2961" s="65">
        <v>2960</v>
      </c>
      <c r="B2961" s="64">
        <v>28677777.194455985</v>
      </c>
    </row>
    <row r="2962" spans="1:2" x14ac:dyDescent="0.25">
      <c r="A2962" s="65">
        <v>2961</v>
      </c>
      <c r="B2962" s="64">
        <v>29706017.92543127</v>
      </c>
    </row>
    <row r="2963" spans="1:2" x14ac:dyDescent="0.25">
      <c r="A2963" s="65">
        <v>2962</v>
      </c>
      <c r="B2963" s="64">
        <v>29024683.536482789</v>
      </c>
    </row>
    <row r="2964" spans="1:2" x14ac:dyDescent="0.25">
      <c r="A2964" s="65">
        <v>2963</v>
      </c>
      <c r="B2964" s="64">
        <v>28734284.379775297</v>
      </c>
    </row>
    <row r="2965" spans="1:2" x14ac:dyDescent="0.25">
      <c r="A2965" s="65">
        <v>2964</v>
      </c>
      <c r="B2965" s="64">
        <v>28843600.604317792</v>
      </c>
    </row>
    <row r="2966" spans="1:2" x14ac:dyDescent="0.25">
      <c r="A2966" s="65">
        <v>2965</v>
      </c>
      <c r="B2966" s="64">
        <v>28999327.310808014</v>
      </c>
    </row>
    <row r="2967" spans="1:2" x14ac:dyDescent="0.25">
      <c r="A2967" s="65">
        <v>2966</v>
      </c>
      <c r="B2967" s="64">
        <v>29565325.517440286</v>
      </c>
    </row>
    <row r="2968" spans="1:2" x14ac:dyDescent="0.25">
      <c r="A2968" s="65">
        <v>2967</v>
      </c>
      <c r="B2968" s="64">
        <v>28447750.732985027</v>
      </c>
    </row>
    <row r="2969" spans="1:2" x14ac:dyDescent="0.25">
      <c r="A2969" s="65">
        <v>2968</v>
      </c>
      <c r="B2969" s="64">
        <v>28583603.210281201</v>
      </c>
    </row>
    <row r="2970" spans="1:2" x14ac:dyDescent="0.25">
      <c r="A2970" s="65">
        <v>2969</v>
      </c>
      <c r="B2970" s="64">
        <v>28707637.841123462</v>
      </c>
    </row>
    <row r="2971" spans="1:2" x14ac:dyDescent="0.25">
      <c r="A2971" s="65">
        <v>2970</v>
      </c>
      <c r="B2971" s="64">
        <v>29400612.294824708</v>
      </c>
    </row>
    <row r="2972" spans="1:2" x14ac:dyDescent="0.25">
      <c r="A2972" s="65">
        <v>2971</v>
      </c>
      <c r="B2972" s="64">
        <v>29331296.504967742</v>
      </c>
    </row>
    <row r="2973" spans="1:2" x14ac:dyDescent="0.25">
      <c r="A2973" s="65">
        <v>2972</v>
      </c>
      <c r="B2973" s="64">
        <v>28660857.068838213</v>
      </c>
    </row>
    <row r="2974" spans="1:2" x14ac:dyDescent="0.25">
      <c r="A2974" s="65">
        <v>2973</v>
      </c>
      <c r="B2974" s="64">
        <v>29647966.769996662</v>
      </c>
    </row>
    <row r="2975" spans="1:2" x14ac:dyDescent="0.25">
      <c r="A2975" s="65">
        <v>2974</v>
      </c>
      <c r="B2975" s="64">
        <v>28841151.321982864</v>
      </c>
    </row>
    <row r="2976" spans="1:2" x14ac:dyDescent="0.25">
      <c r="A2976" s="65">
        <v>2975</v>
      </c>
      <c r="B2976" s="64">
        <v>29128628.476819012</v>
      </c>
    </row>
    <row r="2977" spans="1:2" x14ac:dyDescent="0.25">
      <c r="A2977" s="65">
        <v>2976</v>
      </c>
      <c r="B2977" s="64">
        <v>29077826.112890009</v>
      </c>
    </row>
    <row r="2978" spans="1:2" x14ac:dyDescent="0.25">
      <c r="A2978" s="65">
        <v>2977</v>
      </c>
      <c r="B2978" s="64">
        <v>28416642.71211978</v>
      </c>
    </row>
    <row r="2979" spans="1:2" x14ac:dyDescent="0.25">
      <c r="A2979" s="65">
        <v>2978</v>
      </c>
      <c r="B2979" s="64">
        <v>29506754.716803093</v>
      </c>
    </row>
    <row r="2980" spans="1:2" x14ac:dyDescent="0.25">
      <c r="A2980" s="65">
        <v>2979</v>
      </c>
      <c r="B2980" s="64">
        <v>28847944.68874127</v>
      </c>
    </row>
    <row r="2981" spans="1:2" x14ac:dyDescent="0.25">
      <c r="A2981" s="65">
        <v>2980</v>
      </c>
      <c r="B2981" s="64">
        <v>29279992.184616003</v>
      </c>
    </row>
    <row r="2982" spans="1:2" x14ac:dyDescent="0.25">
      <c r="A2982" s="65">
        <v>2981</v>
      </c>
      <c r="B2982" s="64">
        <v>29275605.688070785</v>
      </c>
    </row>
    <row r="2983" spans="1:2" x14ac:dyDescent="0.25">
      <c r="A2983" s="65">
        <v>2982</v>
      </c>
      <c r="B2983" s="64">
        <v>28484374.834447503</v>
      </c>
    </row>
    <row r="2984" spans="1:2" x14ac:dyDescent="0.25">
      <c r="A2984" s="65">
        <v>2983</v>
      </c>
      <c r="B2984" s="64">
        <v>29796659.832435098</v>
      </c>
    </row>
    <row r="2985" spans="1:2" x14ac:dyDescent="0.25">
      <c r="A2985" s="65">
        <v>2984</v>
      </c>
      <c r="B2985" s="64">
        <v>29250588.967914231</v>
      </c>
    </row>
    <row r="2986" spans="1:2" x14ac:dyDescent="0.25">
      <c r="A2986" s="65">
        <v>2985</v>
      </c>
      <c r="B2986" s="64">
        <v>28869321.973698795</v>
      </c>
    </row>
    <row r="2987" spans="1:2" x14ac:dyDescent="0.25">
      <c r="A2987" s="65">
        <v>2986</v>
      </c>
      <c r="B2987" s="64">
        <v>30001412.550342694</v>
      </c>
    </row>
    <row r="2988" spans="1:2" x14ac:dyDescent="0.25">
      <c r="A2988" s="65">
        <v>2987</v>
      </c>
      <c r="B2988" s="64">
        <v>29142605.56679409</v>
      </c>
    </row>
    <row r="2989" spans="1:2" x14ac:dyDescent="0.25">
      <c r="A2989" s="65">
        <v>2988</v>
      </c>
      <c r="B2989" s="64">
        <v>28720107.211177055</v>
      </c>
    </row>
    <row r="2990" spans="1:2" x14ac:dyDescent="0.25">
      <c r="A2990" s="65">
        <v>2989</v>
      </c>
      <c r="B2990" s="64">
        <v>28750271.942894015</v>
      </c>
    </row>
    <row r="2991" spans="1:2" x14ac:dyDescent="0.25">
      <c r="A2991" s="65">
        <v>2990</v>
      </c>
      <c r="B2991" s="64">
        <v>28870482.194812786</v>
      </c>
    </row>
    <row r="2992" spans="1:2" x14ac:dyDescent="0.25">
      <c r="A2992" s="65">
        <v>2991</v>
      </c>
      <c r="B2992" s="64">
        <v>28673749.4240591</v>
      </c>
    </row>
    <row r="2993" spans="1:2" x14ac:dyDescent="0.25">
      <c r="A2993" s="65">
        <v>2992</v>
      </c>
      <c r="B2993" s="64">
        <v>29089790.177063886</v>
      </c>
    </row>
    <row r="2994" spans="1:2" x14ac:dyDescent="0.25">
      <c r="A2994" s="65">
        <v>2993</v>
      </c>
      <c r="B2994" s="64">
        <v>29589045.531215411</v>
      </c>
    </row>
    <row r="2995" spans="1:2" x14ac:dyDescent="0.25">
      <c r="A2995" s="65">
        <v>2994</v>
      </c>
      <c r="B2995" s="64">
        <v>29607562.177029815</v>
      </c>
    </row>
    <row r="2996" spans="1:2" x14ac:dyDescent="0.25">
      <c r="A2996" s="65">
        <v>2995</v>
      </c>
      <c r="B2996" s="64">
        <v>33767670.403201625</v>
      </c>
    </row>
    <row r="2997" spans="1:2" x14ac:dyDescent="0.25">
      <c r="A2997" s="65">
        <v>2996</v>
      </c>
      <c r="B2997" s="64">
        <v>30170497.372411817</v>
      </c>
    </row>
    <row r="2998" spans="1:2" x14ac:dyDescent="0.25">
      <c r="A2998" s="65">
        <v>2997</v>
      </c>
      <c r="B2998" s="64">
        <v>28863626.908707272</v>
      </c>
    </row>
    <row r="2999" spans="1:2" x14ac:dyDescent="0.25">
      <c r="A2999" s="65">
        <v>2998</v>
      </c>
      <c r="B2999" s="64">
        <v>28775348.587649159</v>
      </c>
    </row>
    <row r="3000" spans="1:2" x14ac:dyDescent="0.25">
      <c r="A3000" s="65">
        <v>2999</v>
      </c>
      <c r="B3000" s="64">
        <v>28474048.858771738</v>
      </c>
    </row>
    <row r="3001" spans="1:2" x14ac:dyDescent="0.25">
      <c r="A3001" s="65">
        <v>3000</v>
      </c>
      <c r="B3001" s="64">
        <v>29204669.144913238</v>
      </c>
    </row>
    <row r="3002" spans="1:2" x14ac:dyDescent="0.25">
      <c r="A3002" s="65">
        <v>3001</v>
      </c>
      <c r="B3002" s="64">
        <v>29258785.843653396</v>
      </c>
    </row>
    <row r="3003" spans="1:2" x14ac:dyDescent="0.25">
      <c r="A3003" s="65">
        <v>3002</v>
      </c>
      <c r="B3003" s="64">
        <v>29415349.964760203</v>
      </c>
    </row>
    <row r="3004" spans="1:2" x14ac:dyDescent="0.25">
      <c r="A3004" s="65">
        <v>3003</v>
      </c>
      <c r="B3004" s="64">
        <v>30522788.418211129</v>
      </c>
    </row>
    <row r="3005" spans="1:2" x14ac:dyDescent="0.25">
      <c r="A3005" s="65">
        <v>3004</v>
      </c>
      <c r="B3005" s="64">
        <v>28496132.555600941</v>
      </c>
    </row>
    <row r="3006" spans="1:2" x14ac:dyDescent="0.25">
      <c r="A3006" s="65">
        <v>3005</v>
      </c>
      <c r="B3006" s="64">
        <v>28841924.360642135</v>
      </c>
    </row>
    <row r="3007" spans="1:2" x14ac:dyDescent="0.25">
      <c r="A3007" s="65">
        <v>3006</v>
      </c>
      <c r="B3007" s="64">
        <v>29765354.394468501</v>
      </c>
    </row>
    <row r="3008" spans="1:2" x14ac:dyDescent="0.25">
      <c r="A3008" s="65">
        <v>3007</v>
      </c>
      <c r="B3008" s="64">
        <v>28670607.154541112</v>
      </c>
    </row>
    <row r="3009" spans="1:2" x14ac:dyDescent="0.25">
      <c r="A3009" s="65">
        <v>3008</v>
      </c>
      <c r="B3009" s="64">
        <v>28576738.152507674</v>
      </c>
    </row>
    <row r="3010" spans="1:2" x14ac:dyDescent="0.25">
      <c r="A3010" s="65">
        <v>3009</v>
      </c>
      <c r="B3010" s="64">
        <v>29375319.748790808</v>
      </c>
    </row>
    <row r="3011" spans="1:2" x14ac:dyDescent="0.25">
      <c r="A3011" s="65">
        <v>3010</v>
      </c>
      <c r="B3011" s="64">
        <v>29708814.733877987</v>
      </c>
    </row>
    <row r="3012" spans="1:2" x14ac:dyDescent="0.25">
      <c r="A3012" s="65">
        <v>3011</v>
      </c>
      <c r="B3012" s="64">
        <v>28855246.835443709</v>
      </c>
    </row>
    <row r="3013" spans="1:2" x14ac:dyDescent="0.25">
      <c r="A3013" s="65">
        <v>3012</v>
      </c>
      <c r="B3013" s="64">
        <v>28894866.351870917</v>
      </c>
    </row>
    <row r="3014" spans="1:2" x14ac:dyDescent="0.25">
      <c r="A3014" s="65">
        <v>3013</v>
      </c>
      <c r="B3014" s="64">
        <v>29715900.917137068</v>
      </c>
    </row>
    <row r="3015" spans="1:2" x14ac:dyDescent="0.25">
      <c r="A3015" s="65">
        <v>3014</v>
      </c>
      <c r="B3015" s="64">
        <v>28530502.401133019</v>
      </c>
    </row>
    <row r="3016" spans="1:2" x14ac:dyDescent="0.25">
      <c r="A3016" s="65">
        <v>3015</v>
      </c>
      <c r="B3016" s="64">
        <v>28939269.597391028</v>
      </c>
    </row>
    <row r="3017" spans="1:2" x14ac:dyDescent="0.25">
      <c r="A3017" s="65">
        <v>3016</v>
      </c>
      <c r="B3017" s="64">
        <v>29284809.737258807</v>
      </c>
    </row>
    <row r="3018" spans="1:2" x14ac:dyDescent="0.25">
      <c r="A3018" s="65">
        <v>3017</v>
      </c>
      <c r="B3018" s="64">
        <v>29518245.885633066</v>
      </c>
    </row>
    <row r="3019" spans="1:2" x14ac:dyDescent="0.25">
      <c r="A3019" s="65">
        <v>3018</v>
      </c>
      <c r="B3019" s="64">
        <v>29575794.238029823</v>
      </c>
    </row>
    <row r="3020" spans="1:2" x14ac:dyDescent="0.25">
      <c r="A3020" s="65">
        <v>3019</v>
      </c>
      <c r="B3020" s="64">
        <v>29001791.031395089</v>
      </c>
    </row>
    <row r="3021" spans="1:2" x14ac:dyDescent="0.25">
      <c r="A3021" s="65">
        <v>3020</v>
      </c>
      <c r="B3021" s="64">
        <v>28635644.495792877</v>
      </c>
    </row>
    <row r="3022" spans="1:2" x14ac:dyDescent="0.25">
      <c r="A3022" s="65">
        <v>3021</v>
      </c>
      <c r="B3022" s="64">
        <v>30406494.28743647</v>
      </c>
    </row>
    <row r="3023" spans="1:2" x14ac:dyDescent="0.25">
      <c r="A3023" s="65">
        <v>3022</v>
      </c>
      <c r="B3023" s="64">
        <v>33802509.089641996</v>
      </c>
    </row>
    <row r="3024" spans="1:2" x14ac:dyDescent="0.25">
      <c r="A3024" s="65">
        <v>3023</v>
      </c>
      <c r="B3024" s="64">
        <v>28985155.674185339</v>
      </c>
    </row>
    <row r="3025" spans="1:2" x14ac:dyDescent="0.25">
      <c r="A3025" s="65">
        <v>3024</v>
      </c>
      <c r="B3025" s="64">
        <v>28652811.259657104</v>
      </c>
    </row>
    <row r="3026" spans="1:2" x14ac:dyDescent="0.25">
      <c r="A3026" s="65">
        <v>3025</v>
      </c>
      <c r="B3026" s="64">
        <v>29590547.917918704</v>
      </c>
    </row>
    <row r="3027" spans="1:2" x14ac:dyDescent="0.25">
      <c r="A3027" s="65">
        <v>3026</v>
      </c>
      <c r="B3027" s="64">
        <v>28695174.550134994</v>
      </c>
    </row>
    <row r="3028" spans="1:2" x14ac:dyDescent="0.25">
      <c r="A3028" s="65">
        <v>3027</v>
      </c>
      <c r="B3028" s="64">
        <v>29146741.779090948</v>
      </c>
    </row>
    <row r="3029" spans="1:2" x14ac:dyDescent="0.25">
      <c r="A3029" s="65">
        <v>3028</v>
      </c>
      <c r="B3029" s="64">
        <v>30295408.447246663</v>
      </c>
    </row>
    <row r="3030" spans="1:2" x14ac:dyDescent="0.25">
      <c r="A3030" s="65">
        <v>3029</v>
      </c>
      <c r="B3030" s="64">
        <v>29638588.936741371</v>
      </c>
    </row>
    <row r="3031" spans="1:2" x14ac:dyDescent="0.25">
      <c r="A3031" s="65">
        <v>3030</v>
      </c>
      <c r="B3031" s="64">
        <v>29178210.389371913</v>
      </c>
    </row>
    <row r="3032" spans="1:2" x14ac:dyDescent="0.25">
      <c r="A3032" s="65">
        <v>3031</v>
      </c>
      <c r="B3032" s="64">
        <v>28719423.299912136</v>
      </c>
    </row>
    <row r="3033" spans="1:2" x14ac:dyDescent="0.25">
      <c r="A3033" s="65">
        <v>3032</v>
      </c>
      <c r="B3033" s="64">
        <v>28944578.934828941</v>
      </c>
    </row>
    <row r="3034" spans="1:2" x14ac:dyDescent="0.25">
      <c r="A3034" s="65">
        <v>3033</v>
      </c>
      <c r="B3034" s="64">
        <v>29028524.823605254</v>
      </c>
    </row>
    <row r="3035" spans="1:2" x14ac:dyDescent="0.25">
      <c r="A3035" s="65">
        <v>3034</v>
      </c>
      <c r="B3035" s="64">
        <v>29390574.159318149</v>
      </c>
    </row>
    <row r="3036" spans="1:2" x14ac:dyDescent="0.25">
      <c r="A3036" s="65">
        <v>3035</v>
      </c>
      <c r="B3036" s="64">
        <v>29755968.08439872</v>
      </c>
    </row>
    <row r="3037" spans="1:2" x14ac:dyDescent="0.25">
      <c r="A3037" s="65">
        <v>3036</v>
      </c>
      <c r="B3037" s="64">
        <v>28846466.630836613</v>
      </c>
    </row>
    <row r="3038" spans="1:2" x14ac:dyDescent="0.25">
      <c r="A3038" s="65">
        <v>3037</v>
      </c>
      <c r="B3038" s="64">
        <v>29781466.895317182</v>
      </c>
    </row>
    <row r="3039" spans="1:2" x14ac:dyDescent="0.25">
      <c r="A3039" s="65">
        <v>3038</v>
      </c>
      <c r="B3039" s="64">
        <v>29683604.958902553</v>
      </c>
    </row>
    <row r="3040" spans="1:2" x14ac:dyDescent="0.25">
      <c r="A3040" s="65">
        <v>3039</v>
      </c>
      <c r="B3040" s="64">
        <v>29604678.560144305</v>
      </c>
    </row>
    <row r="3041" spans="1:2" x14ac:dyDescent="0.25">
      <c r="A3041" s="65">
        <v>3040</v>
      </c>
      <c r="B3041" s="64">
        <v>30279297.438855562</v>
      </c>
    </row>
    <row r="3042" spans="1:2" x14ac:dyDescent="0.25">
      <c r="A3042" s="65">
        <v>3041</v>
      </c>
      <c r="B3042" s="64">
        <v>29228988.841309227</v>
      </c>
    </row>
    <row r="3043" spans="1:2" x14ac:dyDescent="0.25">
      <c r="A3043" s="65">
        <v>3042</v>
      </c>
      <c r="B3043" s="64">
        <v>30779711.409109961</v>
      </c>
    </row>
    <row r="3044" spans="1:2" x14ac:dyDescent="0.25">
      <c r="A3044" s="65">
        <v>3043</v>
      </c>
      <c r="B3044" s="64">
        <v>30265768.440191749</v>
      </c>
    </row>
    <row r="3045" spans="1:2" x14ac:dyDescent="0.25">
      <c r="A3045" s="65">
        <v>3044</v>
      </c>
      <c r="B3045" s="64">
        <v>29299887.159661997</v>
      </c>
    </row>
    <row r="3046" spans="1:2" x14ac:dyDescent="0.25">
      <c r="A3046" s="65">
        <v>3045</v>
      </c>
      <c r="B3046" s="64">
        <v>29307965.260336593</v>
      </c>
    </row>
    <row r="3047" spans="1:2" x14ac:dyDescent="0.25">
      <c r="A3047" s="65">
        <v>3046</v>
      </c>
      <c r="B3047" s="64">
        <v>32807482.550822925</v>
      </c>
    </row>
    <row r="3048" spans="1:2" x14ac:dyDescent="0.25">
      <c r="A3048" s="65">
        <v>3047</v>
      </c>
      <c r="B3048" s="64">
        <v>28795611.915107246</v>
      </c>
    </row>
    <row r="3049" spans="1:2" x14ac:dyDescent="0.25">
      <c r="A3049" s="65">
        <v>3048</v>
      </c>
      <c r="B3049" s="64">
        <v>28695608.256254941</v>
      </c>
    </row>
    <row r="3050" spans="1:2" x14ac:dyDescent="0.25">
      <c r="A3050" s="65">
        <v>3049</v>
      </c>
      <c r="B3050" s="64">
        <v>30600873.728586327</v>
      </c>
    </row>
    <row r="3051" spans="1:2" x14ac:dyDescent="0.25">
      <c r="A3051" s="65">
        <v>3050</v>
      </c>
      <c r="B3051" s="64">
        <v>29400697.450453971</v>
      </c>
    </row>
    <row r="3052" spans="1:2" x14ac:dyDescent="0.25">
      <c r="A3052" s="65">
        <v>3051</v>
      </c>
      <c r="B3052" s="64">
        <v>28830775.371638179</v>
      </c>
    </row>
    <row r="3053" spans="1:2" x14ac:dyDescent="0.25">
      <c r="A3053" s="65">
        <v>3052</v>
      </c>
      <c r="B3053" s="64">
        <v>28791058.212236691</v>
      </c>
    </row>
    <row r="3054" spans="1:2" x14ac:dyDescent="0.25">
      <c r="A3054" s="65">
        <v>3053</v>
      </c>
      <c r="B3054" s="64">
        <v>30721230.108132523</v>
      </c>
    </row>
    <row r="3055" spans="1:2" x14ac:dyDescent="0.25">
      <c r="A3055" s="65">
        <v>3054</v>
      </c>
      <c r="B3055" s="64">
        <v>30306660.342913445</v>
      </c>
    </row>
    <row r="3056" spans="1:2" x14ac:dyDescent="0.25">
      <c r="A3056" s="65">
        <v>3055</v>
      </c>
      <c r="B3056" s="64">
        <v>28623788.274165299</v>
      </c>
    </row>
    <row r="3057" spans="1:2" x14ac:dyDescent="0.25">
      <c r="A3057" s="65">
        <v>3056</v>
      </c>
      <c r="B3057" s="64">
        <v>28540332.574051794</v>
      </c>
    </row>
    <row r="3058" spans="1:2" x14ac:dyDescent="0.25">
      <c r="A3058" s="65">
        <v>3057</v>
      </c>
      <c r="B3058" s="64">
        <v>30478791.168119825</v>
      </c>
    </row>
    <row r="3059" spans="1:2" x14ac:dyDescent="0.25">
      <c r="A3059" s="65">
        <v>3058</v>
      </c>
      <c r="B3059" s="64">
        <v>28467266.840943649</v>
      </c>
    </row>
    <row r="3060" spans="1:2" x14ac:dyDescent="0.25">
      <c r="A3060" s="65">
        <v>3059</v>
      </c>
      <c r="B3060" s="64">
        <v>29782297.96658089</v>
      </c>
    </row>
    <row r="3061" spans="1:2" x14ac:dyDescent="0.25">
      <c r="A3061" s="65">
        <v>3060</v>
      </c>
      <c r="B3061" s="64">
        <v>28834348.424956657</v>
      </c>
    </row>
    <row r="3062" spans="1:2" x14ac:dyDescent="0.25">
      <c r="A3062" s="65">
        <v>3061</v>
      </c>
      <c r="B3062" s="64">
        <v>30037797.194565035</v>
      </c>
    </row>
    <row r="3063" spans="1:2" x14ac:dyDescent="0.25">
      <c r="A3063" s="65">
        <v>3062</v>
      </c>
      <c r="B3063" s="64">
        <v>31007088.622618109</v>
      </c>
    </row>
    <row r="3064" spans="1:2" x14ac:dyDescent="0.25">
      <c r="A3064" s="65">
        <v>3063</v>
      </c>
      <c r="B3064" s="64">
        <v>30078206.228073448</v>
      </c>
    </row>
    <row r="3065" spans="1:2" x14ac:dyDescent="0.25">
      <c r="A3065" s="65">
        <v>3064</v>
      </c>
      <c r="B3065" s="64">
        <v>28933852.828456249</v>
      </c>
    </row>
    <row r="3066" spans="1:2" x14ac:dyDescent="0.25">
      <c r="A3066" s="65">
        <v>3065</v>
      </c>
      <c r="B3066" s="64">
        <v>28898186.017581947</v>
      </c>
    </row>
    <row r="3067" spans="1:2" x14ac:dyDescent="0.25">
      <c r="A3067" s="65">
        <v>3066</v>
      </c>
      <c r="B3067" s="64">
        <v>28676256.609767664</v>
      </c>
    </row>
    <row r="3068" spans="1:2" x14ac:dyDescent="0.25">
      <c r="A3068" s="65">
        <v>3067</v>
      </c>
      <c r="B3068" s="64">
        <v>28945680.893512849</v>
      </c>
    </row>
    <row r="3069" spans="1:2" x14ac:dyDescent="0.25">
      <c r="A3069" s="65">
        <v>3068</v>
      </c>
      <c r="B3069" s="64">
        <v>28461013.715813044</v>
      </c>
    </row>
    <row r="3070" spans="1:2" x14ac:dyDescent="0.25">
      <c r="A3070" s="65">
        <v>3069</v>
      </c>
      <c r="B3070" s="64">
        <v>29124553.536661893</v>
      </c>
    </row>
    <row r="3071" spans="1:2" x14ac:dyDescent="0.25">
      <c r="A3071" s="65">
        <v>3070</v>
      </c>
      <c r="B3071" s="64">
        <v>28975853.74213488</v>
      </c>
    </row>
    <row r="3072" spans="1:2" x14ac:dyDescent="0.25">
      <c r="A3072" s="65">
        <v>3071</v>
      </c>
      <c r="B3072" s="64">
        <v>28559394.516466729</v>
      </c>
    </row>
    <row r="3073" spans="1:2" x14ac:dyDescent="0.25">
      <c r="A3073" s="65">
        <v>3072</v>
      </c>
      <c r="B3073" s="64">
        <v>29886717.613943409</v>
      </c>
    </row>
    <row r="3074" spans="1:2" x14ac:dyDescent="0.25">
      <c r="A3074" s="65">
        <v>3073</v>
      </c>
      <c r="B3074" s="64">
        <v>28728608.994029686</v>
      </c>
    </row>
    <row r="3075" spans="1:2" x14ac:dyDescent="0.25">
      <c r="A3075" s="65">
        <v>3074</v>
      </c>
      <c r="B3075" s="64">
        <v>29911739.958730653</v>
      </c>
    </row>
    <row r="3076" spans="1:2" x14ac:dyDescent="0.25">
      <c r="A3076" s="65">
        <v>3075</v>
      </c>
      <c r="B3076" s="64">
        <v>28824204.695038926</v>
      </c>
    </row>
    <row r="3077" spans="1:2" x14ac:dyDescent="0.25">
      <c r="A3077" s="65">
        <v>3076</v>
      </c>
      <c r="B3077" s="64">
        <v>29018445.499355998</v>
      </c>
    </row>
    <row r="3078" spans="1:2" x14ac:dyDescent="0.25">
      <c r="A3078" s="65">
        <v>3077</v>
      </c>
      <c r="B3078" s="64">
        <v>28948163.086972248</v>
      </c>
    </row>
    <row r="3079" spans="1:2" x14ac:dyDescent="0.25">
      <c r="A3079" s="65">
        <v>3078</v>
      </c>
      <c r="B3079" s="64">
        <v>28755868.461980972</v>
      </c>
    </row>
    <row r="3080" spans="1:2" x14ac:dyDescent="0.25">
      <c r="A3080" s="65">
        <v>3079</v>
      </c>
      <c r="B3080" s="64">
        <v>29434231.219077371</v>
      </c>
    </row>
    <row r="3081" spans="1:2" x14ac:dyDescent="0.25">
      <c r="A3081" s="65">
        <v>3080</v>
      </c>
      <c r="B3081" s="64">
        <v>29545538.005806725</v>
      </c>
    </row>
    <row r="3082" spans="1:2" x14ac:dyDescent="0.25">
      <c r="A3082" s="65">
        <v>3081</v>
      </c>
      <c r="B3082" s="64">
        <v>28992062.748353772</v>
      </c>
    </row>
    <row r="3083" spans="1:2" x14ac:dyDescent="0.25">
      <c r="A3083" s="65">
        <v>3082</v>
      </c>
      <c r="B3083" s="64">
        <v>29011696.644404802</v>
      </c>
    </row>
    <row r="3084" spans="1:2" x14ac:dyDescent="0.25">
      <c r="A3084" s="65">
        <v>3083</v>
      </c>
      <c r="B3084" s="64">
        <v>28443168.364233993</v>
      </c>
    </row>
    <row r="3085" spans="1:2" x14ac:dyDescent="0.25">
      <c r="A3085" s="65">
        <v>3084</v>
      </c>
      <c r="B3085" s="64">
        <v>29979893.873730265</v>
      </c>
    </row>
    <row r="3086" spans="1:2" x14ac:dyDescent="0.25">
      <c r="A3086" s="65">
        <v>3085</v>
      </c>
      <c r="B3086" s="64">
        <v>29005001.961427987</v>
      </c>
    </row>
    <row r="3087" spans="1:2" x14ac:dyDescent="0.25">
      <c r="A3087" s="65">
        <v>3086</v>
      </c>
      <c r="B3087" s="64">
        <v>30076986.042424113</v>
      </c>
    </row>
    <row r="3088" spans="1:2" x14ac:dyDescent="0.25">
      <c r="A3088" s="65">
        <v>3087</v>
      </c>
      <c r="B3088" s="64">
        <v>30685303.072662082</v>
      </c>
    </row>
    <row r="3089" spans="1:2" x14ac:dyDescent="0.25">
      <c r="A3089" s="65">
        <v>3088</v>
      </c>
      <c r="B3089" s="64">
        <v>28647647.307543546</v>
      </c>
    </row>
    <row r="3090" spans="1:2" x14ac:dyDescent="0.25">
      <c r="A3090" s="65">
        <v>3089</v>
      </c>
      <c r="B3090" s="64">
        <v>30347732.127461281</v>
      </c>
    </row>
    <row r="3091" spans="1:2" x14ac:dyDescent="0.25">
      <c r="A3091" s="65">
        <v>3090</v>
      </c>
      <c r="B3091" s="64">
        <v>28866536.355722297</v>
      </c>
    </row>
    <row r="3092" spans="1:2" x14ac:dyDescent="0.25">
      <c r="A3092" s="65">
        <v>3091</v>
      </c>
      <c r="B3092" s="64">
        <v>29707281.551553119</v>
      </c>
    </row>
    <row r="3093" spans="1:2" x14ac:dyDescent="0.25">
      <c r="A3093" s="65">
        <v>3092</v>
      </c>
      <c r="B3093" s="64">
        <v>30700031.123634715</v>
      </c>
    </row>
    <row r="3094" spans="1:2" x14ac:dyDescent="0.25">
      <c r="A3094" s="65">
        <v>3093</v>
      </c>
      <c r="B3094" s="64">
        <v>29231115.867278382</v>
      </c>
    </row>
    <row r="3095" spans="1:2" x14ac:dyDescent="0.25">
      <c r="A3095" s="65">
        <v>3094</v>
      </c>
      <c r="B3095" s="64">
        <v>28932674.766041793</v>
      </c>
    </row>
    <row r="3096" spans="1:2" x14ac:dyDescent="0.25">
      <c r="A3096" s="65">
        <v>3095</v>
      </c>
      <c r="B3096" s="64">
        <v>28966503.751292441</v>
      </c>
    </row>
    <row r="3097" spans="1:2" x14ac:dyDescent="0.25">
      <c r="A3097" s="65">
        <v>3096</v>
      </c>
      <c r="B3097" s="64">
        <v>30402501.528345156</v>
      </c>
    </row>
    <row r="3098" spans="1:2" x14ac:dyDescent="0.25">
      <c r="A3098" s="65">
        <v>3097</v>
      </c>
      <c r="B3098" s="64">
        <v>28929035.734203652</v>
      </c>
    </row>
    <row r="3099" spans="1:2" x14ac:dyDescent="0.25">
      <c r="A3099" s="65">
        <v>3098</v>
      </c>
      <c r="B3099" s="64">
        <v>28516344.506001148</v>
      </c>
    </row>
    <row r="3100" spans="1:2" x14ac:dyDescent="0.25">
      <c r="A3100" s="65">
        <v>3099</v>
      </c>
      <c r="B3100" s="64">
        <v>30023352.405832041</v>
      </c>
    </row>
    <row r="3101" spans="1:2" x14ac:dyDescent="0.25">
      <c r="A3101" s="65">
        <v>3100</v>
      </c>
      <c r="B3101" s="64">
        <v>29846756.076975323</v>
      </c>
    </row>
    <row r="3102" spans="1:2" x14ac:dyDescent="0.25">
      <c r="A3102" s="65">
        <v>3101</v>
      </c>
      <c r="B3102" s="64">
        <v>33399423.805737417</v>
      </c>
    </row>
    <row r="3103" spans="1:2" x14ac:dyDescent="0.25">
      <c r="A3103" s="65">
        <v>3102</v>
      </c>
      <c r="B3103" s="64">
        <v>30436846.136127058</v>
      </c>
    </row>
    <row r="3104" spans="1:2" x14ac:dyDescent="0.25">
      <c r="A3104" s="65">
        <v>3103</v>
      </c>
      <c r="B3104" s="64">
        <v>29078465.22128382</v>
      </c>
    </row>
    <row r="3105" spans="1:2" x14ac:dyDescent="0.25">
      <c r="A3105" s="65">
        <v>3104</v>
      </c>
      <c r="B3105" s="64">
        <v>28936099.222677857</v>
      </c>
    </row>
    <row r="3106" spans="1:2" x14ac:dyDescent="0.25">
      <c r="A3106" s="65">
        <v>3105</v>
      </c>
      <c r="B3106" s="64">
        <v>29936348.537443753</v>
      </c>
    </row>
    <row r="3107" spans="1:2" x14ac:dyDescent="0.25">
      <c r="A3107" s="65">
        <v>3106</v>
      </c>
      <c r="B3107" s="64">
        <v>29690625.900735345</v>
      </c>
    </row>
    <row r="3108" spans="1:2" x14ac:dyDescent="0.25">
      <c r="A3108" s="65">
        <v>3107</v>
      </c>
      <c r="B3108" s="64">
        <v>28887603.198573116</v>
      </c>
    </row>
    <row r="3109" spans="1:2" x14ac:dyDescent="0.25">
      <c r="A3109" s="65">
        <v>3108</v>
      </c>
      <c r="B3109" s="64">
        <v>29056090.168025471</v>
      </c>
    </row>
    <row r="3110" spans="1:2" x14ac:dyDescent="0.25">
      <c r="A3110" s="65">
        <v>3109</v>
      </c>
      <c r="B3110" s="64">
        <v>29443709.729549564</v>
      </c>
    </row>
    <row r="3111" spans="1:2" x14ac:dyDescent="0.25">
      <c r="A3111" s="65">
        <v>3110</v>
      </c>
      <c r="B3111" s="64">
        <v>29509876.726656497</v>
      </c>
    </row>
    <row r="3112" spans="1:2" x14ac:dyDescent="0.25">
      <c r="A3112" s="65">
        <v>3111</v>
      </c>
      <c r="B3112" s="64">
        <v>30740365.403769642</v>
      </c>
    </row>
    <row r="3113" spans="1:2" x14ac:dyDescent="0.25">
      <c r="A3113" s="65">
        <v>3112</v>
      </c>
      <c r="B3113" s="64">
        <v>28735303.832354311</v>
      </c>
    </row>
    <row r="3114" spans="1:2" x14ac:dyDescent="0.25">
      <c r="A3114" s="65">
        <v>3113</v>
      </c>
      <c r="B3114" s="64">
        <v>28602954.390316408</v>
      </c>
    </row>
    <row r="3115" spans="1:2" x14ac:dyDescent="0.25">
      <c r="A3115" s="65">
        <v>3114</v>
      </c>
      <c r="B3115" s="64">
        <v>30408167.438171819</v>
      </c>
    </row>
    <row r="3116" spans="1:2" x14ac:dyDescent="0.25">
      <c r="A3116" s="65">
        <v>3115</v>
      </c>
      <c r="B3116" s="64">
        <v>28543708.050736055</v>
      </c>
    </row>
    <row r="3117" spans="1:2" x14ac:dyDescent="0.25">
      <c r="A3117" s="65">
        <v>3116</v>
      </c>
      <c r="B3117" s="64">
        <v>29107002.49530787</v>
      </c>
    </row>
    <row r="3118" spans="1:2" x14ac:dyDescent="0.25">
      <c r="A3118" s="65">
        <v>3117</v>
      </c>
      <c r="B3118" s="64">
        <v>28640357.941995509</v>
      </c>
    </row>
    <row r="3119" spans="1:2" x14ac:dyDescent="0.25">
      <c r="A3119" s="65">
        <v>3118</v>
      </c>
      <c r="B3119" s="64">
        <v>29800632.771781374</v>
      </c>
    </row>
    <row r="3120" spans="1:2" x14ac:dyDescent="0.25">
      <c r="A3120" s="65">
        <v>3119</v>
      </c>
      <c r="B3120" s="64">
        <v>29574786.545219254</v>
      </c>
    </row>
    <row r="3121" spans="1:2" x14ac:dyDescent="0.25">
      <c r="A3121" s="65">
        <v>3120</v>
      </c>
      <c r="B3121" s="64">
        <v>28908734.816714253</v>
      </c>
    </row>
    <row r="3122" spans="1:2" x14ac:dyDescent="0.25">
      <c r="A3122" s="65">
        <v>3121</v>
      </c>
      <c r="B3122" s="64">
        <v>29409061.510808468</v>
      </c>
    </row>
    <row r="3123" spans="1:2" x14ac:dyDescent="0.25">
      <c r="A3123" s="65">
        <v>3122</v>
      </c>
      <c r="B3123" s="64">
        <v>29840844.288848624</v>
      </c>
    </row>
    <row r="3124" spans="1:2" x14ac:dyDescent="0.25">
      <c r="A3124" s="65">
        <v>3123</v>
      </c>
      <c r="B3124" s="64">
        <v>30439050.360338844</v>
      </c>
    </row>
    <row r="3125" spans="1:2" x14ac:dyDescent="0.25">
      <c r="A3125" s="65">
        <v>3124</v>
      </c>
      <c r="B3125" s="64">
        <v>28780090.587000374</v>
      </c>
    </row>
    <row r="3126" spans="1:2" x14ac:dyDescent="0.25">
      <c r="A3126" s="65">
        <v>3125</v>
      </c>
      <c r="B3126" s="64">
        <v>29624994.08903848</v>
      </c>
    </row>
    <row r="3127" spans="1:2" x14ac:dyDescent="0.25">
      <c r="A3127" s="65">
        <v>3126</v>
      </c>
      <c r="B3127" s="64">
        <v>29094713.670212023</v>
      </c>
    </row>
    <row r="3128" spans="1:2" x14ac:dyDescent="0.25">
      <c r="A3128" s="65">
        <v>3127</v>
      </c>
      <c r="B3128" s="64">
        <v>28974209.780313201</v>
      </c>
    </row>
    <row r="3129" spans="1:2" x14ac:dyDescent="0.25">
      <c r="A3129" s="65">
        <v>3128</v>
      </c>
      <c r="B3129" s="64">
        <v>28904543.274192486</v>
      </c>
    </row>
    <row r="3130" spans="1:2" x14ac:dyDescent="0.25">
      <c r="A3130" s="65">
        <v>3129</v>
      </c>
      <c r="B3130" s="64">
        <v>28911549.567428701</v>
      </c>
    </row>
    <row r="3131" spans="1:2" x14ac:dyDescent="0.25">
      <c r="A3131" s="65">
        <v>3130</v>
      </c>
      <c r="B3131" s="64">
        <v>29742472.398186535</v>
      </c>
    </row>
    <row r="3132" spans="1:2" x14ac:dyDescent="0.25">
      <c r="A3132" s="65">
        <v>3131</v>
      </c>
      <c r="B3132" s="64">
        <v>29260747.981762636</v>
      </c>
    </row>
    <row r="3133" spans="1:2" x14ac:dyDescent="0.25">
      <c r="A3133" s="65">
        <v>3132</v>
      </c>
      <c r="B3133" s="64">
        <v>28712225.615691848</v>
      </c>
    </row>
    <row r="3134" spans="1:2" x14ac:dyDescent="0.25">
      <c r="A3134" s="65">
        <v>3133</v>
      </c>
      <c r="B3134" s="64">
        <v>28864024.460080639</v>
      </c>
    </row>
    <row r="3135" spans="1:2" x14ac:dyDescent="0.25">
      <c r="A3135" s="65">
        <v>3134</v>
      </c>
      <c r="B3135" s="64">
        <v>32029941.731528357</v>
      </c>
    </row>
    <row r="3136" spans="1:2" x14ac:dyDescent="0.25">
      <c r="A3136" s="65">
        <v>3135</v>
      </c>
      <c r="B3136" s="64">
        <v>28871095.708724294</v>
      </c>
    </row>
    <row r="3137" spans="1:2" x14ac:dyDescent="0.25">
      <c r="A3137" s="65">
        <v>3136</v>
      </c>
      <c r="B3137" s="64">
        <v>28908783.78646829</v>
      </c>
    </row>
    <row r="3138" spans="1:2" x14ac:dyDescent="0.25">
      <c r="A3138" s="65">
        <v>3137</v>
      </c>
      <c r="B3138" s="64">
        <v>28961820.371232767</v>
      </c>
    </row>
    <row r="3139" spans="1:2" x14ac:dyDescent="0.25">
      <c r="A3139" s="65">
        <v>3138</v>
      </c>
      <c r="B3139" s="64">
        <v>28356279.049670357</v>
      </c>
    </row>
    <row r="3140" spans="1:2" x14ac:dyDescent="0.25">
      <c r="A3140" s="65">
        <v>3139</v>
      </c>
      <c r="B3140" s="64">
        <v>28883431.929770939</v>
      </c>
    </row>
    <row r="3141" spans="1:2" x14ac:dyDescent="0.25">
      <c r="A3141" s="65">
        <v>3140</v>
      </c>
      <c r="B3141" s="64">
        <v>29972748.176567279</v>
      </c>
    </row>
    <row r="3142" spans="1:2" x14ac:dyDescent="0.25">
      <c r="A3142" s="65">
        <v>3141</v>
      </c>
      <c r="B3142" s="64">
        <v>28563506.678177219</v>
      </c>
    </row>
    <row r="3143" spans="1:2" x14ac:dyDescent="0.25">
      <c r="A3143" s="65">
        <v>3142</v>
      </c>
      <c r="B3143" s="64">
        <v>29873438.028808124</v>
      </c>
    </row>
    <row r="3144" spans="1:2" x14ac:dyDescent="0.25">
      <c r="A3144" s="65">
        <v>3143</v>
      </c>
      <c r="B3144" s="64">
        <v>29350923.439008608</v>
      </c>
    </row>
    <row r="3145" spans="1:2" x14ac:dyDescent="0.25">
      <c r="A3145" s="65">
        <v>3144</v>
      </c>
      <c r="B3145" s="64">
        <v>29173459.733748969</v>
      </c>
    </row>
    <row r="3146" spans="1:2" x14ac:dyDescent="0.25">
      <c r="A3146" s="65">
        <v>3145</v>
      </c>
      <c r="B3146" s="64">
        <v>29579469.892743066</v>
      </c>
    </row>
    <row r="3147" spans="1:2" x14ac:dyDescent="0.25">
      <c r="A3147" s="65">
        <v>3146</v>
      </c>
      <c r="B3147" s="64">
        <v>28440574.0500548</v>
      </c>
    </row>
    <row r="3148" spans="1:2" x14ac:dyDescent="0.25">
      <c r="A3148" s="65">
        <v>3147</v>
      </c>
      <c r="B3148" s="64">
        <v>28900074.307361186</v>
      </c>
    </row>
    <row r="3149" spans="1:2" x14ac:dyDescent="0.25">
      <c r="A3149" s="65">
        <v>3148</v>
      </c>
      <c r="B3149" s="64">
        <v>28933659.727759764</v>
      </c>
    </row>
    <row r="3150" spans="1:2" x14ac:dyDescent="0.25">
      <c r="A3150" s="65">
        <v>3149</v>
      </c>
      <c r="B3150" s="64">
        <v>28482350.042168684</v>
      </c>
    </row>
    <row r="3151" spans="1:2" x14ac:dyDescent="0.25">
      <c r="A3151" s="65">
        <v>3150</v>
      </c>
      <c r="B3151" s="64">
        <v>28780602.124882717</v>
      </c>
    </row>
    <row r="3152" spans="1:2" x14ac:dyDescent="0.25">
      <c r="A3152" s="65">
        <v>3151</v>
      </c>
      <c r="B3152" s="64">
        <v>29097476.210655551</v>
      </c>
    </row>
    <row r="3153" spans="1:2" x14ac:dyDescent="0.25">
      <c r="A3153" s="65">
        <v>3152</v>
      </c>
      <c r="B3153" s="64">
        <v>28816854.247994334</v>
      </c>
    </row>
    <row r="3154" spans="1:2" x14ac:dyDescent="0.25">
      <c r="A3154" s="65">
        <v>3153</v>
      </c>
      <c r="B3154" s="64">
        <v>32778637.846176721</v>
      </c>
    </row>
    <row r="3155" spans="1:2" x14ac:dyDescent="0.25">
      <c r="A3155" s="65">
        <v>3154</v>
      </c>
      <c r="B3155" s="64">
        <v>28507235.792486381</v>
      </c>
    </row>
    <row r="3156" spans="1:2" x14ac:dyDescent="0.25">
      <c r="A3156" s="65">
        <v>3155</v>
      </c>
      <c r="B3156" s="64">
        <v>28699282.858451474</v>
      </c>
    </row>
    <row r="3157" spans="1:2" x14ac:dyDescent="0.25">
      <c r="A3157" s="65">
        <v>3156</v>
      </c>
      <c r="B3157" s="64">
        <v>28997556.251644854</v>
      </c>
    </row>
    <row r="3158" spans="1:2" x14ac:dyDescent="0.25">
      <c r="A3158" s="65">
        <v>3157</v>
      </c>
      <c r="B3158" s="64">
        <v>28804126.928889692</v>
      </c>
    </row>
    <row r="3159" spans="1:2" x14ac:dyDescent="0.25">
      <c r="A3159" s="65">
        <v>3158</v>
      </c>
      <c r="B3159" s="64">
        <v>28915429.683965217</v>
      </c>
    </row>
    <row r="3160" spans="1:2" x14ac:dyDescent="0.25">
      <c r="A3160" s="65">
        <v>3159</v>
      </c>
      <c r="B3160" s="64">
        <v>28471099.674893256</v>
      </c>
    </row>
    <row r="3161" spans="1:2" x14ac:dyDescent="0.25">
      <c r="A3161" s="65">
        <v>3160</v>
      </c>
      <c r="B3161" s="64">
        <v>29470301.439675879</v>
      </c>
    </row>
    <row r="3162" spans="1:2" x14ac:dyDescent="0.25">
      <c r="A3162" s="65">
        <v>3161</v>
      </c>
      <c r="B3162" s="64">
        <v>29642796.504259098</v>
      </c>
    </row>
    <row r="3163" spans="1:2" x14ac:dyDescent="0.25">
      <c r="A3163" s="65">
        <v>3162</v>
      </c>
      <c r="B3163" s="64">
        <v>29253076.702106357</v>
      </c>
    </row>
    <row r="3164" spans="1:2" x14ac:dyDescent="0.25">
      <c r="A3164" s="65">
        <v>3163</v>
      </c>
      <c r="B3164" s="64">
        <v>30271382.868109949</v>
      </c>
    </row>
    <row r="3165" spans="1:2" x14ac:dyDescent="0.25">
      <c r="A3165" s="65">
        <v>3164</v>
      </c>
      <c r="B3165" s="64">
        <v>28487894.601429582</v>
      </c>
    </row>
    <row r="3166" spans="1:2" x14ac:dyDescent="0.25">
      <c r="A3166" s="65">
        <v>3165</v>
      </c>
      <c r="B3166" s="64">
        <v>28742969.347052947</v>
      </c>
    </row>
    <row r="3167" spans="1:2" x14ac:dyDescent="0.25">
      <c r="A3167" s="65">
        <v>3166</v>
      </c>
      <c r="B3167" s="64">
        <v>29628965.947700758</v>
      </c>
    </row>
    <row r="3168" spans="1:2" x14ac:dyDescent="0.25">
      <c r="A3168" s="65">
        <v>3167</v>
      </c>
      <c r="B3168" s="64">
        <v>29630934.258125626</v>
      </c>
    </row>
    <row r="3169" spans="1:2" x14ac:dyDescent="0.25">
      <c r="A3169" s="65">
        <v>3168</v>
      </c>
      <c r="B3169" s="64">
        <v>29608080.845493145</v>
      </c>
    </row>
    <row r="3170" spans="1:2" x14ac:dyDescent="0.25">
      <c r="A3170" s="65">
        <v>3169</v>
      </c>
      <c r="B3170" s="64">
        <v>28629139.726971101</v>
      </c>
    </row>
    <row r="3171" spans="1:2" x14ac:dyDescent="0.25">
      <c r="A3171" s="65">
        <v>3170</v>
      </c>
      <c r="B3171" s="64">
        <v>28772973.891041379</v>
      </c>
    </row>
    <row r="3172" spans="1:2" x14ac:dyDescent="0.25">
      <c r="A3172" s="65">
        <v>3171</v>
      </c>
      <c r="B3172" s="64">
        <v>30292697.968624968</v>
      </c>
    </row>
    <row r="3173" spans="1:2" x14ac:dyDescent="0.25">
      <c r="A3173" s="65">
        <v>3172</v>
      </c>
      <c r="B3173" s="64">
        <v>29704921.025476649</v>
      </c>
    </row>
    <row r="3174" spans="1:2" x14ac:dyDescent="0.25">
      <c r="A3174" s="65">
        <v>3173</v>
      </c>
      <c r="B3174" s="64">
        <v>28811719.467400156</v>
      </c>
    </row>
    <row r="3175" spans="1:2" x14ac:dyDescent="0.25">
      <c r="A3175" s="65">
        <v>3174</v>
      </c>
      <c r="B3175" s="64">
        <v>29064649.949817669</v>
      </c>
    </row>
    <row r="3176" spans="1:2" x14ac:dyDescent="0.25">
      <c r="A3176" s="65">
        <v>3175</v>
      </c>
      <c r="B3176" s="64">
        <v>29019166.26861947</v>
      </c>
    </row>
    <row r="3177" spans="1:2" x14ac:dyDescent="0.25">
      <c r="A3177" s="65">
        <v>3176</v>
      </c>
      <c r="B3177" s="64">
        <v>28284212.839648768</v>
      </c>
    </row>
    <row r="3178" spans="1:2" x14ac:dyDescent="0.25">
      <c r="A3178" s="65">
        <v>3177</v>
      </c>
      <c r="B3178" s="64">
        <v>29448371.878339309</v>
      </c>
    </row>
    <row r="3179" spans="1:2" x14ac:dyDescent="0.25">
      <c r="A3179" s="65">
        <v>3178</v>
      </c>
      <c r="B3179" s="64">
        <v>29861180.727289606</v>
      </c>
    </row>
    <row r="3180" spans="1:2" x14ac:dyDescent="0.25">
      <c r="A3180" s="65">
        <v>3179</v>
      </c>
      <c r="B3180" s="64">
        <v>29418656.221325647</v>
      </c>
    </row>
    <row r="3181" spans="1:2" x14ac:dyDescent="0.25">
      <c r="A3181" s="65">
        <v>3180</v>
      </c>
      <c r="B3181" s="64">
        <v>28703248.663213067</v>
      </c>
    </row>
    <row r="3182" spans="1:2" x14ac:dyDescent="0.25">
      <c r="A3182" s="65">
        <v>3181</v>
      </c>
      <c r="B3182" s="64">
        <v>32927232.149883684</v>
      </c>
    </row>
    <row r="3183" spans="1:2" x14ac:dyDescent="0.25">
      <c r="A3183" s="65">
        <v>3182</v>
      </c>
      <c r="B3183" s="64">
        <v>28659127.245100088</v>
      </c>
    </row>
    <row r="3184" spans="1:2" x14ac:dyDescent="0.25">
      <c r="A3184" s="65">
        <v>3183</v>
      </c>
      <c r="B3184" s="64">
        <v>28982824.371740963</v>
      </c>
    </row>
    <row r="3185" spans="1:2" x14ac:dyDescent="0.25">
      <c r="A3185" s="65">
        <v>3184</v>
      </c>
      <c r="B3185" s="64">
        <v>28609219.432438087</v>
      </c>
    </row>
    <row r="3186" spans="1:2" x14ac:dyDescent="0.25">
      <c r="A3186" s="65">
        <v>3185</v>
      </c>
      <c r="B3186" s="64">
        <v>29440314.625392225</v>
      </c>
    </row>
    <row r="3187" spans="1:2" x14ac:dyDescent="0.25">
      <c r="A3187" s="65">
        <v>3186</v>
      </c>
      <c r="B3187" s="64">
        <v>28656943.141150642</v>
      </c>
    </row>
    <row r="3188" spans="1:2" x14ac:dyDescent="0.25">
      <c r="A3188" s="65">
        <v>3187</v>
      </c>
      <c r="B3188" s="64">
        <v>28503811.693842109</v>
      </c>
    </row>
    <row r="3189" spans="1:2" x14ac:dyDescent="0.25">
      <c r="A3189" s="65">
        <v>3188</v>
      </c>
      <c r="B3189" s="64">
        <v>30529153.940685414</v>
      </c>
    </row>
    <row r="3190" spans="1:2" x14ac:dyDescent="0.25">
      <c r="A3190" s="65">
        <v>3189</v>
      </c>
      <c r="B3190" s="64">
        <v>29391917.062711146</v>
      </c>
    </row>
    <row r="3191" spans="1:2" x14ac:dyDescent="0.25">
      <c r="A3191" s="65">
        <v>3190</v>
      </c>
      <c r="B3191" s="64">
        <v>29501790.935491286</v>
      </c>
    </row>
    <row r="3192" spans="1:2" x14ac:dyDescent="0.25">
      <c r="A3192" s="65">
        <v>3191</v>
      </c>
      <c r="B3192" s="64">
        <v>29185800.597119793</v>
      </c>
    </row>
    <row r="3193" spans="1:2" x14ac:dyDescent="0.25">
      <c r="A3193" s="65">
        <v>3192</v>
      </c>
      <c r="B3193" s="64">
        <v>28982988.9965587</v>
      </c>
    </row>
    <row r="3194" spans="1:2" x14ac:dyDescent="0.25">
      <c r="A3194" s="65">
        <v>3193</v>
      </c>
      <c r="B3194" s="64">
        <v>29498955.248453535</v>
      </c>
    </row>
    <row r="3195" spans="1:2" x14ac:dyDescent="0.25">
      <c r="A3195" s="65">
        <v>3194</v>
      </c>
      <c r="B3195" s="64">
        <v>30310673.041661877</v>
      </c>
    </row>
    <row r="3196" spans="1:2" x14ac:dyDescent="0.25">
      <c r="A3196" s="65">
        <v>3195</v>
      </c>
      <c r="B3196" s="64">
        <v>28885286.783561654</v>
      </c>
    </row>
    <row r="3197" spans="1:2" x14ac:dyDescent="0.25">
      <c r="A3197" s="65">
        <v>3196</v>
      </c>
      <c r="B3197" s="64">
        <v>30122545.645677079</v>
      </c>
    </row>
    <row r="3198" spans="1:2" x14ac:dyDescent="0.25">
      <c r="A3198" s="65">
        <v>3197</v>
      </c>
      <c r="B3198" s="64">
        <v>29648299.840144947</v>
      </c>
    </row>
    <row r="3199" spans="1:2" x14ac:dyDescent="0.25">
      <c r="A3199" s="65">
        <v>3198</v>
      </c>
      <c r="B3199" s="64">
        <v>29131428.594298705</v>
      </c>
    </row>
    <row r="3200" spans="1:2" x14ac:dyDescent="0.25">
      <c r="A3200" s="65">
        <v>3199</v>
      </c>
      <c r="B3200" s="64">
        <v>33573742.398394883</v>
      </c>
    </row>
    <row r="3201" spans="1:2" x14ac:dyDescent="0.25">
      <c r="A3201" s="65">
        <v>3200</v>
      </c>
      <c r="B3201" s="64">
        <v>29887239.510380935</v>
      </c>
    </row>
    <row r="3202" spans="1:2" x14ac:dyDescent="0.25">
      <c r="A3202" s="65">
        <v>3201</v>
      </c>
      <c r="B3202" s="64">
        <v>28984614.620949801</v>
      </c>
    </row>
    <row r="3203" spans="1:2" x14ac:dyDescent="0.25">
      <c r="A3203" s="65">
        <v>3202</v>
      </c>
      <c r="B3203" s="64">
        <v>29598398.864745814</v>
      </c>
    </row>
    <row r="3204" spans="1:2" x14ac:dyDescent="0.25">
      <c r="A3204" s="65">
        <v>3203</v>
      </c>
      <c r="B3204" s="64">
        <v>28599913.043923207</v>
      </c>
    </row>
    <row r="3205" spans="1:2" x14ac:dyDescent="0.25">
      <c r="A3205" s="65">
        <v>3204</v>
      </c>
      <c r="B3205" s="64">
        <v>29560082.860023495</v>
      </c>
    </row>
    <row r="3206" spans="1:2" x14ac:dyDescent="0.25">
      <c r="A3206" s="65">
        <v>3205</v>
      </c>
      <c r="B3206" s="64">
        <v>29684462.051815353</v>
      </c>
    </row>
    <row r="3207" spans="1:2" x14ac:dyDescent="0.25">
      <c r="A3207" s="65">
        <v>3206</v>
      </c>
      <c r="B3207" s="64">
        <v>30052502.901434258</v>
      </c>
    </row>
    <row r="3208" spans="1:2" x14ac:dyDescent="0.25">
      <c r="A3208" s="65">
        <v>3207</v>
      </c>
      <c r="B3208" s="64">
        <v>30097732.700200848</v>
      </c>
    </row>
    <row r="3209" spans="1:2" x14ac:dyDescent="0.25">
      <c r="A3209" s="65">
        <v>3208</v>
      </c>
      <c r="B3209" s="64">
        <v>28924783.191139102</v>
      </c>
    </row>
    <row r="3210" spans="1:2" x14ac:dyDescent="0.25">
      <c r="A3210" s="65">
        <v>3209</v>
      </c>
      <c r="B3210" s="64">
        <v>28783451.324606825</v>
      </c>
    </row>
    <row r="3211" spans="1:2" x14ac:dyDescent="0.25">
      <c r="A3211" s="65">
        <v>3210</v>
      </c>
      <c r="B3211" s="64">
        <v>28708600.86361666</v>
      </c>
    </row>
    <row r="3212" spans="1:2" x14ac:dyDescent="0.25">
      <c r="A3212" s="65">
        <v>3211</v>
      </c>
      <c r="B3212" s="64">
        <v>29286104.062576562</v>
      </c>
    </row>
    <row r="3213" spans="1:2" x14ac:dyDescent="0.25">
      <c r="A3213" s="65">
        <v>3212</v>
      </c>
      <c r="B3213" s="64">
        <v>29294122.991667017</v>
      </c>
    </row>
    <row r="3214" spans="1:2" x14ac:dyDescent="0.25">
      <c r="A3214" s="65">
        <v>3213</v>
      </c>
      <c r="B3214" s="64">
        <v>28724129.255167961</v>
      </c>
    </row>
    <row r="3215" spans="1:2" x14ac:dyDescent="0.25">
      <c r="A3215" s="65">
        <v>3214</v>
      </c>
      <c r="B3215" s="64">
        <v>34132745.252361514</v>
      </c>
    </row>
    <row r="3216" spans="1:2" x14ac:dyDescent="0.25">
      <c r="A3216" s="65">
        <v>3215</v>
      </c>
      <c r="B3216" s="64">
        <v>28559619.103088323</v>
      </c>
    </row>
    <row r="3217" spans="1:2" x14ac:dyDescent="0.25">
      <c r="A3217" s="65">
        <v>3216</v>
      </c>
      <c r="B3217" s="64">
        <v>29457974.271777194</v>
      </c>
    </row>
    <row r="3218" spans="1:2" x14ac:dyDescent="0.25">
      <c r="A3218" s="65">
        <v>3217</v>
      </c>
      <c r="B3218" s="64">
        <v>28668344.861557528</v>
      </c>
    </row>
    <row r="3219" spans="1:2" x14ac:dyDescent="0.25">
      <c r="A3219" s="65">
        <v>3218</v>
      </c>
      <c r="B3219" s="64">
        <v>30531187.452772744</v>
      </c>
    </row>
    <row r="3220" spans="1:2" x14ac:dyDescent="0.25">
      <c r="A3220" s="65">
        <v>3219</v>
      </c>
      <c r="B3220" s="64">
        <v>29318253.184903409</v>
      </c>
    </row>
    <row r="3221" spans="1:2" x14ac:dyDescent="0.25">
      <c r="A3221" s="65">
        <v>3220</v>
      </c>
      <c r="B3221" s="64">
        <v>28846300.957582057</v>
      </c>
    </row>
    <row r="3222" spans="1:2" x14ac:dyDescent="0.25">
      <c r="A3222" s="65">
        <v>3221</v>
      </c>
      <c r="B3222" s="64">
        <v>29878705.486938018</v>
      </c>
    </row>
    <row r="3223" spans="1:2" x14ac:dyDescent="0.25">
      <c r="A3223" s="65">
        <v>3222</v>
      </c>
      <c r="B3223" s="64">
        <v>28378828.914790664</v>
      </c>
    </row>
    <row r="3224" spans="1:2" x14ac:dyDescent="0.25">
      <c r="A3224" s="65">
        <v>3223</v>
      </c>
      <c r="B3224" s="64">
        <v>29757062.581206489</v>
      </c>
    </row>
    <row r="3225" spans="1:2" x14ac:dyDescent="0.25">
      <c r="A3225" s="65">
        <v>3224</v>
      </c>
      <c r="B3225" s="64">
        <v>28508359.943863645</v>
      </c>
    </row>
    <row r="3226" spans="1:2" x14ac:dyDescent="0.25">
      <c r="A3226" s="65">
        <v>3225</v>
      </c>
      <c r="B3226" s="64">
        <v>29276013.621105909</v>
      </c>
    </row>
    <row r="3227" spans="1:2" x14ac:dyDescent="0.25">
      <c r="A3227" s="65">
        <v>3226</v>
      </c>
      <c r="B3227" s="64">
        <v>30325690.501748323</v>
      </c>
    </row>
    <row r="3228" spans="1:2" x14ac:dyDescent="0.25">
      <c r="A3228" s="65">
        <v>3227</v>
      </c>
      <c r="B3228" s="64">
        <v>28855771.010045607</v>
      </c>
    </row>
    <row r="3229" spans="1:2" x14ac:dyDescent="0.25">
      <c r="A3229" s="65">
        <v>3228</v>
      </c>
      <c r="B3229" s="64">
        <v>28889531.936007239</v>
      </c>
    </row>
    <row r="3230" spans="1:2" x14ac:dyDescent="0.25">
      <c r="A3230" s="65">
        <v>3229</v>
      </c>
      <c r="B3230" s="64">
        <v>29117933.143948346</v>
      </c>
    </row>
    <row r="3231" spans="1:2" x14ac:dyDescent="0.25">
      <c r="A3231" s="65">
        <v>3230</v>
      </c>
      <c r="B3231" s="64">
        <v>28625364.525548391</v>
      </c>
    </row>
    <row r="3232" spans="1:2" x14ac:dyDescent="0.25">
      <c r="A3232" s="65">
        <v>3231</v>
      </c>
      <c r="B3232" s="64">
        <v>29838227.668623228</v>
      </c>
    </row>
    <row r="3233" spans="1:2" x14ac:dyDescent="0.25">
      <c r="A3233" s="65">
        <v>3232</v>
      </c>
      <c r="B3233" s="64">
        <v>29324114.923230968</v>
      </c>
    </row>
    <row r="3234" spans="1:2" x14ac:dyDescent="0.25">
      <c r="A3234" s="65">
        <v>3233</v>
      </c>
      <c r="B3234" s="64">
        <v>29203870.490865771</v>
      </c>
    </row>
    <row r="3235" spans="1:2" x14ac:dyDescent="0.25">
      <c r="A3235" s="65">
        <v>3234</v>
      </c>
      <c r="B3235" s="64">
        <v>29007127.878871102</v>
      </c>
    </row>
    <row r="3236" spans="1:2" x14ac:dyDescent="0.25">
      <c r="A3236" s="65">
        <v>3235</v>
      </c>
      <c r="B3236" s="64">
        <v>29136340.501058187</v>
      </c>
    </row>
    <row r="3237" spans="1:2" x14ac:dyDescent="0.25">
      <c r="A3237" s="65">
        <v>3236</v>
      </c>
      <c r="B3237" s="64">
        <v>29602808.736211766</v>
      </c>
    </row>
    <row r="3238" spans="1:2" x14ac:dyDescent="0.25">
      <c r="A3238" s="65">
        <v>3237</v>
      </c>
      <c r="B3238" s="64">
        <v>28667946.795116868</v>
      </c>
    </row>
    <row r="3239" spans="1:2" x14ac:dyDescent="0.25">
      <c r="A3239" s="65">
        <v>3238</v>
      </c>
      <c r="B3239" s="64">
        <v>29119684.983373933</v>
      </c>
    </row>
    <row r="3240" spans="1:2" x14ac:dyDescent="0.25">
      <c r="A3240" s="65">
        <v>3239</v>
      </c>
      <c r="B3240" s="64">
        <v>29359198.911137976</v>
      </c>
    </row>
    <row r="3241" spans="1:2" x14ac:dyDescent="0.25">
      <c r="A3241" s="65">
        <v>3240</v>
      </c>
      <c r="B3241" s="64">
        <v>28564048.477779549</v>
      </c>
    </row>
    <row r="3242" spans="1:2" x14ac:dyDescent="0.25">
      <c r="A3242" s="65">
        <v>3241</v>
      </c>
      <c r="B3242" s="64">
        <v>29475695.513729695</v>
      </c>
    </row>
    <row r="3243" spans="1:2" x14ac:dyDescent="0.25">
      <c r="A3243" s="65">
        <v>3242</v>
      </c>
      <c r="B3243" s="64">
        <v>28771608.743084747</v>
      </c>
    </row>
    <row r="3244" spans="1:2" x14ac:dyDescent="0.25">
      <c r="A3244" s="65">
        <v>3243</v>
      </c>
      <c r="B3244" s="64">
        <v>29029581.006034225</v>
      </c>
    </row>
    <row r="3245" spans="1:2" x14ac:dyDescent="0.25">
      <c r="A3245" s="65">
        <v>3244</v>
      </c>
      <c r="B3245" s="64">
        <v>29355680.172687005</v>
      </c>
    </row>
    <row r="3246" spans="1:2" x14ac:dyDescent="0.25">
      <c r="A3246" s="65">
        <v>3245</v>
      </c>
      <c r="B3246" s="64">
        <v>30118909.336379062</v>
      </c>
    </row>
    <row r="3247" spans="1:2" x14ac:dyDescent="0.25">
      <c r="A3247" s="65">
        <v>3246</v>
      </c>
      <c r="B3247" s="64">
        <v>28658025.518113386</v>
      </c>
    </row>
    <row r="3248" spans="1:2" x14ac:dyDescent="0.25">
      <c r="A3248" s="65">
        <v>3247</v>
      </c>
      <c r="B3248" s="64">
        <v>28928477.534523245</v>
      </c>
    </row>
    <row r="3249" spans="1:2" x14ac:dyDescent="0.25">
      <c r="A3249" s="65">
        <v>3248</v>
      </c>
      <c r="B3249" s="64">
        <v>29177149.301258907</v>
      </c>
    </row>
    <row r="3250" spans="1:2" x14ac:dyDescent="0.25">
      <c r="A3250" s="65">
        <v>3249</v>
      </c>
      <c r="B3250" s="64">
        <v>28458094.65224139</v>
      </c>
    </row>
    <row r="3251" spans="1:2" x14ac:dyDescent="0.25">
      <c r="A3251" s="65">
        <v>3250</v>
      </c>
      <c r="B3251" s="64">
        <v>29269543.424960736</v>
      </c>
    </row>
    <row r="3252" spans="1:2" x14ac:dyDescent="0.25">
      <c r="A3252" s="65">
        <v>3251</v>
      </c>
      <c r="B3252" s="64">
        <v>28866311.709520832</v>
      </c>
    </row>
    <row r="3253" spans="1:2" x14ac:dyDescent="0.25">
      <c r="A3253" s="65">
        <v>3252</v>
      </c>
      <c r="B3253" s="64">
        <v>28974108.383884944</v>
      </c>
    </row>
    <row r="3254" spans="1:2" x14ac:dyDescent="0.25">
      <c r="A3254" s="65">
        <v>3253</v>
      </c>
      <c r="B3254" s="64">
        <v>29205819.870875873</v>
      </c>
    </row>
    <row r="3255" spans="1:2" x14ac:dyDescent="0.25">
      <c r="A3255" s="65">
        <v>3254</v>
      </c>
      <c r="B3255" s="64">
        <v>29359184.321635071</v>
      </c>
    </row>
    <row r="3256" spans="1:2" x14ac:dyDescent="0.25">
      <c r="A3256" s="65">
        <v>3255</v>
      </c>
      <c r="B3256" s="64">
        <v>28499960.379517324</v>
      </c>
    </row>
    <row r="3257" spans="1:2" x14ac:dyDescent="0.25">
      <c r="A3257" s="65">
        <v>3256</v>
      </c>
      <c r="B3257" s="64">
        <v>29333809.401065573</v>
      </c>
    </row>
    <row r="3258" spans="1:2" x14ac:dyDescent="0.25">
      <c r="A3258" s="65">
        <v>3257</v>
      </c>
      <c r="B3258" s="64">
        <v>28817408.310919154</v>
      </c>
    </row>
    <row r="3259" spans="1:2" x14ac:dyDescent="0.25">
      <c r="A3259" s="65">
        <v>3258</v>
      </c>
      <c r="B3259" s="64">
        <v>29008181.678536389</v>
      </c>
    </row>
    <row r="3260" spans="1:2" x14ac:dyDescent="0.25">
      <c r="A3260" s="65">
        <v>3259</v>
      </c>
      <c r="B3260" s="64">
        <v>28665935.99325924</v>
      </c>
    </row>
    <row r="3261" spans="1:2" x14ac:dyDescent="0.25">
      <c r="A3261" s="65">
        <v>3260</v>
      </c>
      <c r="B3261" s="64">
        <v>28643822.575039443</v>
      </c>
    </row>
    <row r="3262" spans="1:2" x14ac:dyDescent="0.25">
      <c r="A3262" s="65">
        <v>3261</v>
      </c>
      <c r="B3262" s="64">
        <v>28597190.993464559</v>
      </c>
    </row>
    <row r="3263" spans="1:2" x14ac:dyDescent="0.25">
      <c r="A3263" s="65">
        <v>3262</v>
      </c>
      <c r="B3263" s="64">
        <v>28753354.321993101</v>
      </c>
    </row>
    <row r="3264" spans="1:2" x14ac:dyDescent="0.25">
      <c r="A3264" s="65">
        <v>3263</v>
      </c>
      <c r="B3264" s="64">
        <v>29273945.904108692</v>
      </c>
    </row>
    <row r="3265" spans="1:2" x14ac:dyDescent="0.25">
      <c r="A3265" s="65">
        <v>3264</v>
      </c>
      <c r="B3265" s="64">
        <v>29005149.011548132</v>
      </c>
    </row>
    <row r="3266" spans="1:2" x14ac:dyDescent="0.25">
      <c r="A3266" s="65">
        <v>3265</v>
      </c>
      <c r="B3266" s="64">
        <v>30997469.536730602</v>
      </c>
    </row>
    <row r="3267" spans="1:2" x14ac:dyDescent="0.25">
      <c r="A3267" s="65">
        <v>3266</v>
      </c>
      <c r="B3267" s="64">
        <v>30015519.810864545</v>
      </c>
    </row>
    <row r="3268" spans="1:2" x14ac:dyDescent="0.25">
      <c r="A3268" s="65">
        <v>3267</v>
      </c>
      <c r="B3268" s="64">
        <v>29623816.37113924</v>
      </c>
    </row>
    <row r="3269" spans="1:2" x14ac:dyDescent="0.25">
      <c r="A3269" s="65">
        <v>3268</v>
      </c>
      <c r="B3269" s="64">
        <v>29507508.948589768</v>
      </c>
    </row>
    <row r="3270" spans="1:2" x14ac:dyDescent="0.25">
      <c r="A3270" s="65">
        <v>3269</v>
      </c>
      <c r="B3270" s="64">
        <v>29059191.394993532</v>
      </c>
    </row>
    <row r="3271" spans="1:2" x14ac:dyDescent="0.25">
      <c r="A3271" s="65">
        <v>3270</v>
      </c>
      <c r="B3271" s="64">
        <v>28539975.168681327</v>
      </c>
    </row>
    <row r="3272" spans="1:2" x14ac:dyDescent="0.25">
      <c r="A3272" s="65">
        <v>3271</v>
      </c>
      <c r="B3272" s="64">
        <v>29374150.952217832</v>
      </c>
    </row>
    <row r="3273" spans="1:2" x14ac:dyDescent="0.25">
      <c r="A3273" s="65">
        <v>3272</v>
      </c>
      <c r="B3273" s="64">
        <v>33851844.162498511</v>
      </c>
    </row>
    <row r="3274" spans="1:2" x14ac:dyDescent="0.25">
      <c r="A3274" s="65">
        <v>3273</v>
      </c>
      <c r="B3274" s="64">
        <v>29895452.153000124</v>
      </c>
    </row>
    <row r="3275" spans="1:2" x14ac:dyDescent="0.25">
      <c r="A3275" s="65">
        <v>3274</v>
      </c>
      <c r="B3275" s="64">
        <v>29972800.560409781</v>
      </c>
    </row>
    <row r="3276" spans="1:2" x14ac:dyDescent="0.25">
      <c r="A3276" s="65">
        <v>3275</v>
      </c>
      <c r="B3276" s="64">
        <v>28464835.267783705</v>
      </c>
    </row>
    <row r="3277" spans="1:2" x14ac:dyDescent="0.25">
      <c r="A3277" s="65">
        <v>3276</v>
      </c>
      <c r="B3277" s="64">
        <v>31416569.369471546</v>
      </c>
    </row>
    <row r="3278" spans="1:2" x14ac:dyDescent="0.25">
      <c r="A3278" s="65">
        <v>3277</v>
      </c>
      <c r="B3278" s="64">
        <v>28570535.253328316</v>
      </c>
    </row>
    <row r="3279" spans="1:2" x14ac:dyDescent="0.25">
      <c r="A3279" s="65">
        <v>3278</v>
      </c>
      <c r="B3279" s="64">
        <v>29576208.285073344</v>
      </c>
    </row>
    <row r="3280" spans="1:2" x14ac:dyDescent="0.25">
      <c r="A3280" s="65">
        <v>3279</v>
      </c>
      <c r="B3280" s="64">
        <v>28739032.58851419</v>
      </c>
    </row>
    <row r="3281" spans="1:2" x14ac:dyDescent="0.25">
      <c r="A3281" s="65">
        <v>3280</v>
      </c>
      <c r="B3281" s="64">
        <v>30250597.091525242</v>
      </c>
    </row>
    <row r="3282" spans="1:2" x14ac:dyDescent="0.25">
      <c r="A3282" s="65">
        <v>3281</v>
      </c>
      <c r="B3282" s="64">
        <v>30057744.316546172</v>
      </c>
    </row>
    <row r="3283" spans="1:2" x14ac:dyDescent="0.25">
      <c r="A3283" s="65">
        <v>3282</v>
      </c>
      <c r="B3283" s="64">
        <v>29889238.747964554</v>
      </c>
    </row>
    <row r="3284" spans="1:2" x14ac:dyDescent="0.25">
      <c r="A3284" s="65">
        <v>3283</v>
      </c>
      <c r="B3284" s="64">
        <v>33167536.363748576</v>
      </c>
    </row>
    <row r="3285" spans="1:2" x14ac:dyDescent="0.25">
      <c r="A3285" s="65">
        <v>3284</v>
      </c>
      <c r="B3285" s="64">
        <v>29375620.427117504</v>
      </c>
    </row>
    <row r="3286" spans="1:2" x14ac:dyDescent="0.25">
      <c r="A3286" s="65">
        <v>3285</v>
      </c>
      <c r="B3286" s="64">
        <v>29171449.526068885</v>
      </c>
    </row>
    <row r="3287" spans="1:2" x14ac:dyDescent="0.25">
      <c r="A3287" s="65">
        <v>3286</v>
      </c>
      <c r="B3287" s="64">
        <v>29126021.919336196</v>
      </c>
    </row>
    <row r="3288" spans="1:2" x14ac:dyDescent="0.25">
      <c r="A3288" s="65">
        <v>3287</v>
      </c>
      <c r="B3288" s="64">
        <v>29418179.467999764</v>
      </c>
    </row>
    <row r="3289" spans="1:2" x14ac:dyDescent="0.25">
      <c r="A3289" s="65">
        <v>3288</v>
      </c>
      <c r="B3289" s="64">
        <v>29659526.542076476</v>
      </c>
    </row>
    <row r="3290" spans="1:2" x14ac:dyDescent="0.25">
      <c r="A3290" s="65">
        <v>3289</v>
      </c>
      <c r="B3290" s="64">
        <v>29675634.035114113</v>
      </c>
    </row>
    <row r="3291" spans="1:2" x14ac:dyDescent="0.25">
      <c r="A3291" s="65">
        <v>3290</v>
      </c>
      <c r="B3291" s="64">
        <v>28665685.941164628</v>
      </c>
    </row>
    <row r="3292" spans="1:2" x14ac:dyDescent="0.25">
      <c r="A3292" s="65">
        <v>3291</v>
      </c>
      <c r="B3292" s="64">
        <v>28461171.953165054</v>
      </c>
    </row>
    <row r="3293" spans="1:2" x14ac:dyDescent="0.25">
      <c r="A3293" s="65">
        <v>3292</v>
      </c>
      <c r="B3293" s="64">
        <v>30011235.008242771</v>
      </c>
    </row>
    <row r="3294" spans="1:2" x14ac:dyDescent="0.25">
      <c r="A3294" s="65">
        <v>3293</v>
      </c>
      <c r="B3294" s="64">
        <v>28631943.278129242</v>
      </c>
    </row>
    <row r="3295" spans="1:2" x14ac:dyDescent="0.25">
      <c r="A3295" s="65">
        <v>3294</v>
      </c>
      <c r="B3295" s="64">
        <v>33159124.970544681</v>
      </c>
    </row>
    <row r="3296" spans="1:2" x14ac:dyDescent="0.25">
      <c r="A3296" s="65">
        <v>3295</v>
      </c>
      <c r="B3296" s="64">
        <v>28520313.837188274</v>
      </c>
    </row>
    <row r="3297" spans="1:2" x14ac:dyDescent="0.25">
      <c r="A3297" s="65">
        <v>3296</v>
      </c>
      <c r="B3297" s="64">
        <v>28700751.957805555</v>
      </c>
    </row>
    <row r="3298" spans="1:2" x14ac:dyDescent="0.25">
      <c r="A3298" s="65">
        <v>3297</v>
      </c>
      <c r="B3298" s="64">
        <v>29128777.262364157</v>
      </c>
    </row>
    <row r="3299" spans="1:2" x14ac:dyDescent="0.25">
      <c r="A3299" s="65">
        <v>3298</v>
      </c>
      <c r="B3299" s="64">
        <v>29229881.546331853</v>
      </c>
    </row>
    <row r="3300" spans="1:2" x14ac:dyDescent="0.25">
      <c r="A3300" s="65">
        <v>3299</v>
      </c>
      <c r="B3300" s="64">
        <v>28650627.176931854</v>
      </c>
    </row>
    <row r="3301" spans="1:2" x14ac:dyDescent="0.25">
      <c r="A3301" s="65">
        <v>3300</v>
      </c>
      <c r="B3301" s="64">
        <v>28794549.825965695</v>
      </c>
    </row>
    <row r="3302" spans="1:2" x14ac:dyDescent="0.25">
      <c r="A3302" s="65">
        <v>3301</v>
      </c>
      <c r="B3302" s="64">
        <v>28507417.692348536</v>
      </c>
    </row>
    <row r="3303" spans="1:2" x14ac:dyDescent="0.25">
      <c r="A3303" s="65">
        <v>3302</v>
      </c>
      <c r="B3303" s="64">
        <v>35305422.180739574</v>
      </c>
    </row>
    <row r="3304" spans="1:2" x14ac:dyDescent="0.25">
      <c r="A3304" s="65">
        <v>3303</v>
      </c>
      <c r="B3304" s="64">
        <v>28595888.488241788</v>
      </c>
    </row>
    <row r="3305" spans="1:2" x14ac:dyDescent="0.25">
      <c r="A3305" s="65">
        <v>3304</v>
      </c>
      <c r="B3305" s="64">
        <v>29584527.19640566</v>
      </c>
    </row>
    <row r="3306" spans="1:2" x14ac:dyDescent="0.25">
      <c r="A3306" s="65">
        <v>3305</v>
      </c>
      <c r="B3306" s="64">
        <v>29458073.271067228</v>
      </c>
    </row>
    <row r="3307" spans="1:2" x14ac:dyDescent="0.25">
      <c r="A3307" s="65">
        <v>3306</v>
      </c>
      <c r="B3307" s="64">
        <v>29126860.515173901</v>
      </c>
    </row>
    <row r="3308" spans="1:2" x14ac:dyDescent="0.25">
      <c r="A3308" s="65">
        <v>3307</v>
      </c>
      <c r="B3308" s="64">
        <v>28646808.536936287</v>
      </c>
    </row>
    <row r="3309" spans="1:2" x14ac:dyDescent="0.25">
      <c r="A3309" s="65">
        <v>3308</v>
      </c>
      <c r="B3309" s="64">
        <v>28516805.671439856</v>
      </c>
    </row>
    <row r="3310" spans="1:2" x14ac:dyDescent="0.25">
      <c r="A3310" s="65">
        <v>3309</v>
      </c>
      <c r="B3310" s="64">
        <v>29066266.940037563</v>
      </c>
    </row>
    <row r="3311" spans="1:2" x14ac:dyDescent="0.25">
      <c r="A3311" s="65">
        <v>3310</v>
      </c>
      <c r="B3311" s="64">
        <v>28628941.556568049</v>
      </c>
    </row>
    <row r="3312" spans="1:2" x14ac:dyDescent="0.25">
      <c r="A3312" s="65">
        <v>3311</v>
      </c>
      <c r="B3312" s="64">
        <v>28459156.723432843</v>
      </c>
    </row>
    <row r="3313" spans="1:2" x14ac:dyDescent="0.25">
      <c r="A3313" s="65">
        <v>3312</v>
      </c>
      <c r="B3313" s="64">
        <v>28784711.156788815</v>
      </c>
    </row>
    <row r="3314" spans="1:2" x14ac:dyDescent="0.25">
      <c r="A3314" s="65">
        <v>3313</v>
      </c>
      <c r="B3314" s="64">
        <v>28431122.450112615</v>
      </c>
    </row>
    <row r="3315" spans="1:2" x14ac:dyDescent="0.25">
      <c r="A3315" s="65">
        <v>3314</v>
      </c>
      <c r="B3315" s="64">
        <v>29268421.150909118</v>
      </c>
    </row>
    <row r="3316" spans="1:2" x14ac:dyDescent="0.25">
      <c r="A3316" s="65">
        <v>3315</v>
      </c>
      <c r="B3316" s="64">
        <v>28883246.041295901</v>
      </c>
    </row>
    <row r="3317" spans="1:2" x14ac:dyDescent="0.25">
      <c r="A3317" s="65">
        <v>3316</v>
      </c>
      <c r="B3317" s="64">
        <v>30660894.741139892</v>
      </c>
    </row>
    <row r="3318" spans="1:2" x14ac:dyDescent="0.25">
      <c r="A3318" s="65">
        <v>3317</v>
      </c>
      <c r="B3318" s="64">
        <v>28845036.250314705</v>
      </c>
    </row>
    <row r="3319" spans="1:2" x14ac:dyDescent="0.25">
      <c r="A3319" s="65">
        <v>3318</v>
      </c>
      <c r="B3319" s="64">
        <v>28999411.192255881</v>
      </c>
    </row>
    <row r="3320" spans="1:2" x14ac:dyDescent="0.25">
      <c r="A3320" s="65">
        <v>3319</v>
      </c>
      <c r="B3320" s="64">
        <v>28562886.397783335</v>
      </c>
    </row>
    <row r="3321" spans="1:2" x14ac:dyDescent="0.25">
      <c r="A3321" s="65">
        <v>3320</v>
      </c>
      <c r="B3321" s="64">
        <v>28730543.389846265</v>
      </c>
    </row>
    <row r="3322" spans="1:2" x14ac:dyDescent="0.25">
      <c r="A3322" s="65">
        <v>3321</v>
      </c>
      <c r="B3322" s="64">
        <v>31037476.84647505</v>
      </c>
    </row>
    <row r="3323" spans="1:2" x14ac:dyDescent="0.25">
      <c r="A3323" s="65">
        <v>3322</v>
      </c>
      <c r="B3323" s="64">
        <v>28902633.212115306</v>
      </c>
    </row>
    <row r="3324" spans="1:2" x14ac:dyDescent="0.25">
      <c r="A3324" s="65">
        <v>3323</v>
      </c>
      <c r="B3324" s="64">
        <v>30352510.247081745</v>
      </c>
    </row>
    <row r="3325" spans="1:2" x14ac:dyDescent="0.25">
      <c r="A3325" s="65">
        <v>3324</v>
      </c>
      <c r="B3325" s="64">
        <v>30118679.536003549</v>
      </c>
    </row>
    <row r="3326" spans="1:2" x14ac:dyDescent="0.25">
      <c r="A3326" s="65">
        <v>3325</v>
      </c>
      <c r="B3326" s="64">
        <v>29100074.794979166</v>
      </c>
    </row>
    <row r="3327" spans="1:2" x14ac:dyDescent="0.25">
      <c r="A3327" s="65">
        <v>3326</v>
      </c>
      <c r="B3327" s="64">
        <v>29520764.526333131</v>
      </c>
    </row>
    <row r="3328" spans="1:2" x14ac:dyDescent="0.25">
      <c r="A3328" s="65">
        <v>3327</v>
      </c>
      <c r="B3328" s="64">
        <v>29487236.618674867</v>
      </c>
    </row>
    <row r="3329" spans="1:2" x14ac:dyDescent="0.25">
      <c r="A3329" s="65">
        <v>3328</v>
      </c>
      <c r="B3329" s="64">
        <v>30052265.67178794</v>
      </c>
    </row>
    <row r="3330" spans="1:2" x14ac:dyDescent="0.25">
      <c r="A3330" s="65">
        <v>3329</v>
      </c>
      <c r="B3330" s="64">
        <v>29804432.718189355</v>
      </c>
    </row>
    <row r="3331" spans="1:2" x14ac:dyDescent="0.25">
      <c r="A3331" s="65">
        <v>3330</v>
      </c>
      <c r="B3331" s="64">
        <v>29731487.817090955</v>
      </c>
    </row>
    <row r="3332" spans="1:2" x14ac:dyDescent="0.25">
      <c r="A3332" s="65">
        <v>3331</v>
      </c>
      <c r="B3332" s="64">
        <v>28741982.272811044</v>
      </c>
    </row>
    <row r="3333" spans="1:2" x14ac:dyDescent="0.25">
      <c r="A3333" s="65">
        <v>3332</v>
      </c>
      <c r="B3333" s="64">
        <v>29330776.989413939</v>
      </c>
    </row>
    <row r="3334" spans="1:2" x14ac:dyDescent="0.25">
      <c r="A3334" s="65">
        <v>3333</v>
      </c>
      <c r="B3334" s="64">
        <v>29329656.743002769</v>
      </c>
    </row>
    <row r="3335" spans="1:2" x14ac:dyDescent="0.25">
      <c r="A3335" s="65">
        <v>3334</v>
      </c>
      <c r="B3335" s="64">
        <v>28528027.759695314</v>
      </c>
    </row>
    <row r="3336" spans="1:2" x14ac:dyDescent="0.25">
      <c r="A3336" s="65">
        <v>3335</v>
      </c>
      <c r="B3336" s="64">
        <v>29671973.059792574</v>
      </c>
    </row>
    <row r="3337" spans="1:2" x14ac:dyDescent="0.25">
      <c r="A3337" s="65">
        <v>3336</v>
      </c>
      <c r="B3337" s="64">
        <v>29419226.846265517</v>
      </c>
    </row>
    <row r="3338" spans="1:2" x14ac:dyDescent="0.25">
      <c r="A3338" s="65">
        <v>3337</v>
      </c>
      <c r="B3338" s="64">
        <v>28620336.141832512</v>
      </c>
    </row>
    <row r="3339" spans="1:2" x14ac:dyDescent="0.25">
      <c r="A3339" s="65">
        <v>3338</v>
      </c>
      <c r="B3339" s="64">
        <v>28445716.742312293</v>
      </c>
    </row>
    <row r="3340" spans="1:2" x14ac:dyDescent="0.25">
      <c r="A3340" s="65">
        <v>3339</v>
      </c>
      <c r="B3340" s="64">
        <v>28763575.253981683</v>
      </c>
    </row>
    <row r="3341" spans="1:2" x14ac:dyDescent="0.25">
      <c r="A3341" s="65">
        <v>3340</v>
      </c>
      <c r="B3341" s="64">
        <v>28814004.794882294</v>
      </c>
    </row>
    <row r="3342" spans="1:2" x14ac:dyDescent="0.25">
      <c r="A3342" s="65">
        <v>3341</v>
      </c>
      <c r="B3342" s="64">
        <v>30994958.191378988</v>
      </c>
    </row>
    <row r="3343" spans="1:2" x14ac:dyDescent="0.25">
      <c r="A3343" s="65">
        <v>3342</v>
      </c>
      <c r="B3343" s="64">
        <v>28954513.12556437</v>
      </c>
    </row>
    <row r="3344" spans="1:2" x14ac:dyDescent="0.25">
      <c r="A3344" s="65">
        <v>3343</v>
      </c>
      <c r="B3344" s="64">
        <v>28792096.77648785</v>
      </c>
    </row>
    <row r="3345" spans="1:2" x14ac:dyDescent="0.25">
      <c r="A3345" s="65">
        <v>3344</v>
      </c>
      <c r="B3345" s="64">
        <v>28891254.465597473</v>
      </c>
    </row>
    <row r="3346" spans="1:2" x14ac:dyDescent="0.25">
      <c r="A3346" s="65">
        <v>3345</v>
      </c>
      <c r="B3346" s="64">
        <v>29814620.670608468</v>
      </c>
    </row>
    <row r="3347" spans="1:2" x14ac:dyDescent="0.25">
      <c r="A3347" s="65">
        <v>3346</v>
      </c>
      <c r="B3347" s="64">
        <v>30356135.508657884</v>
      </c>
    </row>
    <row r="3348" spans="1:2" x14ac:dyDescent="0.25">
      <c r="A3348" s="65">
        <v>3347</v>
      </c>
      <c r="B3348" s="64">
        <v>29256345.879906062</v>
      </c>
    </row>
    <row r="3349" spans="1:2" x14ac:dyDescent="0.25">
      <c r="A3349" s="65">
        <v>3348</v>
      </c>
      <c r="B3349" s="64">
        <v>30809793.514524762</v>
      </c>
    </row>
    <row r="3350" spans="1:2" x14ac:dyDescent="0.25">
      <c r="A3350" s="65">
        <v>3349</v>
      </c>
      <c r="B3350" s="64">
        <v>28991658.318398159</v>
      </c>
    </row>
    <row r="3351" spans="1:2" x14ac:dyDescent="0.25">
      <c r="A3351" s="65">
        <v>3350</v>
      </c>
      <c r="B3351" s="64">
        <v>29286722.896127298</v>
      </c>
    </row>
    <row r="3352" spans="1:2" x14ac:dyDescent="0.25">
      <c r="A3352" s="65">
        <v>3351</v>
      </c>
      <c r="B3352" s="64">
        <v>28844222.32006437</v>
      </c>
    </row>
    <row r="3353" spans="1:2" x14ac:dyDescent="0.25">
      <c r="A3353" s="65">
        <v>3352</v>
      </c>
      <c r="B3353" s="64">
        <v>28503597.182282329</v>
      </c>
    </row>
    <row r="3354" spans="1:2" x14ac:dyDescent="0.25">
      <c r="A3354" s="65">
        <v>3353</v>
      </c>
      <c r="B3354" s="64">
        <v>28662742.790502753</v>
      </c>
    </row>
    <row r="3355" spans="1:2" x14ac:dyDescent="0.25">
      <c r="A3355" s="65">
        <v>3354</v>
      </c>
      <c r="B3355" s="64">
        <v>29073175.124665465</v>
      </c>
    </row>
    <row r="3356" spans="1:2" x14ac:dyDescent="0.25">
      <c r="A3356" s="65">
        <v>3355</v>
      </c>
      <c r="B3356" s="64">
        <v>28893421.626373746</v>
      </c>
    </row>
    <row r="3357" spans="1:2" x14ac:dyDescent="0.25">
      <c r="A3357" s="65">
        <v>3356</v>
      </c>
      <c r="B3357" s="64">
        <v>28933953.518268827</v>
      </c>
    </row>
    <row r="3358" spans="1:2" x14ac:dyDescent="0.25">
      <c r="A3358" s="65">
        <v>3357</v>
      </c>
      <c r="B3358" s="64">
        <v>28677098.63284288</v>
      </c>
    </row>
    <row r="3359" spans="1:2" x14ac:dyDescent="0.25">
      <c r="A3359" s="65">
        <v>3358</v>
      </c>
      <c r="B3359" s="64">
        <v>28480799.027110029</v>
      </c>
    </row>
    <row r="3360" spans="1:2" x14ac:dyDescent="0.25">
      <c r="A3360" s="65">
        <v>3359</v>
      </c>
      <c r="B3360" s="64">
        <v>28788098.767007455</v>
      </c>
    </row>
    <row r="3361" spans="1:2" x14ac:dyDescent="0.25">
      <c r="A3361" s="65">
        <v>3360</v>
      </c>
      <c r="B3361" s="64">
        <v>28959471.577138424</v>
      </c>
    </row>
    <row r="3362" spans="1:2" x14ac:dyDescent="0.25">
      <c r="A3362" s="65">
        <v>3361</v>
      </c>
      <c r="B3362" s="64">
        <v>29305676.96866399</v>
      </c>
    </row>
    <row r="3363" spans="1:2" x14ac:dyDescent="0.25">
      <c r="A3363" s="65">
        <v>3362</v>
      </c>
      <c r="B3363" s="64">
        <v>30653722.92903566</v>
      </c>
    </row>
    <row r="3364" spans="1:2" x14ac:dyDescent="0.25">
      <c r="A3364" s="65">
        <v>3363</v>
      </c>
      <c r="B3364" s="64">
        <v>31020675.127744362</v>
      </c>
    </row>
    <row r="3365" spans="1:2" x14ac:dyDescent="0.25">
      <c r="A3365" s="65">
        <v>3364</v>
      </c>
      <c r="B3365" s="64">
        <v>28845701.520740718</v>
      </c>
    </row>
    <row r="3366" spans="1:2" x14ac:dyDescent="0.25">
      <c r="A3366" s="65">
        <v>3365</v>
      </c>
      <c r="B3366" s="64">
        <v>28931101.525658064</v>
      </c>
    </row>
    <row r="3367" spans="1:2" x14ac:dyDescent="0.25">
      <c r="A3367" s="65">
        <v>3366</v>
      </c>
      <c r="B3367" s="64">
        <v>29821715.743980121</v>
      </c>
    </row>
    <row r="3368" spans="1:2" x14ac:dyDescent="0.25">
      <c r="A3368" s="65">
        <v>3367</v>
      </c>
      <c r="B3368" s="64">
        <v>29313446.024931975</v>
      </c>
    </row>
    <row r="3369" spans="1:2" x14ac:dyDescent="0.25">
      <c r="A3369" s="65">
        <v>3368</v>
      </c>
      <c r="B3369" s="64">
        <v>29662248.205340251</v>
      </c>
    </row>
    <row r="3370" spans="1:2" x14ac:dyDescent="0.25">
      <c r="A3370" s="65">
        <v>3369</v>
      </c>
      <c r="B3370" s="64">
        <v>28948463.541273583</v>
      </c>
    </row>
    <row r="3371" spans="1:2" x14ac:dyDescent="0.25">
      <c r="A3371" s="65">
        <v>3370</v>
      </c>
      <c r="B3371" s="64">
        <v>28849852.054901775</v>
      </c>
    </row>
    <row r="3372" spans="1:2" x14ac:dyDescent="0.25">
      <c r="A3372" s="65">
        <v>3371</v>
      </c>
      <c r="B3372" s="64">
        <v>29155975.434615519</v>
      </c>
    </row>
    <row r="3373" spans="1:2" x14ac:dyDescent="0.25">
      <c r="A3373" s="65">
        <v>3372</v>
      </c>
      <c r="B3373" s="64">
        <v>29884609.147008546</v>
      </c>
    </row>
    <row r="3374" spans="1:2" x14ac:dyDescent="0.25">
      <c r="A3374" s="65">
        <v>3373</v>
      </c>
      <c r="B3374" s="64">
        <v>29432386.697219431</v>
      </c>
    </row>
    <row r="3375" spans="1:2" x14ac:dyDescent="0.25">
      <c r="A3375" s="65">
        <v>3374</v>
      </c>
      <c r="B3375" s="64">
        <v>28880333.793154847</v>
      </c>
    </row>
    <row r="3376" spans="1:2" x14ac:dyDescent="0.25">
      <c r="A3376" s="65">
        <v>3375</v>
      </c>
      <c r="B3376" s="64">
        <v>28625479.849013332</v>
      </c>
    </row>
    <row r="3377" spans="1:2" x14ac:dyDescent="0.25">
      <c r="A3377" s="65">
        <v>3376</v>
      </c>
      <c r="B3377" s="64">
        <v>29673909.497288991</v>
      </c>
    </row>
    <row r="3378" spans="1:2" x14ac:dyDescent="0.25">
      <c r="A3378" s="65">
        <v>3377</v>
      </c>
      <c r="B3378" s="64">
        <v>29687380.876747329</v>
      </c>
    </row>
    <row r="3379" spans="1:2" x14ac:dyDescent="0.25">
      <c r="A3379" s="65">
        <v>3378</v>
      </c>
      <c r="B3379" s="64">
        <v>28823746.79787166</v>
      </c>
    </row>
    <row r="3380" spans="1:2" x14ac:dyDescent="0.25">
      <c r="A3380" s="65">
        <v>3379</v>
      </c>
      <c r="B3380" s="64">
        <v>28938504.59169336</v>
      </c>
    </row>
    <row r="3381" spans="1:2" x14ac:dyDescent="0.25">
      <c r="A3381" s="65">
        <v>3380</v>
      </c>
      <c r="B3381" s="64">
        <v>28999340.154309928</v>
      </c>
    </row>
    <row r="3382" spans="1:2" x14ac:dyDescent="0.25">
      <c r="A3382" s="65">
        <v>3381</v>
      </c>
      <c r="B3382" s="64">
        <v>30085471.535147883</v>
      </c>
    </row>
    <row r="3383" spans="1:2" x14ac:dyDescent="0.25">
      <c r="A3383" s="65">
        <v>3382</v>
      </c>
      <c r="B3383" s="64">
        <v>28656022.052275371</v>
      </c>
    </row>
    <row r="3384" spans="1:2" x14ac:dyDescent="0.25">
      <c r="A3384" s="65">
        <v>3383</v>
      </c>
      <c r="B3384" s="64">
        <v>28497525.454574827</v>
      </c>
    </row>
    <row r="3385" spans="1:2" x14ac:dyDescent="0.25">
      <c r="A3385" s="65">
        <v>3384</v>
      </c>
      <c r="B3385" s="64">
        <v>28898692.059101395</v>
      </c>
    </row>
    <row r="3386" spans="1:2" x14ac:dyDescent="0.25">
      <c r="A3386" s="65">
        <v>3385</v>
      </c>
      <c r="B3386" s="64">
        <v>28745128.503527105</v>
      </c>
    </row>
    <row r="3387" spans="1:2" x14ac:dyDescent="0.25">
      <c r="A3387" s="65">
        <v>3386</v>
      </c>
      <c r="B3387" s="64">
        <v>29028999.507018194</v>
      </c>
    </row>
    <row r="3388" spans="1:2" x14ac:dyDescent="0.25">
      <c r="A3388" s="65">
        <v>3387</v>
      </c>
      <c r="B3388" s="64">
        <v>29416033.830251515</v>
      </c>
    </row>
    <row r="3389" spans="1:2" x14ac:dyDescent="0.25">
      <c r="A3389" s="65">
        <v>3388</v>
      </c>
      <c r="B3389" s="64">
        <v>29056580.984592553</v>
      </c>
    </row>
    <row r="3390" spans="1:2" x14ac:dyDescent="0.25">
      <c r="A3390" s="65">
        <v>3389</v>
      </c>
      <c r="B3390" s="64">
        <v>28863778.787299804</v>
      </c>
    </row>
    <row r="3391" spans="1:2" x14ac:dyDescent="0.25">
      <c r="A3391" s="65">
        <v>3390</v>
      </c>
      <c r="B3391" s="64">
        <v>31333410.253348097</v>
      </c>
    </row>
    <row r="3392" spans="1:2" x14ac:dyDescent="0.25">
      <c r="A3392" s="65">
        <v>3391</v>
      </c>
      <c r="B3392" s="64">
        <v>28828539.669899419</v>
      </c>
    </row>
    <row r="3393" spans="1:2" x14ac:dyDescent="0.25">
      <c r="A3393" s="65">
        <v>3392</v>
      </c>
      <c r="B3393" s="64">
        <v>29097016.376887742</v>
      </c>
    </row>
    <row r="3394" spans="1:2" x14ac:dyDescent="0.25">
      <c r="A3394" s="65">
        <v>3393</v>
      </c>
      <c r="B3394" s="64">
        <v>28729658.355191793</v>
      </c>
    </row>
    <row r="3395" spans="1:2" x14ac:dyDescent="0.25">
      <c r="A3395" s="65">
        <v>3394</v>
      </c>
      <c r="B3395" s="64">
        <v>30065620.8835981</v>
      </c>
    </row>
    <row r="3396" spans="1:2" x14ac:dyDescent="0.25">
      <c r="A3396" s="65">
        <v>3395</v>
      </c>
      <c r="B3396" s="64">
        <v>30539783.92655598</v>
      </c>
    </row>
    <row r="3397" spans="1:2" x14ac:dyDescent="0.25">
      <c r="A3397" s="65">
        <v>3396</v>
      </c>
      <c r="B3397" s="64">
        <v>29017733.834331639</v>
      </c>
    </row>
    <row r="3398" spans="1:2" x14ac:dyDescent="0.25">
      <c r="A3398" s="65">
        <v>3397</v>
      </c>
      <c r="B3398" s="64">
        <v>28714990.21356456</v>
      </c>
    </row>
    <row r="3399" spans="1:2" x14ac:dyDescent="0.25">
      <c r="A3399" s="65">
        <v>3398</v>
      </c>
      <c r="B3399" s="64">
        <v>28949643.60046155</v>
      </c>
    </row>
    <row r="3400" spans="1:2" x14ac:dyDescent="0.25">
      <c r="A3400" s="65">
        <v>3399</v>
      </c>
      <c r="B3400" s="64">
        <v>28700474.692298628</v>
      </c>
    </row>
    <row r="3401" spans="1:2" x14ac:dyDescent="0.25">
      <c r="A3401" s="65">
        <v>3400</v>
      </c>
      <c r="B3401" s="64">
        <v>28766580.602435492</v>
      </c>
    </row>
    <row r="3402" spans="1:2" x14ac:dyDescent="0.25">
      <c r="A3402" s="65">
        <v>3401</v>
      </c>
      <c r="B3402" s="64">
        <v>28518449.056708623</v>
      </c>
    </row>
    <row r="3403" spans="1:2" x14ac:dyDescent="0.25">
      <c r="A3403" s="65">
        <v>3402</v>
      </c>
      <c r="B3403" s="64">
        <v>28676042.333476409</v>
      </c>
    </row>
    <row r="3404" spans="1:2" x14ac:dyDescent="0.25">
      <c r="A3404" s="65">
        <v>3403</v>
      </c>
      <c r="B3404" s="64">
        <v>28971804.154293004</v>
      </c>
    </row>
    <row r="3405" spans="1:2" x14ac:dyDescent="0.25">
      <c r="A3405" s="65">
        <v>3404</v>
      </c>
      <c r="B3405" s="64">
        <v>29800848.509969156</v>
      </c>
    </row>
    <row r="3406" spans="1:2" x14ac:dyDescent="0.25">
      <c r="A3406" s="65">
        <v>3405</v>
      </c>
      <c r="B3406" s="64">
        <v>30405602.359898496</v>
      </c>
    </row>
    <row r="3407" spans="1:2" x14ac:dyDescent="0.25">
      <c r="A3407" s="65">
        <v>3406</v>
      </c>
      <c r="B3407" s="64">
        <v>28836278.387682803</v>
      </c>
    </row>
    <row r="3408" spans="1:2" x14ac:dyDescent="0.25">
      <c r="A3408" s="65">
        <v>3407</v>
      </c>
      <c r="B3408" s="64">
        <v>29228975.108351089</v>
      </c>
    </row>
    <row r="3409" spans="1:2" x14ac:dyDescent="0.25">
      <c r="A3409" s="65">
        <v>3408</v>
      </c>
      <c r="B3409" s="64">
        <v>28436420.121998046</v>
      </c>
    </row>
    <row r="3410" spans="1:2" x14ac:dyDescent="0.25">
      <c r="A3410" s="65">
        <v>3409</v>
      </c>
      <c r="B3410" s="64">
        <v>29982514.987189848</v>
      </c>
    </row>
    <row r="3411" spans="1:2" x14ac:dyDescent="0.25">
      <c r="A3411" s="65">
        <v>3410</v>
      </c>
      <c r="B3411" s="64">
        <v>29882959.119190138</v>
      </c>
    </row>
    <row r="3412" spans="1:2" x14ac:dyDescent="0.25">
      <c r="A3412" s="65">
        <v>3411</v>
      </c>
      <c r="B3412" s="64">
        <v>29073574.195112519</v>
      </c>
    </row>
    <row r="3413" spans="1:2" x14ac:dyDescent="0.25">
      <c r="A3413" s="65">
        <v>3412</v>
      </c>
      <c r="B3413" s="64">
        <v>29292029.372951251</v>
      </c>
    </row>
    <row r="3414" spans="1:2" x14ac:dyDescent="0.25">
      <c r="A3414" s="65">
        <v>3413</v>
      </c>
      <c r="B3414" s="64">
        <v>28645572.193016175</v>
      </c>
    </row>
    <row r="3415" spans="1:2" x14ac:dyDescent="0.25">
      <c r="A3415" s="65">
        <v>3414</v>
      </c>
      <c r="B3415" s="64">
        <v>28649843.895084757</v>
      </c>
    </row>
    <row r="3416" spans="1:2" x14ac:dyDescent="0.25">
      <c r="A3416" s="65">
        <v>3415</v>
      </c>
      <c r="B3416" s="64">
        <v>29325039.224735994</v>
      </c>
    </row>
    <row r="3417" spans="1:2" x14ac:dyDescent="0.25">
      <c r="A3417" s="65">
        <v>3416</v>
      </c>
      <c r="B3417" s="64">
        <v>29137782.688467346</v>
      </c>
    </row>
    <row r="3418" spans="1:2" x14ac:dyDescent="0.25">
      <c r="A3418" s="65">
        <v>3417</v>
      </c>
      <c r="B3418" s="64">
        <v>28586509.077092696</v>
      </c>
    </row>
    <row r="3419" spans="1:2" x14ac:dyDescent="0.25">
      <c r="A3419" s="65">
        <v>3418</v>
      </c>
      <c r="B3419" s="64">
        <v>31016780.407510702</v>
      </c>
    </row>
    <row r="3420" spans="1:2" x14ac:dyDescent="0.25">
      <c r="A3420" s="65">
        <v>3419</v>
      </c>
      <c r="B3420" s="64">
        <v>29075820.356762689</v>
      </c>
    </row>
    <row r="3421" spans="1:2" x14ac:dyDescent="0.25">
      <c r="A3421" s="65">
        <v>3420</v>
      </c>
      <c r="B3421" s="64">
        <v>29600163.131291956</v>
      </c>
    </row>
    <row r="3422" spans="1:2" x14ac:dyDescent="0.25">
      <c r="A3422" s="65">
        <v>3421</v>
      </c>
      <c r="B3422" s="64">
        <v>29091101.091036249</v>
      </c>
    </row>
    <row r="3423" spans="1:2" x14ac:dyDescent="0.25">
      <c r="A3423" s="65">
        <v>3422</v>
      </c>
      <c r="B3423" s="64">
        <v>29237341.781980932</v>
      </c>
    </row>
    <row r="3424" spans="1:2" x14ac:dyDescent="0.25">
      <c r="A3424" s="65">
        <v>3423</v>
      </c>
      <c r="B3424" s="64">
        <v>28895009.353889797</v>
      </c>
    </row>
    <row r="3425" spans="1:2" x14ac:dyDescent="0.25">
      <c r="A3425" s="65">
        <v>3424</v>
      </c>
      <c r="B3425" s="64">
        <v>28554614.133130651</v>
      </c>
    </row>
    <row r="3426" spans="1:2" x14ac:dyDescent="0.25">
      <c r="A3426" s="65">
        <v>3425</v>
      </c>
      <c r="B3426" s="64">
        <v>30125094.518864635</v>
      </c>
    </row>
    <row r="3427" spans="1:2" x14ac:dyDescent="0.25">
      <c r="A3427" s="65">
        <v>3426</v>
      </c>
      <c r="B3427" s="64">
        <v>30077082.005913012</v>
      </c>
    </row>
    <row r="3428" spans="1:2" x14ac:dyDescent="0.25">
      <c r="A3428" s="65">
        <v>3427</v>
      </c>
      <c r="B3428" s="64">
        <v>30005570.523987893</v>
      </c>
    </row>
    <row r="3429" spans="1:2" x14ac:dyDescent="0.25">
      <c r="A3429" s="65">
        <v>3428</v>
      </c>
      <c r="B3429" s="64">
        <v>28812365.298635542</v>
      </c>
    </row>
    <row r="3430" spans="1:2" x14ac:dyDescent="0.25">
      <c r="A3430" s="65">
        <v>3429</v>
      </c>
      <c r="B3430" s="64">
        <v>28862886.593266107</v>
      </c>
    </row>
    <row r="3431" spans="1:2" x14ac:dyDescent="0.25">
      <c r="A3431" s="65">
        <v>3430</v>
      </c>
      <c r="B3431" s="64">
        <v>28782126.394513339</v>
      </c>
    </row>
    <row r="3432" spans="1:2" x14ac:dyDescent="0.25">
      <c r="A3432" s="65">
        <v>3431</v>
      </c>
      <c r="B3432" s="64">
        <v>29020255.282458559</v>
      </c>
    </row>
    <row r="3433" spans="1:2" x14ac:dyDescent="0.25">
      <c r="A3433" s="65">
        <v>3432</v>
      </c>
      <c r="B3433" s="64">
        <v>28546452.625721525</v>
      </c>
    </row>
    <row r="3434" spans="1:2" x14ac:dyDescent="0.25">
      <c r="A3434" s="65">
        <v>3433</v>
      </c>
      <c r="B3434" s="64">
        <v>29241610.298830979</v>
      </c>
    </row>
    <row r="3435" spans="1:2" x14ac:dyDescent="0.25">
      <c r="A3435" s="65">
        <v>3434</v>
      </c>
      <c r="B3435" s="64">
        <v>29086836.976638142</v>
      </c>
    </row>
    <row r="3436" spans="1:2" x14ac:dyDescent="0.25">
      <c r="A3436" s="65">
        <v>3435</v>
      </c>
      <c r="B3436" s="64">
        <v>28398233.438523673</v>
      </c>
    </row>
    <row r="3437" spans="1:2" x14ac:dyDescent="0.25">
      <c r="A3437" s="65">
        <v>3436</v>
      </c>
      <c r="B3437" s="64">
        <v>29411196.394462787</v>
      </c>
    </row>
    <row r="3438" spans="1:2" x14ac:dyDescent="0.25">
      <c r="A3438" s="65">
        <v>3437</v>
      </c>
      <c r="B3438" s="64">
        <v>31230490.604504853</v>
      </c>
    </row>
    <row r="3439" spans="1:2" x14ac:dyDescent="0.25">
      <c r="A3439" s="65">
        <v>3438</v>
      </c>
      <c r="B3439" s="64">
        <v>29632586.366977446</v>
      </c>
    </row>
    <row r="3440" spans="1:2" x14ac:dyDescent="0.25">
      <c r="A3440" s="65">
        <v>3439</v>
      </c>
      <c r="B3440" s="64">
        <v>30069673.251754753</v>
      </c>
    </row>
    <row r="3441" spans="1:2" x14ac:dyDescent="0.25">
      <c r="A3441" s="65">
        <v>3440</v>
      </c>
      <c r="B3441" s="64">
        <v>28591494.936930954</v>
      </c>
    </row>
    <row r="3442" spans="1:2" x14ac:dyDescent="0.25">
      <c r="A3442" s="65">
        <v>3441</v>
      </c>
      <c r="B3442" s="64">
        <v>29124369.929125406</v>
      </c>
    </row>
    <row r="3443" spans="1:2" x14ac:dyDescent="0.25">
      <c r="A3443" s="65">
        <v>3442</v>
      </c>
      <c r="B3443" s="64">
        <v>29594480.52168972</v>
      </c>
    </row>
    <row r="3444" spans="1:2" x14ac:dyDescent="0.25">
      <c r="A3444" s="65">
        <v>3443</v>
      </c>
      <c r="B3444" s="64">
        <v>29010829.131386012</v>
      </c>
    </row>
    <row r="3445" spans="1:2" x14ac:dyDescent="0.25">
      <c r="A3445" s="65">
        <v>3444</v>
      </c>
      <c r="B3445" s="64">
        <v>30371386.83314614</v>
      </c>
    </row>
    <row r="3446" spans="1:2" x14ac:dyDescent="0.25">
      <c r="A3446" s="65">
        <v>3445</v>
      </c>
      <c r="B3446" s="64">
        <v>29288865.419314764</v>
      </c>
    </row>
    <row r="3447" spans="1:2" x14ac:dyDescent="0.25">
      <c r="A3447" s="65">
        <v>3446</v>
      </c>
      <c r="B3447" s="64">
        <v>28785245.373574845</v>
      </c>
    </row>
    <row r="3448" spans="1:2" x14ac:dyDescent="0.25">
      <c r="A3448" s="65">
        <v>3447</v>
      </c>
      <c r="B3448" s="64">
        <v>29098170.852236684</v>
      </c>
    </row>
    <row r="3449" spans="1:2" x14ac:dyDescent="0.25">
      <c r="A3449" s="65">
        <v>3448</v>
      </c>
      <c r="B3449" s="64">
        <v>29372511.607499376</v>
      </c>
    </row>
    <row r="3450" spans="1:2" x14ac:dyDescent="0.25">
      <c r="A3450" s="65">
        <v>3449</v>
      </c>
      <c r="B3450" s="64">
        <v>34093664.475250021</v>
      </c>
    </row>
    <row r="3451" spans="1:2" x14ac:dyDescent="0.25">
      <c r="A3451" s="65">
        <v>3450</v>
      </c>
      <c r="B3451" s="64">
        <v>28804799.160163958</v>
      </c>
    </row>
    <row r="3452" spans="1:2" x14ac:dyDescent="0.25">
      <c r="A3452" s="65">
        <v>3451</v>
      </c>
      <c r="B3452" s="64">
        <v>29455001.331070438</v>
      </c>
    </row>
    <row r="3453" spans="1:2" x14ac:dyDescent="0.25">
      <c r="A3453" s="65">
        <v>3452</v>
      </c>
      <c r="B3453" s="64">
        <v>29319333.386649299</v>
      </c>
    </row>
    <row r="3454" spans="1:2" x14ac:dyDescent="0.25">
      <c r="A3454" s="65">
        <v>3453</v>
      </c>
      <c r="B3454" s="64">
        <v>29026561.869928338</v>
      </c>
    </row>
    <row r="3455" spans="1:2" x14ac:dyDescent="0.25">
      <c r="A3455" s="65">
        <v>3454</v>
      </c>
      <c r="B3455" s="64">
        <v>30584025.713245116</v>
      </c>
    </row>
    <row r="3456" spans="1:2" x14ac:dyDescent="0.25">
      <c r="A3456" s="65">
        <v>3455</v>
      </c>
      <c r="B3456" s="64">
        <v>28537647.820204034</v>
      </c>
    </row>
    <row r="3457" spans="1:2" x14ac:dyDescent="0.25">
      <c r="A3457" s="65">
        <v>3456</v>
      </c>
      <c r="B3457" s="64">
        <v>28981443.013174728</v>
      </c>
    </row>
    <row r="3458" spans="1:2" x14ac:dyDescent="0.25">
      <c r="A3458" s="65">
        <v>3457</v>
      </c>
      <c r="B3458" s="64">
        <v>29930044.1003878</v>
      </c>
    </row>
    <row r="3459" spans="1:2" x14ac:dyDescent="0.25">
      <c r="A3459" s="65">
        <v>3458</v>
      </c>
      <c r="B3459" s="64">
        <v>29066559.317592107</v>
      </c>
    </row>
    <row r="3460" spans="1:2" x14ac:dyDescent="0.25">
      <c r="A3460" s="65">
        <v>3459</v>
      </c>
      <c r="B3460" s="64">
        <v>29023142.997901235</v>
      </c>
    </row>
    <row r="3461" spans="1:2" x14ac:dyDescent="0.25">
      <c r="A3461" s="65">
        <v>3460</v>
      </c>
      <c r="B3461" s="64">
        <v>32759968.825291906</v>
      </c>
    </row>
    <row r="3462" spans="1:2" x14ac:dyDescent="0.25">
      <c r="A3462" s="65">
        <v>3461</v>
      </c>
      <c r="B3462" s="64">
        <v>29581096.40560627</v>
      </c>
    </row>
    <row r="3463" spans="1:2" x14ac:dyDescent="0.25">
      <c r="A3463" s="65">
        <v>3462</v>
      </c>
      <c r="B3463" s="64">
        <v>28436474.43726198</v>
      </c>
    </row>
    <row r="3464" spans="1:2" x14ac:dyDescent="0.25">
      <c r="A3464" s="65">
        <v>3463</v>
      </c>
      <c r="B3464" s="64">
        <v>28736172.175813138</v>
      </c>
    </row>
    <row r="3465" spans="1:2" x14ac:dyDescent="0.25">
      <c r="A3465" s="65">
        <v>3464</v>
      </c>
      <c r="B3465" s="64">
        <v>29114072.428627498</v>
      </c>
    </row>
    <row r="3466" spans="1:2" x14ac:dyDescent="0.25">
      <c r="A3466" s="65">
        <v>3465</v>
      </c>
      <c r="B3466" s="64">
        <v>29193340.849900179</v>
      </c>
    </row>
    <row r="3467" spans="1:2" x14ac:dyDescent="0.25">
      <c r="A3467" s="65">
        <v>3466</v>
      </c>
      <c r="B3467" s="64">
        <v>30219122.837813832</v>
      </c>
    </row>
    <row r="3468" spans="1:2" x14ac:dyDescent="0.25">
      <c r="A3468" s="65">
        <v>3467</v>
      </c>
      <c r="B3468" s="64">
        <v>28964056.266344793</v>
      </c>
    </row>
    <row r="3469" spans="1:2" x14ac:dyDescent="0.25">
      <c r="A3469" s="65">
        <v>3468</v>
      </c>
      <c r="B3469" s="64">
        <v>28895364.501027614</v>
      </c>
    </row>
    <row r="3470" spans="1:2" x14ac:dyDescent="0.25">
      <c r="A3470" s="65">
        <v>3469</v>
      </c>
      <c r="B3470" s="64">
        <v>28760355.470858645</v>
      </c>
    </row>
    <row r="3471" spans="1:2" x14ac:dyDescent="0.25">
      <c r="A3471" s="65">
        <v>3470</v>
      </c>
      <c r="B3471" s="64">
        <v>29121978.846927486</v>
      </c>
    </row>
    <row r="3472" spans="1:2" x14ac:dyDescent="0.25">
      <c r="A3472" s="65">
        <v>3471</v>
      </c>
      <c r="B3472" s="64">
        <v>28854050.761901986</v>
      </c>
    </row>
    <row r="3473" spans="1:2" x14ac:dyDescent="0.25">
      <c r="A3473" s="65">
        <v>3472</v>
      </c>
      <c r="B3473" s="64">
        <v>28597992.801887583</v>
      </c>
    </row>
    <row r="3474" spans="1:2" x14ac:dyDescent="0.25">
      <c r="A3474" s="65">
        <v>3473</v>
      </c>
      <c r="B3474" s="64">
        <v>28751647.726842567</v>
      </c>
    </row>
    <row r="3475" spans="1:2" x14ac:dyDescent="0.25">
      <c r="A3475" s="65">
        <v>3474</v>
      </c>
      <c r="B3475" s="64">
        <v>29246766.690492447</v>
      </c>
    </row>
    <row r="3476" spans="1:2" x14ac:dyDescent="0.25">
      <c r="A3476" s="65">
        <v>3475</v>
      </c>
      <c r="B3476" s="64">
        <v>30647867.281660568</v>
      </c>
    </row>
    <row r="3477" spans="1:2" x14ac:dyDescent="0.25">
      <c r="A3477" s="65">
        <v>3476</v>
      </c>
      <c r="B3477" s="64">
        <v>29502624.240906272</v>
      </c>
    </row>
    <row r="3478" spans="1:2" x14ac:dyDescent="0.25">
      <c r="A3478" s="65">
        <v>3477</v>
      </c>
      <c r="B3478" s="64">
        <v>28735479.657706354</v>
      </c>
    </row>
    <row r="3479" spans="1:2" x14ac:dyDescent="0.25">
      <c r="A3479" s="65">
        <v>3478</v>
      </c>
      <c r="B3479" s="64">
        <v>28830814.263911467</v>
      </c>
    </row>
    <row r="3480" spans="1:2" x14ac:dyDescent="0.25">
      <c r="A3480" s="65">
        <v>3479</v>
      </c>
      <c r="B3480" s="64">
        <v>29554543.351134956</v>
      </c>
    </row>
    <row r="3481" spans="1:2" x14ac:dyDescent="0.25">
      <c r="A3481" s="65">
        <v>3480</v>
      </c>
      <c r="B3481" s="64">
        <v>28662987.425666824</v>
      </c>
    </row>
    <row r="3482" spans="1:2" x14ac:dyDescent="0.25">
      <c r="A3482" s="65">
        <v>3481</v>
      </c>
      <c r="B3482" s="64">
        <v>28388676.023269389</v>
      </c>
    </row>
    <row r="3483" spans="1:2" x14ac:dyDescent="0.25">
      <c r="A3483" s="65">
        <v>3482</v>
      </c>
      <c r="B3483" s="64">
        <v>28882327.45641977</v>
      </c>
    </row>
    <row r="3484" spans="1:2" x14ac:dyDescent="0.25">
      <c r="A3484" s="65">
        <v>3483</v>
      </c>
      <c r="B3484" s="64">
        <v>28783841.407036856</v>
      </c>
    </row>
    <row r="3485" spans="1:2" x14ac:dyDescent="0.25">
      <c r="A3485" s="65">
        <v>3484</v>
      </c>
      <c r="B3485" s="64">
        <v>29823893.865076907</v>
      </c>
    </row>
    <row r="3486" spans="1:2" x14ac:dyDescent="0.25">
      <c r="A3486" s="65">
        <v>3485</v>
      </c>
      <c r="B3486" s="64">
        <v>29384278.369580243</v>
      </c>
    </row>
    <row r="3487" spans="1:2" x14ac:dyDescent="0.25">
      <c r="A3487" s="65">
        <v>3486</v>
      </c>
      <c r="B3487" s="64">
        <v>28607835.042795688</v>
      </c>
    </row>
    <row r="3488" spans="1:2" x14ac:dyDescent="0.25">
      <c r="A3488" s="65">
        <v>3487</v>
      </c>
      <c r="B3488" s="64">
        <v>30015884.470492877</v>
      </c>
    </row>
    <row r="3489" spans="1:2" x14ac:dyDescent="0.25">
      <c r="A3489" s="65">
        <v>3488</v>
      </c>
      <c r="B3489" s="64">
        <v>30131281.20224116</v>
      </c>
    </row>
    <row r="3490" spans="1:2" x14ac:dyDescent="0.25">
      <c r="A3490" s="65">
        <v>3489</v>
      </c>
      <c r="B3490" s="64">
        <v>30250219.456045307</v>
      </c>
    </row>
    <row r="3491" spans="1:2" x14ac:dyDescent="0.25">
      <c r="A3491" s="65">
        <v>3490</v>
      </c>
      <c r="B3491" s="64">
        <v>29386704.441241287</v>
      </c>
    </row>
    <row r="3492" spans="1:2" x14ac:dyDescent="0.25">
      <c r="A3492" s="65">
        <v>3491</v>
      </c>
      <c r="B3492" s="64">
        <v>28697658.282297574</v>
      </c>
    </row>
    <row r="3493" spans="1:2" x14ac:dyDescent="0.25">
      <c r="A3493" s="65">
        <v>3492</v>
      </c>
      <c r="B3493" s="64">
        <v>28677009.866448846</v>
      </c>
    </row>
    <row r="3494" spans="1:2" x14ac:dyDescent="0.25">
      <c r="A3494" s="65">
        <v>3493</v>
      </c>
      <c r="B3494" s="64">
        <v>28338095.026825864</v>
      </c>
    </row>
    <row r="3495" spans="1:2" x14ac:dyDescent="0.25">
      <c r="A3495" s="65">
        <v>3494</v>
      </c>
      <c r="B3495" s="64">
        <v>29193433.70059536</v>
      </c>
    </row>
    <row r="3496" spans="1:2" x14ac:dyDescent="0.25">
      <c r="A3496" s="65">
        <v>3495</v>
      </c>
      <c r="B3496" s="64">
        <v>29322267.747166764</v>
      </c>
    </row>
    <row r="3497" spans="1:2" x14ac:dyDescent="0.25">
      <c r="A3497" s="65">
        <v>3496</v>
      </c>
      <c r="B3497" s="64">
        <v>32815338.743349101</v>
      </c>
    </row>
    <row r="3498" spans="1:2" x14ac:dyDescent="0.25">
      <c r="A3498" s="65">
        <v>3497</v>
      </c>
      <c r="B3498" s="64">
        <v>28955980.423937812</v>
      </c>
    </row>
    <row r="3499" spans="1:2" x14ac:dyDescent="0.25">
      <c r="A3499" s="65">
        <v>3498</v>
      </c>
      <c r="B3499" s="64">
        <v>28824494.709439017</v>
      </c>
    </row>
    <row r="3500" spans="1:2" x14ac:dyDescent="0.25">
      <c r="A3500" s="65">
        <v>3499</v>
      </c>
      <c r="B3500" s="64">
        <v>29904834.711771149</v>
      </c>
    </row>
    <row r="3501" spans="1:2" x14ac:dyDescent="0.25">
      <c r="A3501" s="65">
        <v>3500</v>
      </c>
      <c r="B3501" s="64">
        <v>29276441.078785948</v>
      </c>
    </row>
    <row r="3502" spans="1:2" x14ac:dyDescent="0.25">
      <c r="A3502" s="65">
        <v>3501</v>
      </c>
      <c r="B3502" s="64">
        <v>28502084.111192167</v>
      </c>
    </row>
    <row r="3503" spans="1:2" x14ac:dyDescent="0.25">
      <c r="A3503" s="65">
        <v>3502</v>
      </c>
      <c r="B3503" s="64">
        <v>30385736.595207091</v>
      </c>
    </row>
    <row r="3504" spans="1:2" x14ac:dyDescent="0.25">
      <c r="A3504" s="65">
        <v>3503</v>
      </c>
      <c r="B3504" s="64">
        <v>29640957.261104919</v>
      </c>
    </row>
    <row r="3505" spans="1:2" x14ac:dyDescent="0.25">
      <c r="A3505" s="65">
        <v>3504</v>
      </c>
      <c r="B3505" s="64">
        <v>29073848.139446162</v>
      </c>
    </row>
    <row r="3506" spans="1:2" x14ac:dyDescent="0.25">
      <c r="A3506" s="65">
        <v>3505</v>
      </c>
      <c r="B3506" s="64">
        <v>28592766.333754942</v>
      </c>
    </row>
    <row r="3507" spans="1:2" x14ac:dyDescent="0.25">
      <c r="A3507" s="65">
        <v>3506</v>
      </c>
      <c r="B3507" s="64">
        <v>33521407.103623617</v>
      </c>
    </row>
    <row r="3508" spans="1:2" x14ac:dyDescent="0.25">
      <c r="A3508" s="65">
        <v>3507</v>
      </c>
      <c r="B3508" s="64">
        <v>29424926.583748668</v>
      </c>
    </row>
    <row r="3509" spans="1:2" x14ac:dyDescent="0.25">
      <c r="A3509" s="65">
        <v>3508</v>
      </c>
      <c r="B3509" s="64">
        <v>29021678.798755206</v>
      </c>
    </row>
    <row r="3510" spans="1:2" x14ac:dyDescent="0.25">
      <c r="A3510" s="65">
        <v>3509</v>
      </c>
      <c r="B3510" s="64">
        <v>30127414.452981081</v>
      </c>
    </row>
    <row r="3511" spans="1:2" x14ac:dyDescent="0.25">
      <c r="A3511" s="65">
        <v>3510</v>
      </c>
      <c r="B3511" s="64">
        <v>29245875.506275892</v>
      </c>
    </row>
    <row r="3512" spans="1:2" x14ac:dyDescent="0.25">
      <c r="A3512" s="65">
        <v>3511</v>
      </c>
      <c r="B3512" s="64">
        <v>28917602.662462261</v>
      </c>
    </row>
    <row r="3513" spans="1:2" x14ac:dyDescent="0.25">
      <c r="A3513" s="65">
        <v>3512</v>
      </c>
      <c r="B3513" s="64">
        <v>28467404.209169988</v>
      </c>
    </row>
    <row r="3514" spans="1:2" x14ac:dyDescent="0.25">
      <c r="A3514" s="65">
        <v>3513</v>
      </c>
      <c r="B3514" s="64">
        <v>28374385.491067249</v>
      </c>
    </row>
    <row r="3515" spans="1:2" x14ac:dyDescent="0.25">
      <c r="A3515" s="65">
        <v>3514</v>
      </c>
      <c r="B3515" s="64">
        <v>29223735.191849507</v>
      </c>
    </row>
    <row r="3516" spans="1:2" x14ac:dyDescent="0.25">
      <c r="A3516" s="65">
        <v>3515</v>
      </c>
      <c r="B3516" s="64">
        <v>28702146.734434955</v>
      </c>
    </row>
    <row r="3517" spans="1:2" x14ac:dyDescent="0.25">
      <c r="A3517" s="65">
        <v>3516</v>
      </c>
      <c r="B3517" s="64">
        <v>29798770.382516611</v>
      </c>
    </row>
    <row r="3518" spans="1:2" x14ac:dyDescent="0.25">
      <c r="A3518" s="65">
        <v>3517</v>
      </c>
      <c r="B3518" s="64">
        <v>28657082.116653755</v>
      </c>
    </row>
    <row r="3519" spans="1:2" x14ac:dyDescent="0.25">
      <c r="A3519" s="65">
        <v>3518</v>
      </c>
      <c r="B3519" s="64">
        <v>28742144.8042132</v>
      </c>
    </row>
    <row r="3520" spans="1:2" x14ac:dyDescent="0.25">
      <c r="A3520" s="65">
        <v>3519</v>
      </c>
      <c r="B3520" s="64">
        <v>30462236.409980126</v>
      </c>
    </row>
    <row r="3521" spans="1:2" x14ac:dyDescent="0.25">
      <c r="A3521" s="65">
        <v>3520</v>
      </c>
      <c r="B3521" s="64">
        <v>29225496.799111012</v>
      </c>
    </row>
    <row r="3522" spans="1:2" x14ac:dyDescent="0.25">
      <c r="A3522" s="65">
        <v>3521</v>
      </c>
      <c r="B3522" s="64">
        <v>29285808.223712903</v>
      </c>
    </row>
    <row r="3523" spans="1:2" x14ac:dyDescent="0.25">
      <c r="A3523" s="65">
        <v>3522</v>
      </c>
      <c r="B3523" s="64">
        <v>30061534.222050149</v>
      </c>
    </row>
    <row r="3524" spans="1:2" x14ac:dyDescent="0.25">
      <c r="A3524" s="65">
        <v>3523</v>
      </c>
      <c r="B3524" s="64">
        <v>29832574.762556147</v>
      </c>
    </row>
    <row r="3525" spans="1:2" x14ac:dyDescent="0.25">
      <c r="A3525" s="65">
        <v>3524</v>
      </c>
      <c r="B3525" s="64">
        <v>29229320.60764524</v>
      </c>
    </row>
    <row r="3526" spans="1:2" x14ac:dyDescent="0.25">
      <c r="A3526" s="65">
        <v>3525</v>
      </c>
      <c r="B3526" s="64">
        <v>28655060.958022933</v>
      </c>
    </row>
    <row r="3527" spans="1:2" x14ac:dyDescent="0.25">
      <c r="A3527" s="65">
        <v>3526</v>
      </c>
      <c r="B3527" s="64">
        <v>29107987.05831933</v>
      </c>
    </row>
    <row r="3528" spans="1:2" x14ac:dyDescent="0.25">
      <c r="A3528" s="65">
        <v>3527</v>
      </c>
      <c r="B3528" s="64">
        <v>29738063.679614428</v>
      </c>
    </row>
    <row r="3529" spans="1:2" x14ac:dyDescent="0.25">
      <c r="A3529" s="65">
        <v>3528</v>
      </c>
      <c r="B3529" s="64">
        <v>28599822.710145734</v>
      </c>
    </row>
    <row r="3530" spans="1:2" x14ac:dyDescent="0.25">
      <c r="A3530" s="65">
        <v>3529</v>
      </c>
      <c r="B3530" s="64">
        <v>29203054.959399607</v>
      </c>
    </row>
    <row r="3531" spans="1:2" x14ac:dyDescent="0.25">
      <c r="A3531" s="65">
        <v>3530</v>
      </c>
      <c r="B3531" s="64">
        <v>30093964.92267495</v>
      </c>
    </row>
    <row r="3532" spans="1:2" x14ac:dyDescent="0.25">
      <c r="A3532" s="65">
        <v>3531</v>
      </c>
      <c r="B3532" s="64">
        <v>28858076.115387689</v>
      </c>
    </row>
    <row r="3533" spans="1:2" x14ac:dyDescent="0.25">
      <c r="A3533" s="65">
        <v>3532</v>
      </c>
      <c r="B3533" s="64">
        <v>30377066.76228774</v>
      </c>
    </row>
    <row r="3534" spans="1:2" x14ac:dyDescent="0.25">
      <c r="A3534" s="65">
        <v>3533</v>
      </c>
      <c r="B3534" s="64">
        <v>30659807.676653989</v>
      </c>
    </row>
    <row r="3535" spans="1:2" x14ac:dyDescent="0.25">
      <c r="A3535" s="65">
        <v>3534</v>
      </c>
      <c r="B3535" s="64">
        <v>30184285.741185896</v>
      </c>
    </row>
    <row r="3536" spans="1:2" x14ac:dyDescent="0.25">
      <c r="A3536" s="65">
        <v>3535</v>
      </c>
      <c r="B3536" s="64">
        <v>30284066.705111351</v>
      </c>
    </row>
    <row r="3537" spans="1:2" x14ac:dyDescent="0.25">
      <c r="A3537" s="65">
        <v>3536</v>
      </c>
      <c r="B3537" s="64">
        <v>29379363.707626142</v>
      </c>
    </row>
    <row r="3538" spans="1:2" x14ac:dyDescent="0.25">
      <c r="A3538" s="65">
        <v>3537</v>
      </c>
      <c r="B3538" s="64">
        <v>29705062.594989721</v>
      </c>
    </row>
    <row r="3539" spans="1:2" x14ac:dyDescent="0.25">
      <c r="A3539" s="65">
        <v>3538</v>
      </c>
      <c r="B3539" s="64">
        <v>30193794.559406128</v>
      </c>
    </row>
    <row r="3540" spans="1:2" x14ac:dyDescent="0.25">
      <c r="A3540" s="65">
        <v>3539</v>
      </c>
      <c r="B3540" s="64">
        <v>29017577.896283589</v>
      </c>
    </row>
    <row r="3541" spans="1:2" x14ac:dyDescent="0.25">
      <c r="A3541" s="65">
        <v>3540</v>
      </c>
      <c r="B3541" s="64">
        <v>28773444.389051333</v>
      </c>
    </row>
    <row r="3542" spans="1:2" x14ac:dyDescent="0.25">
      <c r="A3542" s="65">
        <v>3541</v>
      </c>
      <c r="B3542" s="64">
        <v>28558963.631166406</v>
      </c>
    </row>
    <row r="3543" spans="1:2" x14ac:dyDescent="0.25">
      <c r="A3543" s="65">
        <v>3542</v>
      </c>
      <c r="B3543" s="64">
        <v>28945234.072283138</v>
      </c>
    </row>
    <row r="3544" spans="1:2" x14ac:dyDescent="0.25">
      <c r="A3544" s="65">
        <v>3543</v>
      </c>
      <c r="B3544" s="64">
        <v>29319157.419245612</v>
      </c>
    </row>
    <row r="3545" spans="1:2" x14ac:dyDescent="0.25">
      <c r="A3545" s="65">
        <v>3544</v>
      </c>
      <c r="B3545" s="64">
        <v>29898893.928708524</v>
      </c>
    </row>
    <row r="3546" spans="1:2" x14ac:dyDescent="0.25">
      <c r="A3546" s="65">
        <v>3545</v>
      </c>
      <c r="B3546" s="64">
        <v>29625333.233048927</v>
      </c>
    </row>
    <row r="3547" spans="1:2" x14ac:dyDescent="0.25">
      <c r="A3547" s="65">
        <v>3546</v>
      </c>
      <c r="B3547" s="64">
        <v>28912877.774816252</v>
      </c>
    </row>
    <row r="3548" spans="1:2" x14ac:dyDescent="0.25">
      <c r="A3548" s="65">
        <v>3547</v>
      </c>
      <c r="B3548" s="64">
        <v>29016404.536201205</v>
      </c>
    </row>
    <row r="3549" spans="1:2" x14ac:dyDescent="0.25">
      <c r="A3549" s="65">
        <v>3548</v>
      </c>
      <c r="B3549" s="64">
        <v>28704502.216935962</v>
      </c>
    </row>
    <row r="3550" spans="1:2" x14ac:dyDescent="0.25">
      <c r="A3550" s="65">
        <v>3549</v>
      </c>
      <c r="B3550" s="64">
        <v>28666557.299956221</v>
      </c>
    </row>
    <row r="3551" spans="1:2" x14ac:dyDescent="0.25">
      <c r="A3551" s="65">
        <v>3550</v>
      </c>
      <c r="B3551" s="64">
        <v>28859939.911140196</v>
      </c>
    </row>
    <row r="3552" spans="1:2" x14ac:dyDescent="0.25">
      <c r="A3552" s="65">
        <v>3551</v>
      </c>
      <c r="B3552" s="64">
        <v>29449894.347160447</v>
      </c>
    </row>
    <row r="3553" spans="1:2" x14ac:dyDescent="0.25">
      <c r="A3553" s="65">
        <v>3552</v>
      </c>
      <c r="B3553" s="64">
        <v>29970861.21757254</v>
      </c>
    </row>
    <row r="3554" spans="1:2" x14ac:dyDescent="0.25">
      <c r="A3554" s="65">
        <v>3553</v>
      </c>
      <c r="B3554" s="64">
        <v>33475722.092680007</v>
      </c>
    </row>
    <row r="3555" spans="1:2" x14ac:dyDescent="0.25">
      <c r="A3555" s="65">
        <v>3554</v>
      </c>
      <c r="B3555" s="64">
        <v>28554066.398368467</v>
      </c>
    </row>
    <row r="3556" spans="1:2" x14ac:dyDescent="0.25">
      <c r="A3556" s="65">
        <v>3555</v>
      </c>
      <c r="B3556" s="64">
        <v>30310697.246054858</v>
      </c>
    </row>
    <row r="3557" spans="1:2" x14ac:dyDescent="0.25">
      <c r="A3557" s="65">
        <v>3556</v>
      </c>
      <c r="B3557" s="64">
        <v>29174681.625330642</v>
      </c>
    </row>
    <row r="3558" spans="1:2" x14ac:dyDescent="0.25">
      <c r="A3558" s="65">
        <v>3557</v>
      </c>
      <c r="B3558" s="64">
        <v>30324981.283876069</v>
      </c>
    </row>
    <row r="3559" spans="1:2" x14ac:dyDescent="0.25">
      <c r="A3559" s="65">
        <v>3558</v>
      </c>
      <c r="B3559" s="64">
        <v>30532162.728361402</v>
      </c>
    </row>
    <row r="3560" spans="1:2" x14ac:dyDescent="0.25">
      <c r="A3560" s="65">
        <v>3559</v>
      </c>
      <c r="B3560" s="64">
        <v>29567076.003679935</v>
      </c>
    </row>
    <row r="3561" spans="1:2" x14ac:dyDescent="0.25">
      <c r="A3561" s="65">
        <v>3560</v>
      </c>
      <c r="B3561" s="64">
        <v>29176463.47086126</v>
      </c>
    </row>
    <row r="3562" spans="1:2" x14ac:dyDescent="0.25">
      <c r="A3562" s="65">
        <v>3561</v>
      </c>
      <c r="B3562" s="64">
        <v>28712443.665700775</v>
      </c>
    </row>
    <row r="3563" spans="1:2" x14ac:dyDescent="0.25">
      <c r="A3563" s="65">
        <v>3562</v>
      </c>
      <c r="B3563" s="64">
        <v>28945990.667384107</v>
      </c>
    </row>
    <row r="3564" spans="1:2" x14ac:dyDescent="0.25">
      <c r="A3564" s="65">
        <v>3563</v>
      </c>
      <c r="B3564" s="64">
        <v>29061177.70080122</v>
      </c>
    </row>
    <row r="3565" spans="1:2" x14ac:dyDescent="0.25">
      <c r="A3565" s="65">
        <v>3564</v>
      </c>
      <c r="B3565" s="64">
        <v>29316890.40022758</v>
      </c>
    </row>
    <row r="3566" spans="1:2" x14ac:dyDescent="0.25">
      <c r="A3566" s="65">
        <v>3565</v>
      </c>
      <c r="B3566" s="64">
        <v>28811157.781539802</v>
      </c>
    </row>
    <row r="3567" spans="1:2" x14ac:dyDescent="0.25">
      <c r="A3567" s="65">
        <v>3566</v>
      </c>
      <c r="B3567" s="64">
        <v>28348745.937204555</v>
      </c>
    </row>
    <row r="3568" spans="1:2" x14ac:dyDescent="0.25">
      <c r="A3568" s="65">
        <v>3567</v>
      </c>
      <c r="B3568" s="64">
        <v>29251815.462658603</v>
      </c>
    </row>
    <row r="3569" spans="1:2" x14ac:dyDescent="0.25">
      <c r="A3569" s="65">
        <v>3568</v>
      </c>
      <c r="B3569" s="64">
        <v>29237114.409116872</v>
      </c>
    </row>
    <row r="3570" spans="1:2" x14ac:dyDescent="0.25">
      <c r="A3570" s="65">
        <v>3569</v>
      </c>
      <c r="B3570" s="64">
        <v>29713190.954584476</v>
      </c>
    </row>
    <row r="3571" spans="1:2" x14ac:dyDescent="0.25">
      <c r="A3571" s="65">
        <v>3570</v>
      </c>
      <c r="B3571" s="64">
        <v>29445479.115286678</v>
      </c>
    </row>
    <row r="3572" spans="1:2" x14ac:dyDescent="0.25">
      <c r="A3572" s="65">
        <v>3571</v>
      </c>
      <c r="B3572" s="64">
        <v>29009169.031522147</v>
      </c>
    </row>
    <row r="3573" spans="1:2" x14ac:dyDescent="0.25">
      <c r="A3573" s="65">
        <v>3572</v>
      </c>
      <c r="B3573" s="64">
        <v>29039158.454520028</v>
      </c>
    </row>
    <row r="3574" spans="1:2" x14ac:dyDescent="0.25">
      <c r="A3574" s="65">
        <v>3573</v>
      </c>
      <c r="B3574" s="64">
        <v>28669688.927106068</v>
      </c>
    </row>
    <row r="3575" spans="1:2" x14ac:dyDescent="0.25">
      <c r="A3575" s="65">
        <v>3574</v>
      </c>
      <c r="B3575" s="64">
        <v>29157303.622164514</v>
      </c>
    </row>
    <row r="3576" spans="1:2" x14ac:dyDescent="0.25">
      <c r="A3576" s="65">
        <v>3575</v>
      </c>
      <c r="B3576" s="64">
        <v>28623671.296028983</v>
      </c>
    </row>
    <row r="3577" spans="1:2" x14ac:dyDescent="0.25">
      <c r="A3577" s="65">
        <v>3576</v>
      </c>
      <c r="B3577" s="64">
        <v>29811313.696923222</v>
      </c>
    </row>
    <row r="3578" spans="1:2" x14ac:dyDescent="0.25">
      <c r="A3578" s="65">
        <v>3577</v>
      </c>
      <c r="B3578" s="64">
        <v>30450210.454249039</v>
      </c>
    </row>
    <row r="3579" spans="1:2" x14ac:dyDescent="0.25">
      <c r="A3579" s="65">
        <v>3578</v>
      </c>
      <c r="B3579" s="64">
        <v>28814093.113058675</v>
      </c>
    </row>
    <row r="3580" spans="1:2" x14ac:dyDescent="0.25">
      <c r="A3580" s="65">
        <v>3579</v>
      </c>
      <c r="B3580" s="64">
        <v>30442436.637803845</v>
      </c>
    </row>
    <row r="3581" spans="1:2" x14ac:dyDescent="0.25">
      <c r="A3581" s="65">
        <v>3580</v>
      </c>
      <c r="B3581" s="64">
        <v>29231258.756525841</v>
      </c>
    </row>
    <row r="3582" spans="1:2" x14ac:dyDescent="0.25">
      <c r="A3582" s="65">
        <v>3581</v>
      </c>
      <c r="B3582" s="64">
        <v>28667021.148684103</v>
      </c>
    </row>
    <row r="3583" spans="1:2" x14ac:dyDescent="0.25">
      <c r="A3583" s="65">
        <v>3582</v>
      </c>
      <c r="B3583" s="64">
        <v>28988507.219114698</v>
      </c>
    </row>
    <row r="3584" spans="1:2" x14ac:dyDescent="0.25">
      <c r="A3584" s="65">
        <v>3583</v>
      </c>
      <c r="B3584" s="64">
        <v>28880688.754006196</v>
      </c>
    </row>
    <row r="3585" spans="1:2" x14ac:dyDescent="0.25">
      <c r="A3585" s="65">
        <v>3584</v>
      </c>
      <c r="B3585" s="64">
        <v>28721054.541614681</v>
      </c>
    </row>
    <row r="3586" spans="1:2" x14ac:dyDescent="0.25">
      <c r="A3586" s="65">
        <v>3585</v>
      </c>
      <c r="B3586" s="64">
        <v>28753817.978267692</v>
      </c>
    </row>
    <row r="3587" spans="1:2" x14ac:dyDescent="0.25">
      <c r="A3587" s="65">
        <v>3586</v>
      </c>
      <c r="B3587" s="64">
        <v>29730113.089769728</v>
      </c>
    </row>
    <row r="3588" spans="1:2" x14ac:dyDescent="0.25">
      <c r="A3588" s="65">
        <v>3587</v>
      </c>
      <c r="B3588" s="64">
        <v>28877984.644725136</v>
      </c>
    </row>
    <row r="3589" spans="1:2" x14ac:dyDescent="0.25">
      <c r="A3589" s="65">
        <v>3588</v>
      </c>
      <c r="B3589" s="64">
        <v>29965645.880326647</v>
      </c>
    </row>
    <row r="3590" spans="1:2" x14ac:dyDescent="0.25">
      <c r="A3590" s="65">
        <v>3589</v>
      </c>
      <c r="B3590" s="64">
        <v>28490888.337367445</v>
      </c>
    </row>
    <row r="3591" spans="1:2" x14ac:dyDescent="0.25">
      <c r="A3591" s="65">
        <v>3590</v>
      </c>
      <c r="B3591" s="64">
        <v>29240804.069002684</v>
      </c>
    </row>
    <row r="3592" spans="1:2" x14ac:dyDescent="0.25">
      <c r="A3592" s="65">
        <v>3591</v>
      </c>
      <c r="B3592" s="64">
        <v>28853333.890949748</v>
      </c>
    </row>
    <row r="3593" spans="1:2" x14ac:dyDescent="0.25">
      <c r="A3593" s="65">
        <v>3592</v>
      </c>
      <c r="B3593" s="64">
        <v>29001982.820999</v>
      </c>
    </row>
    <row r="3594" spans="1:2" x14ac:dyDescent="0.25">
      <c r="A3594" s="65">
        <v>3593</v>
      </c>
      <c r="B3594" s="64">
        <v>29362216.282316335</v>
      </c>
    </row>
    <row r="3595" spans="1:2" x14ac:dyDescent="0.25">
      <c r="A3595" s="65">
        <v>3594</v>
      </c>
      <c r="B3595" s="64">
        <v>30271949.726157106</v>
      </c>
    </row>
    <row r="3596" spans="1:2" x14ac:dyDescent="0.25">
      <c r="A3596" s="65">
        <v>3595</v>
      </c>
      <c r="B3596" s="64">
        <v>29795415.040562365</v>
      </c>
    </row>
    <row r="3597" spans="1:2" x14ac:dyDescent="0.25">
      <c r="A3597" s="65">
        <v>3596</v>
      </c>
      <c r="B3597" s="64">
        <v>30696664.660873167</v>
      </c>
    </row>
    <row r="3598" spans="1:2" x14ac:dyDescent="0.25">
      <c r="A3598" s="65">
        <v>3597</v>
      </c>
      <c r="B3598" s="64">
        <v>29044177.735794786</v>
      </c>
    </row>
    <row r="3599" spans="1:2" x14ac:dyDescent="0.25">
      <c r="A3599" s="65">
        <v>3598</v>
      </c>
      <c r="B3599" s="64">
        <v>28764410.481486499</v>
      </c>
    </row>
    <row r="3600" spans="1:2" x14ac:dyDescent="0.25">
      <c r="A3600" s="65">
        <v>3599</v>
      </c>
      <c r="B3600" s="64">
        <v>28662171.217377994</v>
      </c>
    </row>
    <row r="3601" spans="1:2" x14ac:dyDescent="0.25">
      <c r="A3601" s="65">
        <v>3600</v>
      </c>
      <c r="B3601" s="64">
        <v>29146193.770267498</v>
      </c>
    </row>
    <row r="3602" spans="1:2" x14ac:dyDescent="0.25">
      <c r="A3602" s="65">
        <v>3601</v>
      </c>
      <c r="B3602" s="64">
        <v>29290691.6806233</v>
      </c>
    </row>
    <row r="3603" spans="1:2" x14ac:dyDescent="0.25">
      <c r="A3603" s="65">
        <v>3602</v>
      </c>
      <c r="B3603" s="64">
        <v>28771046.195876624</v>
      </c>
    </row>
    <row r="3604" spans="1:2" x14ac:dyDescent="0.25">
      <c r="A3604" s="65">
        <v>3603</v>
      </c>
      <c r="B3604" s="64">
        <v>28917124.617765572</v>
      </c>
    </row>
    <row r="3605" spans="1:2" x14ac:dyDescent="0.25">
      <c r="A3605" s="65">
        <v>3604</v>
      </c>
      <c r="B3605" s="64">
        <v>29183643.886886839</v>
      </c>
    </row>
    <row r="3606" spans="1:2" x14ac:dyDescent="0.25">
      <c r="A3606" s="65">
        <v>3605</v>
      </c>
      <c r="B3606" s="64">
        <v>29062508.26728294</v>
      </c>
    </row>
    <row r="3607" spans="1:2" x14ac:dyDescent="0.25">
      <c r="A3607" s="65">
        <v>3606</v>
      </c>
      <c r="B3607" s="64">
        <v>28800156.521771848</v>
      </c>
    </row>
    <row r="3608" spans="1:2" x14ac:dyDescent="0.25">
      <c r="A3608" s="65">
        <v>3607</v>
      </c>
      <c r="B3608" s="64">
        <v>28835646.686752256</v>
      </c>
    </row>
    <row r="3609" spans="1:2" x14ac:dyDescent="0.25">
      <c r="A3609" s="65">
        <v>3608</v>
      </c>
      <c r="B3609" s="64">
        <v>30762331.195154265</v>
      </c>
    </row>
    <row r="3610" spans="1:2" x14ac:dyDescent="0.25">
      <c r="A3610" s="65">
        <v>3609</v>
      </c>
      <c r="B3610" s="64">
        <v>30077784.204441875</v>
      </c>
    </row>
    <row r="3611" spans="1:2" x14ac:dyDescent="0.25">
      <c r="A3611" s="65">
        <v>3610</v>
      </c>
      <c r="B3611" s="64">
        <v>30212322.862307221</v>
      </c>
    </row>
    <row r="3612" spans="1:2" x14ac:dyDescent="0.25">
      <c r="A3612" s="65">
        <v>3611</v>
      </c>
      <c r="B3612" s="64">
        <v>29289310.069577094</v>
      </c>
    </row>
    <row r="3613" spans="1:2" x14ac:dyDescent="0.25">
      <c r="A3613" s="65">
        <v>3612</v>
      </c>
      <c r="B3613" s="64">
        <v>31022695.962153696</v>
      </c>
    </row>
    <row r="3614" spans="1:2" x14ac:dyDescent="0.25">
      <c r="A3614" s="65">
        <v>3613</v>
      </c>
      <c r="B3614" s="64">
        <v>29858105.668164603</v>
      </c>
    </row>
    <row r="3615" spans="1:2" x14ac:dyDescent="0.25">
      <c r="A3615" s="65">
        <v>3614</v>
      </c>
      <c r="B3615" s="64">
        <v>28945183.268223695</v>
      </c>
    </row>
    <row r="3616" spans="1:2" x14ac:dyDescent="0.25">
      <c r="A3616" s="65">
        <v>3615</v>
      </c>
      <c r="B3616" s="64">
        <v>29210579.283528153</v>
      </c>
    </row>
    <row r="3617" spans="1:2" x14ac:dyDescent="0.25">
      <c r="A3617" s="65">
        <v>3616</v>
      </c>
      <c r="B3617" s="64">
        <v>29005798.447558623</v>
      </c>
    </row>
    <row r="3618" spans="1:2" x14ac:dyDescent="0.25">
      <c r="A3618" s="65">
        <v>3617</v>
      </c>
      <c r="B3618" s="64">
        <v>28972182.888232455</v>
      </c>
    </row>
    <row r="3619" spans="1:2" x14ac:dyDescent="0.25">
      <c r="A3619" s="65">
        <v>3618</v>
      </c>
      <c r="B3619" s="64">
        <v>29289928.061153509</v>
      </c>
    </row>
    <row r="3620" spans="1:2" x14ac:dyDescent="0.25">
      <c r="A3620" s="65">
        <v>3619</v>
      </c>
      <c r="B3620" s="64">
        <v>28886473.016747687</v>
      </c>
    </row>
    <row r="3621" spans="1:2" x14ac:dyDescent="0.25">
      <c r="A3621" s="65">
        <v>3620</v>
      </c>
      <c r="B3621" s="64">
        <v>29242242.165966395</v>
      </c>
    </row>
    <row r="3622" spans="1:2" x14ac:dyDescent="0.25">
      <c r="A3622" s="65">
        <v>3621</v>
      </c>
      <c r="B3622" s="64">
        <v>28482959.099417381</v>
      </c>
    </row>
    <row r="3623" spans="1:2" x14ac:dyDescent="0.25">
      <c r="A3623" s="65">
        <v>3622</v>
      </c>
      <c r="B3623" s="64">
        <v>29269764.022337351</v>
      </c>
    </row>
    <row r="3624" spans="1:2" x14ac:dyDescent="0.25">
      <c r="A3624" s="65">
        <v>3623</v>
      </c>
      <c r="B3624" s="64">
        <v>29333487.897405226</v>
      </c>
    </row>
    <row r="3625" spans="1:2" x14ac:dyDescent="0.25">
      <c r="A3625" s="65">
        <v>3624</v>
      </c>
      <c r="B3625" s="64">
        <v>28519710.657727845</v>
      </c>
    </row>
    <row r="3626" spans="1:2" x14ac:dyDescent="0.25">
      <c r="A3626" s="65">
        <v>3625</v>
      </c>
      <c r="B3626" s="64">
        <v>29124104.324192781</v>
      </c>
    </row>
    <row r="3627" spans="1:2" x14ac:dyDescent="0.25">
      <c r="A3627" s="65">
        <v>3626</v>
      </c>
      <c r="B3627" s="64">
        <v>29727046.561236154</v>
      </c>
    </row>
    <row r="3628" spans="1:2" x14ac:dyDescent="0.25">
      <c r="A3628" s="65">
        <v>3627</v>
      </c>
      <c r="B3628" s="64">
        <v>28710006.895873431</v>
      </c>
    </row>
    <row r="3629" spans="1:2" x14ac:dyDescent="0.25">
      <c r="A3629" s="65">
        <v>3628</v>
      </c>
      <c r="B3629" s="64">
        <v>29571302.705135152</v>
      </c>
    </row>
    <row r="3630" spans="1:2" x14ac:dyDescent="0.25">
      <c r="A3630" s="65">
        <v>3629</v>
      </c>
      <c r="B3630" s="64">
        <v>28851330.81246987</v>
      </c>
    </row>
    <row r="3631" spans="1:2" x14ac:dyDescent="0.25">
      <c r="A3631" s="65">
        <v>3630</v>
      </c>
      <c r="B3631" s="64">
        <v>32798760.51633383</v>
      </c>
    </row>
    <row r="3632" spans="1:2" x14ac:dyDescent="0.25">
      <c r="A3632" s="65">
        <v>3631</v>
      </c>
      <c r="B3632" s="64">
        <v>34025056.032956205</v>
      </c>
    </row>
    <row r="3633" spans="1:2" x14ac:dyDescent="0.25">
      <c r="A3633" s="65">
        <v>3632</v>
      </c>
      <c r="B3633" s="64">
        <v>33327233.098804783</v>
      </c>
    </row>
    <row r="3634" spans="1:2" x14ac:dyDescent="0.25">
      <c r="A3634" s="65">
        <v>3633</v>
      </c>
      <c r="B3634" s="64">
        <v>29650161.194121175</v>
      </c>
    </row>
    <row r="3635" spans="1:2" x14ac:dyDescent="0.25">
      <c r="A3635" s="65">
        <v>3634</v>
      </c>
      <c r="B3635" s="64">
        <v>29490518.532848913</v>
      </c>
    </row>
    <row r="3636" spans="1:2" x14ac:dyDescent="0.25">
      <c r="A3636" s="65">
        <v>3635</v>
      </c>
      <c r="B3636" s="64">
        <v>29173809.839545105</v>
      </c>
    </row>
    <row r="3637" spans="1:2" x14ac:dyDescent="0.25">
      <c r="A3637" s="65">
        <v>3636</v>
      </c>
      <c r="B3637" s="64">
        <v>28967629.923391514</v>
      </c>
    </row>
    <row r="3638" spans="1:2" x14ac:dyDescent="0.25">
      <c r="A3638" s="65">
        <v>3637</v>
      </c>
      <c r="B3638" s="64">
        <v>29399216.273857422</v>
      </c>
    </row>
    <row r="3639" spans="1:2" x14ac:dyDescent="0.25">
      <c r="A3639" s="65">
        <v>3638</v>
      </c>
      <c r="B3639" s="64">
        <v>28984074.534801029</v>
      </c>
    </row>
    <row r="3640" spans="1:2" x14ac:dyDescent="0.25">
      <c r="A3640" s="65">
        <v>3639</v>
      </c>
      <c r="B3640" s="64">
        <v>28982866.438215312</v>
      </c>
    </row>
    <row r="3641" spans="1:2" x14ac:dyDescent="0.25">
      <c r="A3641" s="65">
        <v>3640</v>
      </c>
      <c r="B3641" s="64">
        <v>28939164.132442471</v>
      </c>
    </row>
    <row r="3642" spans="1:2" x14ac:dyDescent="0.25">
      <c r="A3642" s="65">
        <v>3641</v>
      </c>
      <c r="B3642" s="64">
        <v>28696403.849087644</v>
      </c>
    </row>
    <row r="3643" spans="1:2" x14ac:dyDescent="0.25">
      <c r="A3643" s="65">
        <v>3642</v>
      </c>
      <c r="B3643" s="64">
        <v>28455675.351162247</v>
      </c>
    </row>
    <row r="3644" spans="1:2" x14ac:dyDescent="0.25">
      <c r="A3644" s="65">
        <v>3643</v>
      </c>
      <c r="B3644" s="64">
        <v>28896290.316433612</v>
      </c>
    </row>
    <row r="3645" spans="1:2" x14ac:dyDescent="0.25">
      <c r="A3645" s="65">
        <v>3644</v>
      </c>
      <c r="B3645" s="64">
        <v>29683025.422278456</v>
      </c>
    </row>
    <row r="3646" spans="1:2" x14ac:dyDescent="0.25">
      <c r="A3646" s="65">
        <v>3645</v>
      </c>
      <c r="B3646" s="64">
        <v>29006756.243355665</v>
      </c>
    </row>
    <row r="3647" spans="1:2" x14ac:dyDescent="0.25">
      <c r="A3647" s="65">
        <v>3646</v>
      </c>
      <c r="B3647" s="64">
        <v>29499501.566159379</v>
      </c>
    </row>
    <row r="3648" spans="1:2" x14ac:dyDescent="0.25">
      <c r="A3648" s="65">
        <v>3647</v>
      </c>
      <c r="B3648" s="64">
        <v>29190068.746015683</v>
      </c>
    </row>
    <row r="3649" spans="1:2" x14ac:dyDescent="0.25">
      <c r="A3649" s="65">
        <v>3648</v>
      </c>
      <c r="B3649" s="64">
        <v>28770851.753309343</v>
      </c>
    </row>
    <row r="3650" spans="1:2" x14ac:dyDescent="0.25">
      <c r="A3650" s="65">
        <v>3649</v>
      </c>
      <c r="B3650" s="64">
        <v>29230679.59377975</v>
      </c>
    </row>
    <row r="3651" spans="1:2" x14ac:dyDescent="0.25">
      <c r="A3651" s="65">
        <v>3650</v>
      </c>
      <c r="B3651" s="64">
        <v>29725557.22503997</v>
      </c>
    </row>
    <row r="3652" spans="1:2" x14ac:dyDescent="0.25">
      <c r="A3652" s="65">
        <v>3651</v>
      </c>
      <c r="B3652" s="64">
        <v>28931294.306783307</v>
      </c>
    </row>
    <row r="3653" spans="1:2" x14ac:dyDescent="0.25">
      <c r="A3653" s="65">
        <v>3652</v>
      </c>
      <c r="B3653" s="64">
        <v>28951150.967808347</v>
      </c>
    </row>
    <row r="3654" spans="1:2" x14ac:dyDescent="0.25">
      <c r="A3654" s="65">
        <v>3653</v>
      </c>
      <c r="B3654" s="64">
        <v>28836316.46179137</v>
      </c>
    </row>
    <row r="3655" spans="1:2" x14ac:dyDescent="0.25">
      <c r="A3655" s="65">
        <v>3654</v>
      </c>
      <c r="B3655" s="64">
        <v>29709070.453610368</v>
      </c>
    </row>
    <row r="3656" spans="1:2" x14ac:dyDescent="0.25">
      <c r="A3656" s="65">
        <v>3655</v>
      </c>
      <c r="B3656" s="64">
        <v>29039396.014721368</v>
      </c>
    </row>
    <row r="3657" spans="1:2" x14ac:dyDescent="0.25">
      <c r="A3657" s="65">
        <v>3656</v>
      </c>
      <c r="B3657" s="64">
        <v>29421069.084241237</v>
      </c>
    </row>
    <row r="3658" spans="1:2" x14ac:dyDescent="0.25">
      <c r="A3658" s="65">
        <v>3657</v>
      </c>
      <c r="B3658" s="64">
        <v>28706250.119961701</v>
      </c>
    </row>
    <row r="3659" spans="1:2" x14ac:dyDescent="0.25">
      <c r="A3659" s="65">
        <v>3658</v>
      </c>
      <c r="B3659" s="64">
        <v>29728111.822971784</v>
      </c>
    </row>
    <row r="3660" spans="1:2" x14ac:dyDescent="0.25">
      <c r="A3660" s="65">
        <v>3659</v>
      </c>
      <c r="B3660" s="64">
        <v>30076140.501156334</v>
      </c>
    </row>
    <row r="3661" spans="1:2" x14ac:dyDescent="0.25">
      <c r="A3661" s="65">
        <v>3660</v>
      </c>
      <c r="B3661" s="64">
        <v>28883111.314880151</v>
      </c>
    </row>
    <row r="3662" spans="1:2" x14ac:dyDescent="0.25">
      <c r="A3662" s="65">
        <v>3661</v>
      </c>
      <c r="B3662" s="64">
        <v>29472711.10720994</v>
      </c>
    </row>
    <row r="3663" spans="1:2" x14ac:dyDescent="0.25">
      <c r="A3663" s="65">
        <v>3662</v>
      </c>
      <c r="B3663" s="64">
        <v>30133625.504765667</v>
      </c>
    </row>
    <row r="3664" spans="1:2" x14ac:dyDescent="0.25">
      <c r="A3664" s="65">
        <v>3663</v>
      </c>
      <c r="B3664" s="64">
        <v>28872064.435518812</v>
      </c>
    </row>
    <row r="3665" spans="1:2" x14ac:dyDescent="0.25">
      <c r="A3665" s="65">
        <v>3664</v>
      </c>
      <c r="B3665" s="64">
        <v>28840256.403127078</v>
      </c>
    </row>
    <row r="3666" spans="1:2" x14ac:dyDescent="0.25">
      <c r="A3666" s="65">
        <v>3665</v>
      </c>
      <c r="B3666" s="64">
        <v>29296888.793674167</v>
      </c>
    </row>
    <row r="3667" spans="1:2" x14ac:dyDescent="0.25">
      <c r="A3667" s="65">
        <v>3666</v>
      </c>
      <c r="B3667" s="64">
        <v>29688886.994573537</v>
      </c>
    </row>
    <row r="3668" spans="1:2" x14ac:dyDescent="0.25">
      <c r="A3668" s="65">
        <v>3667</v>
      </c>
      <c r="B3668" s="64">
        <v>29136123.512570489</v>
      </c>
    </row>
    <row r="3669" spans="1:2" x14ac:dyDescent="0.25">
      <c r="A3669" s="65">
        <v>3668</v>
      </c>
      <c r="B3669" s="64">
        <v>29099244.758812353</v>
      </c>
    </row>
    <row r="3670" spans="1:2" x14ac:dyDescent="0.25">
      <c r="A3670" s="65">
        <v>3669</v>
      </c>
      <c r="B3670" s="64">
        <v>28688189.723933499</v>
      </c>
    </row>
    <row r="3671" spans="1:2" x14ac:dyDescent="0.25">
      <c r="A3671" s="65">
        <v>3670</v>
      </c>
      <c r="B3671" s="64">
        <v>28879584.892387856</v>
      </c>
    </row>
    <row r="3672" spans="1:2" x14ac:dyDescent="0.25">
      <c r="A3672" s="65">
        <v>3671</v>
      </c>
      <c r="B3672" s="64">
        <v>30009121.713565864</v>
      </c>
    </row>
    <row r="3673" spans="1:2" x14ac:dyDescent="0.25">
      <c r="A3673" s="65">
        <v>3672</v>
      </c>
      <c r="B3673" s="64">
        <v>29015402.803076744</v>
      </c>
    </row>
    <row r="3674" spans="1:2" x14ac:dyDescent="0.25">
      <c r="A3674" s="65">
        <v>3673</v>
      </c>
      <c r="B3674" s="64">
        <v>28786155.753267627</v>
      </c>
    </row>
    <row r="3675" spans="1:2" x14ac:dyDescent="0.25">
      <c r="A3675" s="65">
        <v>3674</v>
      </c>
      <c r="B3675" s="64">
        <v>29008515.703544654</v>
      </c>
    </row>
    <row r="3676" spans="1:2" x14ac:dyDescent="0.25">
      <c r="A3676" s="65">
        <v>3675</v>
      </c>
      <c r="B3676" s="64">
        <v>28943930.094571523</v>
      </c>
    </row>
    <row r="3677" spans="1:2" x14ac:dyDescent="0.25">
      <c r="A3677" s="65">
        <v>3676</v>
      </c>
      <c r="B3677" s="64">
        <v>28622075.967585336</v>
      </c>
    </row>
    <row r="3678" spans="1:2" x14ac:dyDescent="0.25">
      <c r="A3678" s="65">
        <v>3677</v>
      </c>
      <c r="B3678" s="64">
        <v>30624529.615005862</v>
      </c>
    </row>
    <row r="3679" spans="1:2" x14ac:dyDescent="0.25">
      <c r="A3679" s="65">
        <v>3678</v>
      </c>
      <c r="B3679" s="64">
        <v>29822871.585948523</v>
      </c>
    </row>
    <row r="3680" spans="1:2" x14ac:dyDescent="0.25">
      <c r="A3680" s="65">
        <v>3679</v>
      </c>
      <c r="B3680" s="64">
        <v>28418118.642914988</v>
      </c>
    </row>
    <row r="3681" spans="1:2" x14ac:dyDescent="0.25">
      <c r="A3681" s="65">
        <v>3680</v>
      </c>
      <c r="B3681" s="64">
        <v>29007486.908875052</v>
      </c>
    </row>
    <row r="3682" spans="1:2" x14ac:dyDescent="0.25">
      <c r="A3682" s="65">
        <v>3681</v>
      </c>
      <c r="B3682" s="64">
        <v>29220793.135226019</v>
      </c>
    </row>
    <row r="3683" spans="1:2" x14ac:dyDescent="0.25">
      <c r="A3683" s="65">
        <v>3682</v>
      </c>
      <c r="B3683" s="64">
        <v>28629853.472640626</v>
      </c>
    </row>
    <row r="3684" spans="1:2" x14ac:dyDescent="0.25">
      <c r="A3684" s="65">
        <v>3683</v>
      </c>
      <c r="B3684" s="64">
        <v>30255434.923446711</v>
      </c>
    </row>
    <row r="3685" spans="1:2" x14ac:dyDescent="0.25">
      <c r="A3685" s="65">
        <v>3684</v>
      </c>
      <c r="B3685" s="64">
        <v>28773405.598628219</v>
      </c>
    </row>
    <row r="3686" spans="1:2" x14ac:dyDescent="0.25">
      <c r="A3686" s="65">
        <v>3685</v>
      </c>
      <c r="B3686" s="64">
        <v>29295486.480027992</v>
      </c>
    </row>
    <row r="3687" spans="1:2" x14ac:dyDescent="0.25">
      <c r="A3687" s="65">
        <v>3686</v>
      </c>
      <c r="B3687" s="64">
        <v>28738439.009474065</v>
      </c>
    </row>
    <row r="3688" spans="1:2" x14ac:dyDescent="0.25">
      <c r="A3688" s="65">
        <v>3687</v>
      </c>
      <c r="B3688" s="64">
        <v>28879003.970684256</v>
      </c>
    </row>
    <row r="3689" spans="1:2" x14ac:dyDescent="0.25">
      <c r="A3689" s="65">
        <v>3688</v>
      </c>
      <c r="B3689" s="64">
        <v>29228675.316867307</v>
      </c>
    </row>
    <row r="3690" spans="1:2" x14ac:dyDescent="0.25">
      <c r="A3690" s="65">
        <v>3689</v>
      </c>
      <c r="B3690" s="64">
        <v>29278336.424870439</v>
      </c>
    </row>
    <row r="3691" spans="1:2" x14ac:dyDescent="0.25">
      <c r="A3691" s="65">
        <v>3690</v>
      </c>
      <c r="B3691" s="64">
        <v>28789381.620094787</v>
      </c>
    </row>
    <row r="3692" spans="1:2" x14ac:dyDescent="0.25">
      <c r="A3692" s="65">
        <v>3691</v>
      </c>
      <c r="B3692" s="64">
        <v>29104887.886579592</v>
      </c>
    </row>
    <row r="3693" spans="1:2" x14ac:dyDescent="0.25">
      <c r="A3693" s="65">
        <v>3692</v>
      </c>
      <c r="B3693" s="64">
        <v>29069570.852332473</v>
      </c>
    </row>
    <row r="3694" spans="1:2" x14ac:dyDescent="0.25">
      <c r="A3694" s="65">
        <v>3693</v>
      </c>
      <c r="B3694" s="64">
        <v>28677690.471169591</v>
      </c>
    </row>
    <row r="3695" spans="1:2" x14ac:dyDescent="0.25">
      <c r="A3695" s="65">
        <v>3694</v>
      </c>
      <c r="B3695" s="64">
        <v>29238555.770218894</v>
      </c>
    </row>
    <row r="3696" spans="1:2" x14ac:dyDescent="0.25">
      <c r="A3696" s="65">
        <v>3695</v>
      </c>
      <c r="B3696" s="64">
        <v>28951409.574629042</v>
      </c>
    </row>
    <row r="3697" spans="1:2" x14ac:dyDescent="0.25">
      <c r="A3697" s="65">
        <v>3696</v>
      </c>
      <c r="B3697" s="64">
        <v>29854699.616841026</v>
      </c>
    </row>
    <row r="3698" spans="1:2" x14ac:dyDescent="0.25">
      <c r="A3698" s="65">
        <v>3697</v>
      </c>
      <c r="B3698" s="64">
        <v>29265935.021159776</v>
      </c>
    </row>
    <row r="3699" spans="1:2" x14ac:dyDescent="0.25">
      <c r="A3699" s="65">
        <v>3698</v>
      </c>
      <c r="B3699" s="64">
        <v>29091456.78718045</v>
      </c>
    </row>
    <row r="3700" spans="1:2" x14ac:dyDescent="0.25">
      <c r="A3700" s="65">
        <v>3699</v>
      </c>
      <c r="B3700" s="64">
        <v>29021008.08953733</v>
      </c>
    </row>
    <row r="3701" spans="1:2" x14ac:dyDescent="0.25">
      <c r="A3701" s="65">
        <v>3700</v>
      </c>
      <c r="B3701" s="64">
        <v>29125353.998594414</v>
      </c>
    </row>
    <row r="3702" spans="1:2" x14ac:dyDescent="0.25">
      <c r="A3702" s="65">
        <v>3701</v>
      </c>
      <c r="B3702" s="64">
        <v>29364307.247907922</v>
      </c>
    </row>
    <row r="3703" spans="1:2" x14ac:dyDescent="0.25">
      <c r="A3703" s="65">
        <v>3702</v>
      </c>
      <c r="B3703" s="64">
        <v>29220262.671506722</v>
      </c>
    </row>
    <row r="3704" spans="1:2" x14ac:dyDescent="0.25">
      <c r="A3704" s="65">
        <v>3703</v>
      </c>
      <c r="B3704" s="64">
        <v>32472573.569265489</v>
      </c>
    </row>
    <row r="3705" spans="1:2" x14ac:dyDescent="0.25">
      <c r="A3705" s="65">
        <v>3704</v>
      </c>
      <c r="B3705" s="64">
        <v>28506074.770419247</v>
      </c>
    </row>
    <row r="3706" spans="1:2" x14ac:dyDescent="0.25">
      <c r="A3706" s="65">
        <v>3705</v>
      </c>
      <c r="B3706" s="64">
        <v>29848220.092580255</v>
      </c>
    </row>
    <row r="3707" spans="1:2" x14ac:dyDescent="0.25">
      <c r="A3707" s="65">
        <v>3706</v>
      </c>
      <c r="B3707" s="64">
        <v>29055278.324007906</v>
      </c>
    </row>
    <row r="3708" spans="1:2" x14ac:dyDescent="0.25">
      <c r="A3708" s="65">
        <v>3707</v>
      </c>
      <c r="B3708" s="64">
        <v>29555560.97034299</v>
      </c>
    </row>
    <row r="3709" spans="1:2" x14ac:dyDescent="0.25">
      <c r="A3709" s="65">
        <v>3708</v>
      </c>
      <c r="B3709" s="64">
        <v>30038145.639917657</v>
      </c>
    </row>
    <row r="3710" spans="1:2" x14ac:dyDescent="0.25">
      <c r="A3710" s="65">
        <v>3709</v>
      </c>
      <c r="B3710" s="64">
        <v>29199294.712612737</v>
      </c>
    </row>
    <row r="3711" spans="1:2" x14ac:dyDescent="0.25">
      <c r="A3711" s="65">
        <v>3710</v>
      </c>
      <c r="B3711" s="64">
        <v>28881107.781185638</v>
      </c>
    </row>
    <row r="3712" spans="1:2" x14ac:dyDescent="0.25">
      <c r="A3712" s="65">
        <v>3711</v>
      </c>
      <c r="B3712" s="64">
        <v>34801986.652976774</v>
      </c>
    </row>
    <row r="3713" spans="1:2" x14ac:dyDescent="0.25">
      <c r="A3713" s="65">
        <v>3712</v>
      </c>
      <c r="B3713" s="64">
        <v>29255245.756235436</v>
      </c>
    </row>
    <row r="3714" spans="1:2" x14ac:dyDescent="0.25">
      <c r="A3714" s="65">
        <v>3713</v>
      </c>
      <c r="B3714" s="64">
        <v>28765852.572587103</v>
      </c>
    </row>
    <row r="3715" spans="1:2" x14ac:dyDescent="0.25">
      <c r="A3715" s="65">
        <v>3714</v>
      </c>
      <c r="B3715" s="64">
        <v>29259046.622476261</v>
      </c>
    </row>
    <row r="3716" spans="1:2" x14ac:dyDescent="0.25">
      <c r="A3716" s="65">
        <v>3715</v>
      </c>
      <c r="B3716" s="64">
        <v>30302415.763164893</v>
      </c>
    </row>
    <row r="3717" spans="1:2" x14ac:dyDescent="0.25">
      <c r="A3717" s="65">
        <v>3716</v>
      </c>
      <c r="B3717" s="64">
        <v>29274501.571683217</v>
      </c>
    </row>
    <row r="3718" spans="1:2" x14ac:dyDescent="0.25">
      <c r="A3718" s="65">
        <v>3717</v>
      </c>
      <c r="B3718" s="64">
        <v>29766005.79783947</v>
      </c>
    </row>
    <row r="3719" spans="1:2" x14ac:dyDescent="0.25">
      <c r="A3719" s="65">
        <v>3718</v>
      </c>
      <c r="B3719" s="64">
        <v>29235303.210456163</v>
      </c>
    </row>
    <row r="3720" spans="1:2" x14ac:dyDescent="0.25">
      <c r="A3720" s="65">
        <v>3719</v>
      </c>
      <c r="B3720" s="64">
        <v>28818045.993863713</v>
      </c>
    </row>
    <row r="3721" spans="1:2" x14ac:dyDescent="0.25">
      <c r="A3721" s="65">
        <v>3720</v>
      </c>
      <c r="B3721" s="64">
        <v>29142265.649877388</v>
      </c>
    </row>
    <row r="3722" spans="1:2" x14ac:dyDescent="0.25">
      <c r="A3722" s="65">
        <v>3721</v>
      </c>
      <c r="B3722" s="64">
        <v>28747165.685916714</v>
      </c>
    </row>
    <row r="3723" spans="1:2" x14ac:dyDescent="0.25">
      <c r="A3723" s="65">
        <v>3722</v>
      </c>
      <c r="B3723" s="64">
        <v>29585983.510786913</v>
      </c>
    </row>
    <row r="3724" spans="1:2" x14ac:dyDescent="0.25">
      <c r="A3724" s="65">
        <v>3723</v>
      </c>
      <c r="B3724" s="64">
        <v>29407751.044558719</v>
      </c>
    </row>
    <row r="3725" spans="1:2" x14ac:dyDescent="0.25">
      <c r="A3725" s="65">
        <v>3724</v>
      </c>
      <c r="B3725" s="64">
        <v>29119921.107506186</v>
      </c>
    </row>
    <row r="3726" spans="1:2" x14ac:dyDescent="0.25">
      <c r="A3726" s="65">
        <v>3725</v>
      </c>
      <c r="B3726" s="64">
        <v>35055834.97388716</v>
      </c>
    </row>
    <row r="3727" spans="1:2" x14ac:dyDescent="0.25">
      <c r="A3727" s="65">
        <v>3726</v>
      </c>
      <c r="B3727" s="64">
        <v>28762684.599524312</v>
      </c>
    </row>
    <row r="3728" spans="1:2" x14ac:dyDescent="0.25">
      <c r="A3728" s="65">
        <v>3727</v>
      </c>
      <c r="B3728" s="64">
        <v>29055860.791288037</v>
      </c>
    </row>
    <row r="3729" spans="1:2" x14ac:dyDescent="0.25">
      <c r="A3729" s="65">
        <v>3728</v>
      </c>
      <c r="B3729" s="64">
        <v>29968680.218977928</v>
      </c>
    </row>
    <row r="3730" spans="1:2" x14ac:dyDescent="0.25">
      <c r="A3730" s="65">
        <v>3729</v>
      </c>
      <c r="B3730" s="64">
        <v>30362572.318979185</v>
      </c>
    </row>
    <row r="3731" spans="1:2" x14ac:dyDescent="0.25">
      <c r="A3731" s="65">
        <v>3730</v>
      </c>
      <c r="B3731" s="64">
        <v>32660829.323736794</v>
      </c>
    </row>
    <row r="3732" spans="1:2" x14ac:dyDescent="0.25">
      <c r="A3732" s="65">
        <v>3731</v>
      </c>
      <c r="B3732" s="64">
        <v>30486210.277010549</v>
      </c>
    </row>
    <row r="3733" spans="1:2" x14ac:dyDescent="0.25">
      <c r="A3733" s="65">
        <v>3732</v>
      </c>
      <c r="B3733" s="64">
        <v>28835673.779395651</v>
      </c>
    </row>
    <row r="3734" spans="1:2" x14ac:dyDescent="0.25">
      <c r="A3734" s="65">
        <v>3733</v>
      </c>
      <c r="B3734" s="64">
        <v>30456612.848118812</v>
      </c>
    </row>
    <row r="3735" spans="1:2" x14ac:dyDescent="0.25">
      <c r="A3735" s="65">
        <v>3734</v>
      </c>
      <c r="B3735" s="64">
        <v>29906656.567645349</v>
      </c>
    </row>
    <row r="3736" spans="1:2" x14ac:dyDescent="0.25">
      <c r="A3736" s="65">
        <v>3735</v>
      </c>
      <c r="B3736" s="64">
        <v>30022921.193673354</v>
      </c>
    </row>
    <row r="3737" spans="1:2" x14ac:dyDescent="0.25">
      <c r="A3737" s="65">
        <v>3736</v>
      </c>
      <c r="B3737" s="64">
        <v>29281014.925966427</v>
      </c>
    </row>
    <row r="3738" spans="1:2" x14ac:dyDescent="0.25">
      <c r="A3738" s="65">
        <v>3737</v>
      </c>
      <c r="B3738" s="64">
        <v>28605728.804873049</v>
      </c>
    </row>
    <row r="3739" spans="1:2" x14ac:dyDescent="0.25">
      <c r="A3739" s="65">
        <v>3738</v>
      </c>
      <c r="B3739" s="64">
        <v>29692518.241235409</v>
      </c>
    </row>
    <row r="3740" spans="1:2" x14ac:dyDescent="0.25">
      <c r="A3740" s="65">
        <v>3739</v>
      </c>
      <c r="B3740" s="64">
        <v>28881701.239831373</v>
      </c>
    </row>
    <row r="3741" spans="1:2" x14ac:dyDescent="0.25">
      <c r="A3741" s="65">
        <v>3740</v>
      </c>
      <c r="B3741" s="64">
        <v>28562411.430862464</v>
      </c>
    </row>
    <row r="3742" spans="1:2" x14ac:dyDescent="0.25">
      <c r="A3742" s="65">
        <v>3741</v>
      </c>
      <c r="B3742" s="64">
        <v>29715307.592987046</v>
      </c>
    </row>
    <row r="3743" spans="1:2" x14ac:dyDescent="0.25">
      <c r="A3743" s="65">
        <v>3742</v>
      </c>
      <c r="B3743" s="64">
        <v>30704007.631766755</v>
      </c>
    </row>
    <row r="3744" spans="1:2" x14ac:dyDescent="0.25">
      <c r="A3744" s="65">
        <v>3743</v>
      </c>
      <c r="B3744" s="64">
        <v>28628507.966582172</v>
      </c>
    </row>
    <row r="3745" spans="1:2" x14ac:dyDescent="0.25">
      <c r="A3745" s="65">
        <v>3744</v>
      </c>
      <c r="B3745" s="64">
        <v>29709995.858717509</v>
      </c>
    </row>
    <row r="3746" spans="1:2" x14ac:dyDescent="0.25">
      <c r="A3746" s="65">
        <v>3745</v>
      </c>
      <c r="B3746" s="64">
        <v>28810628.352202613</v>
      </c>
    </row>
    <row r="3747" spans="1:2" x14ac:dyDescent="0.25">
      <c r="A3747" s="65">
        <v>3746</v>
      </c>
      <c r="B3747" s="64">
        <v>28593777.955066603</v>
      </c>
    </row>
    <row r="3748" spans="1:2" x14ac:dyDescent="0.25">
      <c r="A3748" s="65">
        <v>3747</v>
      </c>
      <c r="B3748" s="64">
        <v>28710664.075783528</v>
      </c>
    </row>
    <row r="3749" spans="1:2" x14ac:dyDescent="0.25">
      <c r="A3749" s="65">
        <v>3748</v>
      </c>
      <c r="B3749" s="64">
        <v>29562512.015083048</v>
      </c>
    </row>
    <row r="3750" spans="1:2" x14ac:dyDescent="0.25">
      <c r="A3750" s="65">
        <v>3749</v>
      </c>
      <c r="B3750" s="64">
        <v>28499165.918913849</v>
      </c>
    </row>
    <row r="3751" spans="1:2" x14ac:dyDescent="0.25">
      <c r="A3751" s="65">
        <v>3750</v>
      </c>
      <c r="B3751" s="64">
        <v>29001265.183470555</v>
      </c>
    </row>
    <row r="3752" spans="1:2" x14ac:dyDescent="0.25">
      <c r="A3752" s="65">
        <v>3751</v>
      </c>
      <c r="B3752" s="64">
        <v>28870895.994605076</v>
      </c>
    </row>
    <row r="3753" spans="1:2" x14ac:dyDescent="0.25">
      <c r="A3753" s="65">
        <v>3752</v>
      </c>
      <c r="B3753" s="64">
        <v>28844773.787676219</v>
      </c>
    </row>
    <row r="3754" spans="1:2" x14ac:dyDescent="0.25">
      <c r="A3754" s="65">
        <v>3753</v>
      </c>
      <c r="B3754" s="64">
        <v>28695185.144307539</v>
      </c>
    </row>
    <row r="3755" spans="1:2" x14ac:dyDescent="0.25">
      <c r="A3755" s="65">
        <v>3754</v>
      </c>
      <c r="B3755" s="64">
        <v>29700470.304821748</v>
      </c>
    </row>
    <row r="3756" spans="1:2" x14ac:dyDescent="0.25">
      <c r="A3756" s="65">
        <v>3755</v>
      </c>
      <c r="B3756" s="64">
        <v>28780908.769068159</v>
      </c>
    </row>
    <row r="3757" spans="1:2" x14ac:dyDescent="0.25">
      <c r="A3757" s="65">
        <v>3756</v>
      </c>
      <c r="B3757" s="64">
        <v>29311733.68907268</v>
      </c>
    </row>
    <row r="3758" spans="1:2" x14ac:dyDescent="0.25">
      <c r="A3758" s="65">
        <v>3757</v>
      </c>
      <c r="B3758" s="64">
        <v>31504001.725348204</v>
      </c>
    </row>
    <row r="3759" spans="1:2" x14ac:dyDescent="0.25">
      <c r="A3759" s="65">
        <v>3758</v>
      </c>
      <c r="B3759" s="64">
        <v>29874373.233134493</v>
      </c>
    </row>
    <row r="3760" spans="1:2" x14ac:dyDescent="0.25">
      <c r="A3760" s="65">
        <v>3759</v>
      </c>
      <c r="B3760" s="64">
        <v>28808456.779333975</v>
      </c>
    </row>
    <row r="3761" spans="1:2" x14ac:dyDescent="0.25">
      <c r="A3761" s="65">
        <v>3760</v>
      </c>
      <c r="B3761" s="64">
        <v>29124762.770375703</v>
      </c>
    </row>
    <row r="3762" spans="1:2" x14ac:dyDescent="0.25">
      <c r="A3762" s="65">
        <v>3761</v>
      </c>
      <c r="B3762" s="64">
        <v>29037793.977851599</v>
      </c>
    </row>
    <row r="3763" spans="1:2" x14ac:dyDescent="0.25">
      <c r="A3763" s="65">
        <v>3762</v>
      </c>
      <c r="B3763" s="64">
        <v>29441406.021022197</v>
      </c>
    </row>
    <row r="3764" spans="1:2" x14ac:dyDescent="0.25">
      <c r="A3764" s="65">
        <v>3763</v>
      </c>
      <c r="B3764" s="64">
        <v>29102192.453358646</v>
      </c>
    </row>
    <row r="3765" spans="1:2" x14ac:dyDescent="0.25">
      <c r="A3765" s="65">
        <v>3764</v>
      </c>
      <c r="B3765" s="64">
        <v>28918221.747215737</v>
      </c>
    </row>
    <row r="3766" spans="1:2" x14ac:dyDescent="0.25">
      <c r="A3766" s="65">
        <v>3765</v>
      </c>
      <c r="B3766" s="64">
        <v>28737497.613190331</v>
      </c>
    </row>
    <row r="3767" spans="1:2" x14ac:dyDescent="0.25">
      <c r="A3767" s="65">
        <v>3766</v>
      </c>
      <c r="B3767" s="64">
        <v>28548024.691990137</v>
      </c>
    </row>
    <row r="3768" spans="1:2" x14ac:dyDescent="0.25">
      <c r="A3768" s="65">
        <v>3767</v>
      </c>
      <c r="B3768" s="64">
        <v>29977601.010743428</v>
      </c>
    </row>
    <row r="3769" spans="1:2" x14ac:dyDescent="0.25">
      <c r="A3769" s="65">
        <v>3768</v>
      </c>
      <c r="B3769" s="64">
        <v>28931720.440784775</v>
      </c>
    </row>
    <row r="3770" spans="1:2" x14ac:dyDescent="0.25">
      <c r="A3770" s="65">
        <v>3769</v>
      </c>
      <c r="B3770" s="64">
        <v>28955955.476487584</v>
      </c>
    </row>
    <row r="3771" spans="1:2" x14ac:dyDescent="0.25">
      <c r="A3771" s="65">
        <v>3770</v>
      </c>
      <c r="B3771" s="64">
        <v>29596645.659449011</v>
      </c>
    </row>
    <row r="3772" spans="1:2" x14ac:dyDescent="0.25">
      <c r="A3772" s="65">
        <v>3771</v>
      </c>
      <c r="B3772" s="64">
        <v>29430595.785109378</v>
      </c>
    </row>
    <row r="3773" spans="1:2" x14ac:dyDescent="0.25">
      <c r="A3773" s="65">
        <v>3772</v>
      </c>
      <c r="B3773" s="64">
        <v>28687646.704530083</v>
      </c>
    </row>
    <row r="3774" spans="1:2" x14ac:dyDescent="0.25">
      <c r="A3774" s="65">
        <v>3773</v>
      </c>
      <c r="B3774" s="64">
        <v>28605522.519178078</v>
      </c>
    </row>
    <row r="3775" spans="1:2" x14ac:dyDescent="0.25">
      <c r="A3775" s="65">
        <v>3774</v>
      </c>
      <c r="B3775" s="64">
        <v>29033933.201001566</v>
      </c>
    </row>
    <row r="3776" spans="1:2" x14ac:dyDescent="0.25">
      <c r="A3776" s="65">
        <v>3775</v>
      </c>
      <c r="B3776" s="64">
        <v>29230698.920464531</v>
      </c>
    </row>
    <row r="3777" spans="1:2" x14ac:dyDescent="0.25">
      <c r="A3777" s="65">
        <v>3776</v>
      </c>
      <c r="B3777" s="64">
        <v>28679646.877709728</v>
      </c>
    </row>
    <row r="3778" spans="1:2" x14ac:dyDescent="0.25">
      <c r="A3778" s="65">
        <v>3777</v>
      </c>
      <c r="B3778" s="64">
        <v>29818900.747132331</v>
      </c>
    </row>
    <row r="3779" spans="1:2" x14ac:dyDescent="0.25">
      <c r="A3779" s="65">
        <v>3778</v>
      </c>
      <c r="B3779" s="64">
        <v>28500154.568365745</v>
      </c>
    </row>
    <row r="3780" spans="1:2" x14ac:dyDescent="0.25">
      <c r="A3780" s="65">
        <v>3779</v>
      </c>
      <c r="B3780" s="64">
        <v>29113544.872023486</v>
      </c>
    </row>
    <row r="3781" spans="1:2" x14ac:dyDescent="0.25">
      <c r="A3781" s="65">
        <v>3780</v>
      </c>
      <c r="B3781" s="64">
        <v>28737625.612633839</v>
      </c>
    </row>
    <row r="3782" spans="1:2" x14ac:dyDescent="0.25">
      <c r="A3782" s="65">
        <v>3781</v>
      </c>
      <c r="B3782" s="64">
        <v>29077212.876794614</v>
      </c>
    </row>
    <row r="3783" spans="1:2" x14ac:dyDescent="0.25">
      <c r="A3783" s="65">
        <v>3782</v>
      </c>
      <c r="B3783" s="64">
        <v>28872129.795096934</v>
      </c>
    </row>
    <row r="3784" spans="1:2" x14ac:dyDescent="0.25">
      <c r="A3784" s="65">
        <v>3783</v>
      </c>
      <c r="B3784" s="64">
        <v>28983787.02601289</v>
      </c>
    </row>
    <row r="3785" spans="1:2" x14ac:dyDescent="0.25">
      <c r="A3785" s="65">
        <v>3784</v>
      </c>
      <c r="B3785" s="64">
        <v>30185702.251541786</v>
      </c>
    </row>
    <row r="3786" spans="1:2" x14ac:dyDescent="0.25">
      <c r="A3786" s="65">
        <v>3785</v>
      </c>
      <c r="B3786" s="64">
        <v>28935975.604304414</v>
      </c>
    </row>
    <row r="3787" spans="1:2" x14ac:dyDescent="0.25">
      <c r="A3787" s="65">
        <v>3786</v>
      </c>
      <c r="B3787" s="64">
        <v>28686613.040962886</v>
      </c>
    </row>
    <row r="3788" spans="1:2" x14ac:dyDescent="0.25">
      <c r="A3788" s="65">
        <v>3787</v>
      </c>
      <c r="B3788" s="64">
        <v>28935783.78131146</v>
      </c>
    </row>
    <row r="3789" spans="1:2" x14ac:dyDescent="0.25">
      <c r="A3789" s="65">
        <v>3788</v>
      </c>
      <c r="B3789" s="64">
        <v>28840150.45257796</v>
      </c>
    </row>
    <row r="3790" spans="1:2" x14ac:dyDescent="0.25">
      <c r="A3790" s="65">
        <v>3789</v>
      </c>
      <c r="B3790" s="64">
        <v>29257808.878636353</v>
      </c>
    </row>
    <row r="3791" spans="1:2" x14ac:dyDescent="0.25">
      <c r="A3791" s="65">
        <v>3790</v>
      </c>
      <c r="B3791" s="64">
        <v>28923655.234275717</v>
      </c>
    </row>
    <row r="3792" spans="1:2" x14ac:dyDescent="0.25">
      <c r="A3792" s="65">
        <v>3791</v>
      </c>
      <c r="B3792" s="64">
        <v>28940134.227476481</v>
      </c>
    </row>
    <row r="3793" spans="1:2" x14ac:dyDescent="0.25">
      <c r="A3793" s="65">
        <v>3792</v>
      </c>
      <c r="B3793" s="64">
        <v>28865520.387905166</v>
      </c>
    </row>
    <row r="3794" spans="1:2" x14ac:dyDescent="0.25">
      <c r="A3794" s="65">
        <v>3793</v>
      </c>
      <c r="B3794" s="64">
        <v>29257143.679360516</v>
      </c>
    </row>
    <row r="3795" spans="1:2" x14ac:dyDescent="0.25">
      <c r="A3795" s="65">
        <v>3794</v>
      </c>
      <c r="B3795" s="64">
        <v>29710282.974656612</v>
      </c>
    </row>
    <row r="3796" spans="1:2" x14ac:dyDescent="0.25">
      <c r="A3796" s="65">
        <v>3795</v>
      </c>
      <c r="B3796" s="64">
        <v>28531034.958807733</v>
      </c>
    </row>
    <row r="3797" spans="1:2" x14ac:dyDescent="0.25">
      <c r="A3797" s="65">
        <v>3796</v>
      </c>
      <c r="B3797" s="64">
        <v>29538785.6535783</v>
      </c>
    </row>
    <row r="3798" spans="1:2" x14ac:dyDescent="0.25">
      <c r="A3798" s="65">
        <v>3797</v>
      </c>
      <c r="B3798" s="64">
        <v>28753096.573695149</v>
      </c>
    </row>
    <row r="3799" spans="1:2" x14ac:dyDescent="0.25">
      <c r="A3799" s="65">
        <v>3798</v>
      </c>
      <c r="B3799" s="64">
        <v>30358667.811719041</v>
      </c>
    </row>
    <row r="3800" spans="1:2" x14ac:dyDescent="0.25">
      <c r="A3800" s="65">
        <v>3799</v>
      </c>
      <c r="B3800" s="64">
        <v>29659642.591176398</v>
      </c>
    </row>
    <row r="3801" spans="1:2" x14ac:dyDescent="0.25">
      <c r="A3801" s="65">
        <v>3800</v>
      </c>
      <c r="B3801" s="64">
        <v>30736347.177266546</v>
      </c>
    </row>
    <row r="3802" spans="1:2" x14ac:dyDescent="0.25">
      <c r="A3802" s="65">
        <v>3801</v>
      </c>
      <c r="B3802" s="64">
        <v>28809872.869686764</v>
      </c>
    </row>
    <row r="3803" spans="1:2" x14ac:dyDescent="0.25">
      <c r="A3803" s="65">
        <v>3802</v>
      </c>
      <c r="B3803" s="64">
        <v>28976435.908215534</v>
      </c>
    </row>
    <row r="3804" spans="1:2" x14ac:dyDescent="0.25">
      <c r="A3804" s="65">
        <v>3803</v>
      </c>
      <c r="B3804" s="64">
        <v>28802821.62246627</v>
      </c>
    </row>
    <row r="3805" spans="1:2" x14ac:dyDescent="0.25">
      <c r="A3805" s="65">
        <v>3804</v>
      </c>
      <c r="B3805" s="64">
        <v>28704943.937055338</v>
      </c>
    </row>
    <row r="3806" spans="1:2" x14ac:dyDescent="0.25">
      <c r="A3806" s="65">
        <v>3805</v>
      </c>
      <c r="B3806" s="64">
        <v>29341386.590087596</v>
      </c>
    </row>
    <row r="3807" spans="1:2" x14ac:dyDescent="0.25">
      <c r="A3807" s="65">
        <v>3806</v>
      </c>
      <c r="B3807" s="64">
        <v>30486332.167180378</v>
      </c>
    </row>
    <row r="3808" spans="1:2" x14ac:dyDescent="0.25">
      <c r="A3808" s="65">
        <v>3807</v>
      </c>
      <c r="B3808" s="64">
        <v>29381914.455965649</v>
      </c>
    </row>
    <row r="3809" spans="1:2" x14ac:dyDescent="0.25">
      <c r="A3809" s="65">
        <v>3808</v>
      </c>
      <c r="B3809" s="64">
        <v>29213416.920396022</v>
      </c>
    </row>
    <row r="3810" spans="1:2" x14ac:dyDescent="0.25">
      <c r="A3810" s="65">
        <v>3809</v>
      </c>
      <c r="B3810" s="64">
        <v>29003753.445078827</v>
      </c>
    </row>
    <row r="3811" spans="1:2" x14ac:dyDescent="0.25">
      <c r="A3811" s="65">
        <v>3810</v>
      </c>
      <c r="B3811" s="64">
        <v>28866098.207654558</v>
      </c>
    </row>
    <row r="3812" spans="1:2" x14ac:dyDescent="0.25">
      <c r="A3812" s="65">
        <v>3811</v>
      </c>
      <c r="B3812" s="64">
        <v>28934546.678998604</v>
      </c>
    </row>
    <row r="3813" spans="1:2" x14ac:dyDescent="0.25">
      <c r="A3813" s="65">
        <v>3812</v>
      </c>
      <c r="B3813" s="64">
        <v>29384494.68266692</v>
      </c>
    </row>
    <row r="3814" spans="1:2" x14ac:dyDescent="0.25">
      <c r="A3814" s="65">
        <v>3813</v>
      </c>
      <c r="B3814" s="64">
        <v>30392993.885041058</v>
      </c>
    </row>
    <row r="3815" spans="1:2" x14ac:dyDescent="0.25">
      <c r="A3815" s="65">
        <v>3814</v>
      </c>
      <c r="B3815" s="64">
        <v>29153907.695387319</v>
      </c>
    </row>
    <row r="3816" spans="1:2" x14ac:dyDescent="0.25">
      <c r="A3816" s="65">
        <v>3815</v>
      </c>
      <c r="B3816" s="64">
        <v>28888138.621000107</v>
      </c>
    </row>
    <row r="3817" spans="1:2" x14ac:dyDescent="0.25">
      <c r="A3817" s="65">
        <v>3816</v>
      </c>
      <c r="B3817" s="64">
        <v>33244225.24933143</v>
      </c>
    </row>
    <row r="3818" spans="1:2" x14ac:dyDescent="0.25">
      <c r="A3818" s="65">
        <v>3817</v>
      </c>
      <c r="B3818" s="64">
        <v>28676803.915833116</v>
      </c>
    </row>
    <row r="3819" spans="1:2" x14ac:dyDescent="0.25">
      <c r="A3819" s="65">
        <v>3818</v>
      </c>
      <c r="B3819" s="64">
        <v>29564795.53915292</v>
      </c>
    </row>
    <row r="3820" spans="1:2" x14ac:dyDescent="0.25">
      <c r="A3820" s="65">
        <v>3819</v>
      </c>
      <c r="B3820" s="64">
        <v>28823087.044917844</v>
      </c>
    </row>
    <row r="3821" spans="1:2" x14ac:dyDescent="0.25">
      <c r="A3821" s="65">
        <v>3820</v>
      </c>
      <c r="B3821" s="64">
        <v>29278181.836226724</v>
      </c>
    </row>
    <row r="3822" spans="1:2" x14ac:dyDescent="0.25">
      <c r="A3822" s="65">
        <v>3821</v>
      </c>
      <c r="B3822" s="64">
        <v>29386436.396153949</v>
      </c>
    </row>
    <row r="3823" spans="1:2" x14ac:dyDescent="0.25">
      <c r="A3823" s="65">
        <v>3822</v>
      </c>
      <c r="B3823" s="64">
        <v>28575467.483301844</v>
      </c>
    </row>
    <row r="3824" spans="1:2" x14ac:dyDescent="0.25">
      <c r="A3824" s="65">
        <v>3823</v>
      </c>
      <c r="B3824" s="64">
        <v>30326277.409628522</v>
      </c>
    </row>
    <row r="3825" spans="1:2" x14ac:dyDescent="0.25">
      <c r="A3825" s="65">
        <v>3824</v>
      </c>
      <c r="B3825" s="64">
        <v>29028655.716123108</v>
      </c>
    </row>
    <row r="3826" spans="1:2" x14ac:dyDescent="0.25">
      <c r="A3826" s="65">
        <v>3825</v>
      </c>
      <c r="B3826" s="64">
        <v>28581703.199454177</v>
      </c>
    </row>
    <row r="3827" spans="1:2" x14ac:dyDescent="0.25">
      <c r="A3827" s="65">
        <v>3826</v>
      </c>
      <c r="B3827" s="64">
        <v>29022703.202730332</v>
      </c>
    </row>
    <row r="3828" spans="1:2" x14ac:dyDescent="0.25">
      <c r="A3828" s="65">
        <v>3827</v>
      </c>
      <c r="B3828" s="64">
        <v>30148588.572373431</v>
      </c>
    </row>
    <row r="3829" spans="1:2" x14ac:dyDescent="0.25">
      <c r="A3829" s="65">
        <v>3828</v>
      </c>
      <c r="B3829" s="64">
        <v>28667772.701801099</v>
      </c>
    </row>
    <row r="3830" spans="1:2" x14ac:dyDescent="0.25">
      <c r="A3830" s="65">
        <v>3829</v>
      </c>
      <c r="B3830" s="64">
        <v>28983508.152714755</v>
      </c>
    </row>
    <row r="3831" spans="1:2" x14ac:dyDescent="0.25">
      <c r="A3831" s="65">
        <v>3830</v>
      </c>
      <c r="B3831" s="64">
        <v>28954787.787225273</v>
      </c>
    </row>
    <row r="3832" spans="1:2" x14ac:dyDescent="0.25">
      <c r="A3832" s="65">
        <v>3831</v>
      </c>
      <c r="B3832" s="64">
        <v>32854750.434756976</v>
      </c>
    </row>
    <row r="3833" spans="1:2" x14ac:dyDescent="0.25">
      <c r="A3833" s="65">
        <v>3832</v>
      </c>
      <c r="B3833" s="64">
        <v>28780770.669188466</v>
      </c>
    </row>
    <row r="3834" spans="1:2" x14ac:dyDescent="0.25">
      <c r="A3834" s="65">
        <v>3833</v>
      </c>
      <c r="B3834" s="64">
        <v>28293639.543184727</v>
      </c>
    </row>
    <row r="3835" spans="1:2" x14ac:dyDescent="0.25">
      <c r="A3835" s="65">
        <v>3834</v>
      </c>
      <c r="B3835" s="64">
        <v>28698340.344331689</v>
      </c>
    </row>
    <row r="3836" spans="1:2" x14ac:dyDescent="0.25">
      <c r="A3836" s="65">
        <v>3835</v>
      </c>
      <c r="B3836" s="64">
        <v>29725997.819907326</v>
      </c>
    </row>
    <row r="3837" spans="1:2" x14ac:dyDescent="0.25">
      <c r="A3837" s="65">
        <v>3836</v>
      </c>
      <c r="B3837" s="64">
        <v>28553509.829633798</v>
      </c>
    </row>
    <row r="3838" spans="1:2" x14ac:dyDescent="0.25">
      <c r="A3838" s="65">
        <v>3837</v>
      </c>
      <c r="B3838" s="64">
        <v>28915406.406200316</v>
      </c>
    </row>
    <row r="3839" spans="1:2" x14ac:dyDescent="0.25">
      <c r="A3839" s="65">
        <v>3838</v>
      </c>
      <c r="B3839" s="64">
        <v>29145714.707317214</v>
      </c>
    </row>
    <row r="3840" spans="1:2" x14ac:dyDescent="0.25">
      <c r="A3840" s="65">
        <v>3839</v>
      </c>
      <c r="B3840" s="64">
        <v>28809604.169438265</v>
      </c>
    </row>
    <row r="3841" spans="1:2" x14ac:dyDescent="0.25">
      <c r="A3841" s="65">
        <v>3840</v>
      </c>
      <c r="B3841" s="64">
        <v>28700993.134125378</v>
      </c>
    </row>
    <row r="3842" spans="1:2" x14ac:dyDescent="0.25">
      <c r="A3842" s="65">
        <v>3841</v>
      </c>
      <c r="B3842" s="64">
        <v>29418100.842015747</v>
      </c>
    </row>
    <row r="3843" spans="1:2" x14ac:dyDescent="0.25">
      <c r="A3843" s="65">
        <v>3842</v>
      </c>
      <c r="B3843" s="64">
        <v>31218347.645695604</v>
      </c>
    </row>
    <row r="3844" spans="1:2" x14ac:dyDescent="0.25">
      <c r="A3844" s="65">
        <v>3843</v>
      </c>
      <c r="B3844" s="64">
        <v>29836105.112162594</v>
      </c>
    </row>
    <row r="3845" spans="1:2" x14ac:dyDescent="0.25">
      <c r="A3845" s="65">
        <v>3844</v>
      </c>
      <c r="B3845" s="64">
        <v>28977186.804783292</v>
      </c>
    </row>
    <row r="3846" spans="1:2" x14ac:dyDescent="0.25">
      <c r="A3846" s="65">
        <v>3845</v>
      </c>
      <c r="B3846" s="64">
        <v>28632612.10403705</v>
      </c>
    </row>
    <row r="3847" spans="1:2" x14ac:dyDescent="0.25">
      <c r="A3847" s="65">
        <v>3846</v>
      </c>
      <c r="B3847" s="64">
        <v>30277280.111275643</v>
      </c>
    </row>
    <row r="3848" spans="1:2" x14ac:dyDescent="0.25">
      <c r="A3848" s="65">
        <v>3847</v>
      </c>
      <c r="B3848" s="64">
        <v>31708799.074459448</v>
      </c>
    </row>
    <row r="3849" spans="1:2" x14ac:dyDescent="0.25">
      <c r="A3849" s="65">
        <v>3848</v>
      </c>
      <c r="B3849" s="64">
        <v>28863861.934646334</v>
      </c>
    </row>
    <row r="3850" spans="1:2" x14ac:dyDescent="0.25">
      <c r="A3850" s="65">
        <v>3849</v>
      </c>
      <c r="B3850" s="64">
        <v>29754089.070750248</v>
      </c>
    </row>
    <row r="3851" spans="1:2" x14ac:dyDescent="0.25">
      <c r="A3851" s="65">
        <v>3850</v>
      </c>
      <c r="B3851" s="64">
        <v>28433030.596735183</v>
      </c>
    </row>
    <row r="3852" spans="1:2" x14ac:dyDescent="0.25">
      <c r="A3852" s="65">
        <v>3851</v>
      </c>
      <c r="B3852" s="64">
        <v>30028838.090268429</v>
      </c>
    </row>
    <row r="3853" spans="1:2" x14ac:dyDescent="0.25">
      <c r="A3853" s="65">
        <v>3852</v>
      </c>
      <c r="B3853" s="64">
        <v>28897344.449791841</v>
      </c>
    </row>
    <row r="3854" spans="1:2" x14ac:dyDescent="0.25">
      <c r="A3854" s="65">
        <v>3853</v>
      </c>
      <c r="B3854" s="64">
        <v>28647926.943343908</v>
      </c>
    </row>
    <row r="3855" spans="1:2" x14ac:dyDescent="0.25">
      <c r="A3855" s="65">
        <v>3854</v>
      </c>
      <c r="B3855" s="64">
        <v>30110878.424797744</v>
      </c>
    </row>
    <row r="3856" spans="1:2" x14ac:dyDescent="0.25">
      <c r="A3856" s="65">
        <v>3855</v>
      </c>
      <c r="B3856" s="64">
        <v>29674537.146086484</v>
      </c>
    </row>
    <row r="3857" spans="1:2" x14ac:dyDescent="0.25">
      <c r="A3857" s="65">
        <v>3856</v>
      </c>
      <c r="B3857" s="64">
        <v>29181227.685620908</v>
      </c>
    </row>
    <row r="3858" spans="1:2" x14ac:dyDescent="0.25">
      <c r="A3858" s="65">
        <v>3857</v>
      </c>
      <c r="B3858" s="64">
        <v>30273132.644968763</v>
      </c>
    </row>
    <row r="3859" spans="1:2" x14ac:dyDescent="0.25">
      <c r="A3859" s="65">
        <v>3858</v>
      </c>
      <c r="B3859" s="64">
        <v>28965151.770553153</v>
      </c>
    </row>
    <row r="3860" spans="1:2" x14ac:dyDescent="0.25">
      <c r="A3860" s="65">
        <v>3859</v>
      </c>
      <c r="B3860" s="64">
        <v>29460091.530106217</v>
      </c>
    </row>
    <row r="3861" spans="1:2" x14ac:dyDescent="0.25">
      <c r="A3861" s="65">
        <v>3860</v>
      </c>
      <c r="B3861" s="64">
        <v>30013306.524947226</v>
      </c>
    </row>
    <row r="3862" spans="1:2" x14ac:dyDescent="0.25">
      <c r="A3862" s="65">
        <v>3861</v>
      </c>
      <c r="B3862" s="64">
        <v>30176388.209463615</v>
      </c>
    </row>
    <row r="3863" spans="1:2" x14ac:dyDescent="0.25">
      <c r="A3863" s="65">
        <v>3862</v>
      </c>
      <c r="B3863" s="64">
        <v>29222348.094491035</v>
      </c>
    </row>
    <row r="3864" spans="1:2" x14ac:dyDescent="0.25">
      <c r="A3864" s="65">
        <v>3863</v>
      </c>
      <c r="B3864" s="64">
        <v>29768832.036535911</v>
      </c>
    </row>
    <row r="3865" spans="1:2" x14ac:dyDescent="0.25">
      <c r="A3865" s="65">
        <v>3864</v>
      </c>
      <c r="B3865" s="64">
        <v>28788508.644141383</v>
      </c>
    </row>
    <row r="3866" spans="1:2" x14ac:dyDescent="0.25">
      <c r="A3866" s="65">
        <v>3865</v>
      </c>
      <c r="B3866" s="64">
        <v>29856605.009579591</v>
      </c>
    </row>
    <row r="3867" spans="1:2" x14ac:dyDescent="0.25">
      <c r="A3867" s="65">
        <v>3866</v>
      </c>
      <c r="B3867" s="64">
        <v>29007527.092255633</v>
      </c>
    </row>
    <row r="3868" spans="1:2" x14ac:dyDescent="0.25">
      <c r="A3868" s="65">
        <v>3867</v>
      </c>
      <c r="B3868" s="64">
        <v>28656165.190671422</v>
      </c>
    </row>
    <row r="3869" spans="1:2" x14ac:dyDescent="0.25">
      <c r="A3869" s="65">
        <v>3868</v>
      </c>
      <c r="B3869" s="64">
        <v>28509562.416176569</v>
      </c>
    </row>
    <row r="3870" spans="1:2" x14ac:dyDescent="0.25">
      <c r="A3870" s="65">
        <v>3869</v>
      </c>
      <c r="B3870" s="64">
        <v>29099372.087012589</v>
      </c>
    </row>
    <row r="3871" spans="1:2" x14ac:dyDescent="0.25">
      <c r="A3871" s="65">
        <v>3870</v>
      </c>
      <c r="B3871" s="64">
        <v>28881320.228125941</v>
      </c>
    </row>
    <row r="3872" spans="1:2" x14ac:dyDescent="0.25">
      <c r="A3872" s="65">
        <v>3871</v>
      </c>
      <c r="B3872" s="64">
        <v>30331915.98583078</v>
      </c>
    </row>
    <row r="3873" spans="1:2" x14ac:dyDescent="0.25">
      <c r="A3873" s="65">
        <v>3872</v>
      </c>
      <c r="B3873" s="64">
        <v>29433226.38870332</v>
      </c>
    </row>
    <row r="3874" spans="1:2" x14ac:dyDescent="0.25">
      <c r="A3874" s="65">
        <v>3873</v>
      </c>
      <c r="B3874" s="64">
        <v>30258263.943734635</v>
      </c>
    </row>
    <row r="3875" spans="1:2" x14ac:dyDescent="0.25">
      <c r="A3875" s="65">
        <v>3874</v>
      </c>
      <c r="B3875" s="64">
        <v>28760464.844506837</v>
      </c>
    </row>
    <row r="3876" spans="1:2" x14ac:dyDescent="0.25">
      <c r="A3876" s="65">
        <v>3875</v>
      </c>
      <c r="B3876" s="64">
        <v>29051944.916355185</v>
      </c>
    </row>
    <row r="3877" spans="1:2" x14ac:dyDescent="0.25">
      <c r="A3877" s="65">
        <v>3876</v>
      </c>
      <c r="B3877" s="64">
        <v>29796580.346733451</v>
      </c>
    </row>
    <row r="3878" spans="1:2" x14ac:dyDescent="0.25">
      <c r="A3878" s="65">
        <v>3877</v>
      </c>
      <c r="B3878" s="64">
        <v>29059801.103678007</v>
      </c>
    </row>
    <row r="3879" spans="1:2" x14ac:dyDescent="0.25">
      <c r="A3879" s="65">
        <v>3878</v>
      </c>
      <c r="B3879" s="64">
        <v>29806148.231583972</v>
      </c>
    </row>
    <row r="3880" spans="1:2" x14ac:dyDescent="0.25">
      <c r="A3880" s="65">
        <v>3879</v>
      </c>
      <c r="B3880" s="64">
        <v>28644527.635577068</v>
      </c>
    </row>
    <row r="3881" spans="1:2" x14ac:dyDescent="0.25">
      <c r="A3881" s="65">
        <v>3880</v>
      </c>
      <c r="B3881" s="64">
        <v>28631336.229207668</v>
      </c>
    </row>
    <row r="3882" spans="1:2" x14ac:dyDescent="0.25">
      <c r="A3882" s="65">
        <v>3881</v>
      </c>
      <c r="B3882" s="64">
        <v>28359098.246648099</v>
      </c>
    </row>
    <row r="3883" spans="1:2" x14ac:dyDescent="0.25">
      <c r="A3883" s="65">
        <v>3882</v>
      </c>
      <c r="B3883" s="64">
        <v>29552459.025232691</v>
      </c>
    </row>
    <row r="3884" spans="1:2" x14ac:dyDescent="0.25">
      <c r="A3884" s="65">
        <v>3883</v>
      </c>
      <c r="B3884" s="64">
        <v>28610592.858295694</v>
      </c>
    </row>
    <row r="3885" spans="1:2" x14ac:dyDescent="0.25">
      <c r="A3885" s="65">
        <v>3884</v>
      </c>
      <c r="B3885" s="64">
        <v>28819124.632341303</v>
      </c>
    </row>
    <row r="3886" spans="1:2" x14ac:dyDescent="0.25">
      <c r="A3886" s="65">
        <v>3885</v>
      </c>
      <c r="B3886" s="64">
        <v>30854667.564699311</v>
      </c>
    </row>
    <row r="3887" spans="1:2" x14ac:dyDescent="0.25">
      <c r="A3887" s="65">
        <v>3886</v>
      </c>
      <c r="B3887" s="64">
        <v>29580364.198493019</v>
      </c>
    </row>
    <row r="3888" spans="1:2" x14ac:dyDescent="0.25">
      <c r="A3888" s="65">
        <v>3887</v>
      </c>
      <c r="B3888" s="64">
        <v>28463937.621648066</v>
      </c>
    </row>
    <row r="3889" spans="1:2" x14ac:dyDescent="0.25">
      <c r="A3889" s="65">
        <v>3888</v>
      </c>
      <c r="B3889" s="64">
        <v>33304595.180485938</v>
      </c>
    </row>
    <row r="3890" spans="1:2" x14ac:dyDescent="0.25">
      <c r="A3890" s="65">
        <v>3889</v>
      </c>
      <c r="B3890" s="64">
        <v>29210626.637505837</v>
      </c>
    </row>
    <row r="3891" spans="1:2" x14ac:dyDescent="0.25">
      <c r="A3891" s="65">
        <v>3890</v>
      </c>
      <c r="B3891" s="64">
        <v>28768814.637680382</v>
      </c>
    </row>
    <row r="3892" spans="1:2" x14ac:dyDescent="0.25">
      <c r="A3892" s="65">
        <v>3891</v>
      </c>
      <c r="B3892" s="64">
        <v>29676094.124620594</v>
      </c>
    </row>
    <row r="3893" spans="1:2" x14ac:dyDescent="0.25">
      <c r="A3893" s="65">
        <v>3892</v>
      </c>
      <c r="B3893" s="64">
        <v>29105293.721290007</v>
      </c>
    </row>
    <row r="3894" spans="1:2" x14ac:dyDescent="0.25">
      <c r="A3894" s="65">
        <v>3893</v>
      </c>
      <c r="B3894" s="64">
        <v>29750746.026676819</v>
      </c>
    </row>
    <row r="3895" spans="1:2" x14ac:dyDescent="0.25">
      <c r="A3895" s="65">
        <v>3894</v>
      </c>
      <c r="B3895" s="64">
        <v>29207470.286349792</v>
      </c>
    </row>
    <row r="3896" spans="1:2" x14ac:dyDescent="0.25">
      <c r="A3896" s="65">
        <v>3895</v>
      </c>
      <c r="B3896" s="64">
        <v>28849134.038784374</v>
      </c>
    </row>
    <row r="3897" spans="1:2" x14ac:dyDescent="0.25">
      <c r="A3897" s="65">
        <v>3896</v>
      </c>
      <c r="B3897" s="64">
        <v>28976400.65230358</v>
      </c>
    </row>
    <row r="3898" spans="1:2" x14ac:dyDescent="0.25">
      <c r="A3898" s="65">
        <v>3897</v>
      </c>
      <c r="B3898" s="64">
        <v>28940888.912386291</v>
      </c>
    </row>
    <row r="3899" spans="1:2" x14ac:dyDescent="0.25">
      <c r="A3899" s="65">
        <v>3898</v>
      </c>
      <c r="B3899" s="64">
        <v>28480606.050485674</v>
      </c>
    </row>
    <row r="3900" spans="1:2" x14ac:dyDescent="0.25">
      <c r="A3900" s="65">
        <v>3899</v>
      </c>
      <c r="B3900" s="64">
        <v>28772727.243688852</v>
      </c>
    </row>
    <row r="3901" spans="1:2" x14ac:dyDescent="0.25">
      <c r="A3901" s="65">
        <v>3900</v>
      </c>
      <c r="B3901" s="64">
        <v>29697614.111872856</v>
      </c>
    </row>
    <row r="3902" spans="1:2" x14ac:dyDescent="0.25">
      <c r="A3902" s="65">
        <v>3901</v>
      </c>
      <c r="B3902" s="64">
        <v>28581517.908039942</v>
      </c>
    </row>
    <row r="3903" spans="1:2" x14ac:dyDescent="0.25">
      <c r="A3903" s="65">
        <v>3902</v>
      </c>
      <c r="B3903" s="64">
        <v>29153704.152374819</v>
      </c>
    </row>
    <row r="3904" spans="1:2" x14ac:dyDescent="0.25">
      <c r="A3904" s="65">
        <v>3903</v>
      </c>
      <c r="B3904" s="64">
        <v>29663540.220985375</v>
      </c>
    </row>
    <row r="3905" spans="1:2" x14ac:dyDescent="0.25">
      <c r="A3905" s="65">
        <v>3904</v>
      </c>
      <c r="B3905" s="64">
        <v>29607608.903646361</v>
      </c>
    </row>
    <row r="3906" spans="1:2" x14ac:dyDescent="0.25">
      <c r="A3906" s="65">
        <v>3905</v>
      </c>
      <c r="B3906" s="64">
        <v>29865724.106488276</v>
      </c>
    </row>
    <row r="3907" spans="1:2" x14ac:dyDescent="0.25">
      <c r="A3907" s="65">
        <v>3906</v>
      </c>
      <c r="B3907" s="64">
        <v>28708730.295881141</v>
      </c>
    </row>
    <row r="3908" spans="1:2" x14ac:dyDescent="0.25">
      <c r="A3908" s="65">
        <v>3907</v>
      </c>
      <c r="B3908" s="64">
        <v>30588652.852761641</v>
      </c>
    </row>
    <row r="3909" spans="1:2" x14ac:dyDescent="0.25">
      <c r="A3909" s="65">
        <v>3908</v>
      </c>
      <c r="B3909" s="64">
        <v>29185632.125724845</v>
      </c>
    </row>
    <row r="3910" spans="1:2" x14ac:dyDescent="0.25">
      <c r="A3910" s="65">
        <v>3909</v>
      </c>
      <c r="B3910" s="64">
        <v>29193886.995719485</v>
      </c>
    </row>
    <row r="3911" spans="1:2" x14ac:dyDescent="0.25">
      <c r="A3911" s="65">
        <v>3910</v>
      </c>
      <c r="B3911" s="64">
        <v>28554486.137978334</v>
      </c>
    </row>
    <row r="3912" spans="1:2" x14ac:dyDescent="0.25">
      <c r="A3912" s="65">
        <v>3911</v>
      </c>
      <c r="B3912" s="64">
        <v>29061602.220853023</v>
      </c>
    </row>
    <row r="3913" spans="1:2" x14ac:dyDescent="0.25">
      <c r="A3913" s="65">
        <v>3912</v>
      </c>
      <c r="B3913" s="64">
        <v>29060540.831074942</v>
      </c>
    </row>
    <row r="3914" spans="1:2" x14ac:dyDescent="0.25">
      <c r="A3914" s="65">
        <v>3913</v>
      </c>
      <c r="B3914" s="64">
        <v>28753758.148787078</v>
      </c>
    </row>
    <row r="3915" spans="1:2" x14ac:dyDescent="0.25">
      <c r="A3915" s="65">
        <v>3914</v>
      </c>
      <c r="B3915" s="64">
        <v>29121183.89554093</v>
      </c>
    </row>
    <row r="3916" spans="1:2" x14ac:dyDescent="0.25">
      <c r="A3916" s="65">
        <v>3915</v>
      </c>
      <c r="B3916" s="64">
        <v>29802281.318376772</v>
      </c>
    </row>
    <row r="3917" spans="1:2" x14ac:dyDescent="0.25">
      <c r="A3917" s="65">
        <v>3916</v>
      </c>
      <c r="B3917" s="64">
        <v>34028276.893940225</v>
      </c>
    </row>
    <row r="3918" spans="1:2" x14ac:dyDescent="0.25">
      <c r="A3918" s="65">
        <v>3917</v>
      </c>
      <c r="B3918" s="64">
        <v>30396042.507344939</v>
      </c>
    </row>
    <row r="3919" spans="1:2" x14ac:dyDescent="0.25">
      <c r="A3919" s="65">
        <v>3918</v>
      </c>
      <c r="B3919" s="64">
        <v>29542671.035864454</v>
      </c>
    </row>
    <row r="3920" spans="1:2" x14ac:dyDescent="0.25">
      <c r="A3920" s="65">
        <v>3919</v>
      </c>
      <c r="B3920" s="64">
        <v>28587680.072016057</v>
      </c>
    </row>
    <row r="3921" spans="1:2" x14ac:dyDescent="0.25">
      <c r="A3921" s="65">
        <v>3920</v>
      </c>
      <c r="B3921" s="64">
        <v>29478917.709363319</v>
      </c>
    </row>
    <row r="3922" spans="1:2" x14ac:dyDescent="0.25">
      <c r="A3922" s="65">
        <v>3921</v>
      </c>
      <c r="B3922" s="64">
        <v>32494077.554371648</v>
      </c>
    </row>
    <row r="3923" spans="1:2" x14ac:dyDescent="0.25">
      <c r="A3923" s="65">
        <v>3922</v>
      </c>
      <c r="B3923" s="64">
        <v>28830601.288133591</v>
      </c>
    </row>
    <row r="3924" spans="1:2" x14ac:dyDescent="0.25">
      <c r="A3924" s="65">
        <v>3923</v>
      </c>
      <c r="B3924" s="64">
        <v>30375899.193821121</v>
      </c>
    </row>
    <row r="3925" spans="1:2" x14ac:dyDescent="0.25">
      <c r="A3925" s="65">
        <v>3924</v>
      </c>
      <c r="B3925" s="64">
        <v>29472990.550205901</v>
      </c>
    </row>
    <row r="3926" spans="1:2" x14ac:dyDescent="0.25">
      <c r="A3926" s="65">
        <v>3925</v>
      </c>
      <c r="B3926" s="64">
        <v>28387060.921981197</v>
      </c>
    </row>
    <row r="3927" spans="1:2" x14ac:dyDescent="0.25">
      <c r="A3927" s="65">
        <v>3926</v>
      </c>
      <c r="B3927" s="64">
        <v>29051525.937229861</v>
      </c>
    </row>
    <row r="3928" spans="1:2" x14ac:dyDescent="0.25">
      <c r="A3928" s="65">
        <v>3927</v>
      </c>
      <c r="B3928" s="64">
        <v>30001468.124741647</v>
      </c>
    </row>
    <row r="3929" spans="1:2" x14ac:dyDescent="0.25">
      <c r="A3929" s="65">
        <v>3928</v>
      </c>
      <c r="B3929" s="64">
        <v>28465533.069201108</v>
      </c>
    </row>
    <row r="3930" spans="1:2" x14ac:dyDescent="0.25">
      <c r="A3930" s="65">
        <v>3929</v>
      </c>
      <c r="B3930" s="64">
        <v>29401153.156186279</v>
      </c>
    </row>
    <row r="3931" spans="1:2" x14ac:dyDescent="0.25">
      <c r="A3931" s="65">
        <v>3930</v>
      </c>
      <c r="B3931" s="64">
        <v>28850037.549543656</v>
      </c>
    </row>
    <row r="3932" spans="1:2" x14ac:dyDescent="0.25">
      <c r="A3932" s="65">
        <v>3931</v>
      </c>
      <c r="B3932" s="64">
        <v>29076532.904573813</v>
      </c>
    </row>
    <row r="3933" spans="1:2" x14ac:dyDescent="0.25">
      <c r="A3933" s="65">
        <v>3932</v>
      </c>
      <c r="B3933" s="64">
        <v>29652815.751355365</v>
      </c>
    </row>
    <row r="3934" spans="1:2" x14ac:dyDescent="0.25">
      <c r="A3934" s="65">
        <v>3933</v>
      </c>
      <c r="B3934" s="64">
        <v>28772588.457544554</v>
      </c>
    </row>
    <row r="3935" spans="1:2" x14ac:dyDescent="0.25">
      <c r="A3935" s="65">
        <v>3934</v>
      </c>
      <c r="B3935" s="64">
        <v>33583304.764374875</v>
      </c>
    </row>
    <row r="3936" spans="1:2" x14ac:dyDescent="0.25">
      <c r="A3936" s="65">
        <v>3935</v>
      </c>
      <c r="B3936" s="64">
        <v>28907768.687982168</v>
      </c>
    </row>
    <row r="3937" spans="1:2" x14ac:dyDescent="0.25">
      <c r="A3937" s="65">
        <v>3936</v>
      </c>
      <c r="B3937" s="64">
        <v>29396318.932028208</v>
      </c>
    </row>
    <row r="3938" spans="1:2" x14ac:dyDescent="0.25">
      <c r="A3938" s="65">
        <v>3937</v>
      </c>
      <c r="B3938" s="64">
        <v>29136916.270655345</v>
      </c>
    </row>
    <row r="3939" spans="1:2" x14ac:dyDescent="0.25">
      <c r="A3939" s="65">
        <v>3938</v>
      </c>
      <c r="B3939" s="64">
        <v>28586567.53503412</v>
      </c>
    </row>
    <row r="3940" spans="1:2" x14ac:dyDescent="0.25">
      <c r="A3940" s="65">
        <v>3939</v>
      </c>
      <c r="B3940" s="64">
        <v>29131900.369163293</v>
      </c>
    </row>
    <row r="3941" spans="1:2" x14ac:dyDescent="0.25">
      <c r="A3941" s="65">
        <v>3940</v>
      </c>
      <c r="B3941" s="64">
        <v>28769038.893542524</v>
      </c>
    </row>
    <row r="3942" spans="1:2" x14ac:dyDescent="0.25">
      <c r="A3942" s="65">
        <v>3941</v>
      </c>
      <c r="B3942" s="64">
        <v>29328656.878638491</v>
      </c>
    </row>
    <row r="3943" spans="1:2" x14ac:dyDescent="0.25">
      <c r="A3943" s="65">
        <v>3942</v>
      </c>
      <c r="B3943" s="64">
        <v>29047797.907852899</v>
      </c>
    </row>
    <row r="3944" spans="1:2" x14ac:dyDescent="0.25">
      <c r="A3944" s="65">
        <v>3943</v>
      </c>
      <c r="B3944" s="64">
        <v>31145000.945684366</v>
      </c>
    </row>
    <row r="3945" spans="1:2" x14ac:dyDescent="0.25">
      <c r="A3945" s="65">
        <v>3944</v>
      </c>
      <c r="B3945" s="64">
        <v>28785460.591081198</v>
      </c>
    </row>
    <row r="3946" spans="1:2" x14ac:dyDescent="0.25">
      <c r="A3946" s="65">
        <v>3945</v>
      </c>
      <c r="B3946" s="64">
        <v>29541827.792401969</v>
      </c>
    </row>
    <row r="3947" spans="1:2" x14ac:dyDescent="0.25">
      <c r="A3947" s="65">
        <v>3946</v>
      </c>
      <c r="B3947" s="64">
        <v>29463431.235292263</v>
      </c>
    </row>
    <row r="3948" spans="1:2" x14ac:dyDescent="0.25">
      <c r="A3948" s="65">
        <v>3947</v>
      </c>
      <c r="B3948" s="64">
        <v>28740735.319651425</v>
      </c>
    </row>
    <row r="3949" spans="1:2" x14ac:dyDescent="0.25">
      <c r="A3949" s="65">
        <v>3948</v>
      </c>
      <c r="B3949" s="64">
        <v>28803389.424846303</v>
      </c>
    </row>
    <row r="3950" spans="1:2" x14ac:dyDescent="0.25">
      <c r="A3950" s="65">
        <v>3949</v>
      </c>
      <c r="B3950" s="64">
        <v>28992165.89251918</v>
      </c>
    </row>
    <row r="3951" spans="1:2" x14ac:dyDescent="0.25">
      <c r="A3951" s="65">
        <v>3950</v>
      </c>
      <c r="B3951" s="64">
        <v>29555166.149028461</v>
      </c>
    </row>
    <row r="3952" spans="1:2" x14ac:dyDescent="0.25">
      <c r="A3952" s="65">
        <v>3951</v>
      </c>
      <c r="B3952" s="64">
        <v>29468773.354183521</v>
      </c>
    </row>
    <row r="3953" spans="1:2" x14ac:dyDescent="0.25">
      <c r="A3953" s="65">
        <v>3952</v>
      </c>
      <c r="B3953" s="64">
        <v>28460870.231571246</v>
      </c>
    </row>
    <row r="3954" spans="1:2" x14ac:dyDescent="0.25">
      <c r="A3954" s="65">
        <v>3953</v>
      </c>
      <c r="B3954" s="64">
        <v>29082363.419215646</v>
      </c>
    </row>
    <row r="3955" spans="1:2" x14ac:dyDescent="0.25">
      <c r="A3955" s="65">
        <v>3954</v>
      </c>
      <c r="B3955" s="64">
        <v>28883242.614286426</v>
      </c>
    </row>
    <row r="3956" spans="1:2" x14ac:dyDescent="0.25">
      <c r="A3956" s="65">
        <v>3955</v>
      </c>
      <c r="B3956" s="64">
        <v>28808953.055205949</v>
      </c>
    </row>
    <row r="3957" spans="1:2" x14ac:dyDescent="0.25">
      <c r="A3957" s="65">
        <v>3956</v>
      </c>
      <c r="B3957" s="64">
        <v>29279863.87311184</v>
      </c>
    </row>
    <row r="3958" spans="1:2" x14ac:dyDescent="0.25">
      <c r="A3958" s="65">
        <v>3957</v>
      </c>
      <c r="B3958" s="64">
        <v>28770296.627484299</v>
      </c>
    </row>
    <row r="3959" spans="1:2" x14ac:dyDescent="0.25">
      <c r="A3959" s="65">
        <v>3958</v>
      </c>
      <c r="B3959" s="64">
        <v>28481473.937567905</v>
      </c>
    </row>
    <row r="3960" spans="1:2" x14ac:dyDescent="0.25">
      <c r="A3960" s="65">
        <v>3959</v>
      </c>
      <c r="B3960" s="64">
        <v>33237091.86554585</v>
      </c>
    </row>
    <row r="3961" spans="1:2" x14ac:dyDescent="0.25">
      <c r="A3961" s="65">
        <v>3960</v>
      </c>
      <c r="B3961" s="64">
        <v>28637568.278064135</v>
      </c>
    </row>
    <row r="3962" spans="1:2" x14ac:dyDescent="0.25">
      <c r="A3962" s="65">
        <v>3961</v>
      </c>
      <c r="B3962" s="64">
        <v>29982816.347131785</v>
      </c>
    </row>
    <row r="3963" spans="1:2" x14ac:dyDescent="0.25">
      <c r="A3963" s="65">
        <v>3962</v>
      </c>
      <c r="B3963" s="64">
        <v>28466303.099069823</v>
      </c>
    </row>
    <row r="3964" spans="1:2" x14ac:dyDescent="0.25">
      <c r="A3964" s="65">
        <v>3963</v>
      </c>
      <c r="B3964" s="64">
        <v>29786495.817121588</v>
      </c>
    </row>
    <row r="3965" spans="1:2" x14ac:dyDescent="0.25">
      <c r="A3965" s="65">
        <v>3964</v>
      </c>
      <c r="B3965" s="64">
        <v>28852508.549049828</v>
      </c>
    </row>
    <row r="3966" spans="1:2" x14ac:dyDescent="0.25">
      <c r="A3966" s="65">
        <v>3965</v>
      </c>
      <c r="B3966" s="64">
        <v>28890163.255745482</v>
      </c>
    </row>
    <row r="3967" spans="1:2" x14ac:dyDescent="0.25">
      <c r="A3967" s="65">
        <v>3966</v>
      </c>
      <c r="B3967" s="64">
        <v>29285534.124203622</v>
      </c>
    </row>
    <row r="3968" spans="1:2" x14ac:dyDescent="0.25">
      <c r="A3968" s="65">
        <v>3967</v>
      </c>
      <c r="B3968" s="64">
        <v>30284742.854424827</v>
      </c>
    </row>
    <row r="3969" spans="1:2" x14ac:dyDescent="0.25">
      <c r="A3969" s="65">
        <v>3968</v>
      </c>
      <c r="B3969" s="64">
        <v>28591555.016957413</v>
      </c>
    </row>
    <row r="3970" spans="1:2" x14ac:dyDescent="0.25">
      <c r="A3970" s="65">
        <v>3969</v>
      </c>
      <c r="B3970" s="64">
        <v>28424724.415682174</v>
      </c>
    </row>
    <row r="3971" spans="1:2" x14ac:dyDescent="0.25">
      <c r="A3971" s="65">
        <v>3970</v>
      </c>
      <c r="B3971" s="64">
        <v>29521996.125329722</v>
      </c>
    </row>
    <row r="3972" spans="1:2" x14ac:dyDescent="0.25">
      <c r="A3972" s="65">
        <v>3971</v>
      </c>
      <c r="B3972" s="64">
        <v>28606417.761612471</v>
      </c>
    </row>
    <row r="3973" spans="1:2" x14ac:dyDescent="0.25">
      <c r="A3973" s="65">
        <v>3972</v>
      </c>
      <c r="B3973" s="64">
        <v>29146348.056193627</v>
      </c>
    </row>
    <row r="3974" spans="1:2" x14ac:dyDescent="0.25">
      <c r="A3974" s="65">
        <v>3973</v>
      </c>
      <c r="B3974" s="64">
        <v>30249452.638952576</v>
      </c>
    </row>
    <row r="3975" spans="1:2" x14ac:dyDescent="0.25">
      <c r="A3975" s="65">
        <v>3974</v>
      </c>
      <c r="B3975" s="64">
        <v>28577525.636610229</v>
      </c>
    </row>
    <row r="3976" spans="1:2" x14ac:dyDescent="0.25">
      <c r="A3976" s="65">
        <v>3975</v>
      </c>
      <c r="B3976" s="64">
        <v>28626865.192966975</v>
      </c>
    </row>
    <row r="3977" spans="1:2" x14ac:dyDescent="0.25">
      <c r="A3977" s="65">
        <v>3976</v>
      </c>
      <c r="B3977" s="64">
        <v>28798163.188839011</v>
      </c>
    </row>
    <row r="3978" spans="1:2" x14ac:dyDescent="0.25">
      <c r="A3978" s="65">
        <v>3977</v>
      </c>
      <c r="B3978" s="64">
        <v>28725713.319388386</v>
      </c>
    </row>
    <row r="3979" spans="1:2" x14ac:dyDescent="0.25">
      <c r="A3979" s="65">
        <v>3978</v>
      </c>
      <c r="B3979" s="64">
        <v>28781995.958568558</v>
      </c>
    </row>
    <row r="3980" spans="1:2" x14ac:dyDescent="0.25">
      <c r="A3980" s="65">
        <v>3979</v>
      </c>
      <c r="B3980" s="64">
        <v>30512282.807831578</v>
      </c>
    </row>
    <row r="3981" spans="1:2" x14ac:dyDescent="0.25">
      <c r="A3981" s="65">
        <v>3980</v>
      </c>
      <c r="B3981" s="64">
        <v>28767837.022260655</v>
      </c>
    </row>
    <row r="3982" spans="1:2" x14ac:dyDescent="0.25">
      <c r="A3982" s="65">
        <v>3981</v>
      </c>
      <c r="B3982" s="64">
        <v>28923129.27960353</v>
      </c>
    </row>
    <row r="3983" spans="1:2" x14ac:dyDescent="0.25">
      <c r="A3983" s="65">
        <v>3982</v>
      </c>
      <c r="B3983" s="64">
        <v>28949821.341145765</v>
      </c>
    </row>
    <row r="3984" spans="1:2" x14ac:dyDescent="0.25">
      <c r="A3984" s="65">
        <v>3983</v>
      </c>
      <c r="B3984" s="64">
        <v>29535440.198786981</v>
      </c>
    </row>
    <row r="3985" spans="1:2" x14ac:dyDescent="0.25">
      <c r="A3985" s="65">
        <v>3984</v>
      </c>
      <c r="B3985" s="64">
        <v>30069645.830740474</v>
      </c>
    </row>
    <row r="3986" spans="1:2" x14ac:dyDescent="0.25">
      <c r="A3986" s="65">
        <v>3985</v>
      </c>
      <c r="B3986" s="64">
        <v>29707802.757482696</v>
      </c>
    </row>
    <row r="3987" spans="1:2" x14ac:dyDescent="0.25">
      <c r="A3987" s="65">
        <v>3986</v>
      </c>
      <c r="B3987" s="64">
        <v>30657278.340983033</v>
      </c>
    </row>
    <row r="3988" spans="1:2" x14ac:dyDescent="0.25">
      <c r="A3988" s="65">
        <v>3987</v>
      </c>
      <c r="B3988" s="64">
        <v>28688742.587101869</v>
      </c>
    </row>
    <row r="3989" spans="1:2" x14ac:dyDescent="0.25">
      <c r="A3989" s="65">
        <v>3988</v>
      </c>
      <c r="B3989" s="64">
        <v>29687077.605222147</v>
      </c>
    </row>
    <row r="3990" spans="1:2" x14ac:dyDescent="0.25">
      <c r="A3990" s="65">
        <v>3989</v>
      </c>
      <c r="B3990" s="64">
        <v>28885706.585060809</v>
      </c>
    </row>
    <row r="3991" spans="1:2" x14ac:dyDescent="0.25">
      <c r="A3991" s="65">
        <v>3990</v>
      </c>
      <c r="B3991" s="64">
        <v>28957298.195895109</v>
      </c>
    </row>
    <row r="3992" spans="1:2" x14ac:dyDescent="0.25">
      <c r="A3992" s="65">
        <v>3991</v>
      </c>
      <c r="B3992" s="64">
        <v>30152315.299265977</v>
      </c>
    </row>
    <row r="3993" spans="1:2" x14ac:dyDescent="0.25">
      <c r="A3993" s="65">
        <v>3992</v>
      </c>
      <c r="B3993" s="64">
        <v>29356383.496862981</v>
      </c>
    </row>
    <row r="3994" spans="1:2" x14ac:dyDescent="0.25">
      <c r="A3994" s="65">
        <v>3993</v>
      </c>
      <c r="B3994" s="64">
        <v>29298168.094336964</v>
      </c>
    </row>
    <row r="3995" spans="1:2" x14ac:dyDescent="0.25">
      <c r="A3995" s="65">
        <v>3994</v>
      </c>
      <c r="B3995" s="64">
        <v>29129277.09743109</v>
      </c>
    </row>
    <row r="3996" spans="1:2" x14ac:dyDescent="0.25">
      <c r="A3996" s="65">
        <v>3995</v>
      </c>
      <c r="B3996" s="64">
        <v>30484054.345977865</v>
      </c>
    </row>
    <row r="3997" spans="1:2" x14ac:dyDescent="0.25">
      <c r="A3997" s="65">
        <v>3996</v>
      </c>
      <c r="B3997" s="64">
        <v>29539571.270570487</v>
      </c>
    </row>
    <row r="3998" spans="1:2" x14ac:dyDescent="0.25">
      <c r="A3998" s="65">
        <v>3997</v>
      </c>
      <c r="B3998" s="64">
        <v>29415134.790323433</v>
      </c>
    </row>
    <row r="3999" spans="1:2" x14ac:dyDescent="0.25">
      <c r="A3999" s="65">
        <v>3998</v>
      </c>
      <c r="B3999" s="64">
        <v>28725430.860753484</v>
      </c>
    </row>
    <row r="4000" spans="1:2" x14ac:dyDescent="0.25">
      <c r="A4000" s="65">
        <v>3999</v>
      </c>
      <c r="B4000" s="64">
        <v>28721872.257995378</v>
      </c>
    </row>
    <row r="4001" spans="1:2" x14ac:dyDescent="0.25">
      <c r="A4001" s="65">
        <v>4000</v>
      </c>
      <c r="B4001" s="64">
        <v>29050593.385368578</v>
      </c>
    </row>
    <row r="4002" spans="1:2" x14ac:dyDescent="0.25">
      <c r="A4002" s="65">
        <v>4001</v>
      </c>
      <c r="B4002" s="64">
        <v>28792380.090342462</v>
      </c>
    </row>
    <row r="4003" spans="1:2" x14ac:dyDescent="0.25">
      <c r="A4003" s="65">
        <v>4002</v>
      </c>
      <c r="B4003" s="64">
        <v>29197414.297299162</v>
      </c>
    </row>
    <row r="4004" spans="1:2" x14ac:dyDescent="0.25">
      <c r="A4004" s="65">
        <v>4003</v>
      </c>
      <c r="B4004" s="64">
        <v>30226371.686736915</v>
      </c>
    </row>
    <row r="4005" spans="1:2" x14ac:dyDescent="0.25">
      <c r="A4005" s="65">
        <v>4004</v>
      </c>
      <c r="B4005" s="64">
        <v>29721617.445272647</v>
      </c>
    </row>
    <row r="4006" spans="1:2" x14ac:dyDescent="0.25">
      <c r="A4006" s="65">
        <v>4005</v>
      </c>
      <c r="B4006" s="64">
        <v>32208095.480751865</v>
      </c>
    </row>
    <row r="4007" spans="1:2" x14ac:dyDescent="0.25">
      <c r="A4007" s="65">
        <v>4006</v>
      </c>
      <c r="B4007" s="64">
        <v>28916026.321336329</v>
      </c>
    </row>
    <row r="4008" spans="1:2" x14ac:dyDescent="0.25">
      <c r="A4008" s="65">
        <v>4007</v>
      </c>
      <c r="B4008" s="64">
        <v>29085036.816703118</v>
      </c>
    </row>
    <row r="4009" spans="1:2" x14ac:dyDescent="0.25">
      <c r="A4009" s="65">
        <v>4008</v>
      </c>
      <c r="B4009" s="64">
        <v>30004871.95792269</v>
      </c>
    </row>
    <row r="4010" spans="1:2" x14ac:dyDescent="0.25">
      <c r="A4010" s="65">
        <v>4009</v>
      </c>
      <c r="B4010" s="64">
        <v>29164527.814346913</v>
      </c>
    </row>
    <row r="4011" spans="1:2" x14ac:dyDescent="0.25">
      <c r="A4011" s="65">
        <v>4010</v>
      </c>
      <c r="B4011" s="64">
        <v>29009594.282834116</v>
      </c>
    </row>
    <row r="4012" spans="1:2" x14ac:dyDescent="0.25">
      <c r="A4012" s="65">
        <v>4011</v>
      </c>
      <c r="B4012" s="64">
        <v>28593579.13073479</v>
      </c>
    </row>
    <row r="4013" spans="1:2" x14ac:dyDescent="0.25">
      <c r="A4013" s="65">
        <v>4012</v>
      </c>
      <c r="B4013" s="64">
        <v>29210882.998909317</v>
      </c>
    </row>
    <row r="4014" spans="1:2" x14ac:dyDescent="0.25">
      <c r="A4014" s="65">
        <v>4013</v>
      </c>
      <c r="B4014" s="64">
        <v>28527040.630653434</v>
      </c>
    </row>
    <row r="4015" spans="1:2" x14ac:dyDescent="0.25">
      <c r="A4015" s="65">
        <v>4014</v>
      </c>
      <c r="B4015" s="64">
        <v>31583436.124848049</v>
      </c>
    </row>
    <row r="4016" spans="1:2" x14ac:dyDescent="0.25">
      <c r="A4016" s="65">
        <v>4015</v>
      </c>
      <c r="B4016" s="64">
        <v>28830762.605368473</v>
      </c>
    </row>
    <row r="4017" spans="1:2" x14ac:dyDescent="0.25">
      <c r="A4017" s="65">
        <v>4016</v>
      </c>
      <c r="B4017" s="64">
        <v>29350808.329877485</v>
      </c>
    </row>
    <row r="4018" spans="1:2" x14ac:dyDescent="0.25">
      <c r="A4018" s="65">
        <v>4017</v>
      </c>
      <c r="B4018" s="64">
        <v>29131643.964840144</v>
      </c>
    </row>
    <row r="4019" spans="1:2" x14ac:dyDescent="0.25">
      <c r="A4019" s="65">
        <v>4018</v>
      </c>
      <c r="B4019" s="64">
        <v>28994725.01057706</v>
      </c>
    </row>
    <row r="4020" spans="1:2" x14ac:dyDescent="0.25">
      <c r="A4020" s="65">
        <v>4019</v>
      </c>
      <c r="B4020" s="64">
        <v>29695682.246022828</v>
      </c>
    </row>
    <row r="4021" spans="1:2" x14ac:dyDescent="0.25">
      <c r="A4021" s="65">
        <v>4020</v>
      </c>
      <c r="B4021" s="64">
        <v>28710175.362223003</v>
      </c>
    </row>
    <row r="4022" spans="1:2" x14ac:dyDescent="0.25">
      <c r="A4022" s="65">
        <v>4021</v>
      </c>
      <c r="B4022" s="64">
        <v>28595190.632595152</v>
      </c>
    </row>
    <row r="4023" spans="1:2" x14ac:dyDescent="0.25">
      <c r="A4023" s="65">
        <v>4022</v>
      </c>
      <c r="B4023" s="64">
        <v>29314334.596041493</v>
      </c>
    </row>
    <row r="4024" spans="1:2" x14ac:dyDescent="0.25">
      <c r="A4024" s="65">
        <v>4023</v>
      </c>
      <c r="B4024" s="64">
        <v>29069682.032955464</v>
      </c>
    </row>
    <row r="4025" spans="1:2" x14ac:dyDescent="0.25">
      <c r="A4025" s="65">
        <v>4024</v>
      </c>
      <c r="B4025" s="64">
        <v>29003095.275934201</v>
      </c>
    </row>
    <row r="4026" spans="1:2" x14ac:dyDescent="0.25">
      <c r="A4026" s="65">
        <v>4025</v>
      </c>
      <c r="B4026" s="64">
        <v>29230324.039830681</v>
      </c>
    </row>
    <row r="4027" spans="1:2" x14ac:dyDescent="0.25">
      <c r="A4027" s="65">
        <v>4026</v>
      </c>
      <c r="B4027" s="64">
        <v>29881693.04214162</v>
      </c>
    </row>
    <row r="4028" spans="1:2" x14ac:dyDescent="0.25">
      <c r="A4028" s="65">
        <v>4027</v>
      </c>
      <c r="B4028" s="64">
        <v>30016038.936138202</v>
      </c>
    </row>
    <row r="4029" spans="1:2" x14ac:dyDescent="0.25">
      <c r="A4029" s="65">
        <v>4028</v>
      </c>
      <c r="B4029" s="64">
        <v>28790416.166703608</v>
      </c>
    </row>
    <row r="4030" spans="1:2" x14ac:dyDescent="0.25">
      <c r="A4030" s="65">
        <v>4029</v>
      </c>
      <c r="B4030" s="64">
        <v>29496594.264990326</v>
      </c>
    </row>
    <row r="4031" spans="1:2" x14ac:dyDescent="0.25">
      <c r="A4031" s="65">
        <v>4030</v>
      </c>
      <c r="B4031" s="64">
        <v>28866889.838507205</v>
      </c>
    </row>
    <row r="4032" spans="1:2" x14ac:dyDescent="0.25">
      <c r="A4032" s="65">
        <v>4031</v>
      </c>
      <c r="B4032" s="64">
        <v>28723638.697421979</v>
      </c>
    </row>
    <row r="4033" spans="1:2" x14ac:dyDescent="0.25">
      <c r="A4033" s="65">
        <v>4032</v>
      </c>
      <c r="B4033" s="64">
        <v>28568159.534031037</v>
      </c>
    </row>
    <row r="4034" spans="1:2" x14ac:dyDescent="0.25">
      <c r="A4034" s="65">
        <v>4033</v>
      </c>
      <c r="B4034" s="64">
        <v>28670061.311563566</v>
      </c>
    </row>
    <row r="4035" spans="1:2" x14ac:dyDescent="0.25">
      <c r="A4035" s="65">
        <v>4034</v>
      </c>
      <c r="B4035" s="64">
        <v>28687731.462387353</v>
      </c>
    </row>
    <row r="4036" spans="1:2" x14ac:dyDescent="0.25">
      <c r="A4036" s="65">
        <v>4035</v>
      </c>
      <c r="B4036" s="64">
        <v>29394707.186324961</v>
      </c>
    </row>
    <row r="4037" spans="1:2" x14ac:dyDescent="0.25">
      <c r="A4037" s="65">
        <v>4036</v>
      </c>
      <c r="B4037" s="64">
        <v>29911966.290004537</v>
      </c>
    </row>
    <row r="4038" spans="1:2" x14ac:dyDescent="0.25">
      <c r="A4038" s="65">
        <v>4037</v>
      </c>
      <c r="B4038" s="64">
        <v>28593853.483904537</v>
      </c>
    </row>
    <row r="4039" spans="1:2" x14ac:dyDescent="0.25">
      <c r="A4039" s="65">
        <v>4038</v>
      </c>
      <c r="B4039" s="64">
        <v>28565599.384618029</v>
      </c>
    </row>
    <row r="4040" spans="1:2" x14ac:dyDescent="0.25">
      <c r="A4040" s="65">
        <v>4039</v>
      </c>
      <c r="B4040" s="64">
        <v>30175770.95841701</v>
      </c>
    </row>
    <row r="4041" spans="1:2" x14ac:dyDescent="0.25">
      <c r="A4041" s="65">
        <v>4040</v>
      </c>
      <c r="B4041" s="64">
        <v>28825954.92511192</v>
      </c>
    </row>
    <row r="4042" spans="1:2" x14ac:dyDescent="0.25">
      <c r="A4042" s="65">
        <v>4041</v>
      </c>
      <c r="B4042" s="64">
        <v>28470082.671865102</v>
      </c>
    </row>
    <row r="4043" spans="1:2" x14ac:dyDescent="0.25">
      <c r="A4043" s="65">
        <v>4042</v>
      </c>
      <c r="B4043" s="64">
        <v>29339884.703422375</v>
      </c>
    </row>
    <row r="4044" spans="1:2" x14ac:dyDescent="0.25">
      <c r="A4044" s="65">
        <v>4043</v>
      </c>
      <c r="B4044" s="64">
        <v>28841785.099292383</v>
      </c>
    </row>
    <row r="4045" spans="1:2" x14ac:dyDescent="0.25">
      <c r="A4045" s="65">
        <v>4044</v>
      </c>
      <c r="B4045" s="64">
        <v>29741721.023094639</v>
      </c>
    </row>
    <row r="4046" spans="1:2" x14ac:dyDescent="0.25">
      <c r="A4046" s="65">
        <v>4045</v>
      </c>
      <c r="B4046" s="64">
        <v>28883575.950760156</v>
      </c>
    </row>
    <row r="4047" spans="1:2" x14ac:dyDescent="0.25">
      <c r="A4047" s="65">
        <v>4046</v>
      </c>
      <c r="B4047" s="64">
        <v>29566595.190425415</v>
      </c>
    </row>
    <row r="4048" spans="1:2" x14ac:dyDescent="0.25">
      <c r="A4048" s="65">
        <v>4047</v>
      </c>
      <c r="B4048" s="64">
        <v>29151617.907053746</v>
      </c>
    </row>
    <row r="4049" spans="1:2" x14ac:dyDescent="0.25">
      <c r="A4049" s="65">
        <v>4048</v>
      </c>
      <c r="B4049" s="64">
        <v>29261154.714948494</v>
      </c>
    </row>
    <row r="4050" spans="1:2" x14ac:dyDescent="0.25">
      <c r="A4050" s="65">
        <v>4049</v>
      </c>
      <c r="B4050" s="64">
        <v>30193957.693757657</v>
      </c>
    </row>
    <row r="4051" spans="1:2" x14ac:dyDescent="0.25">
      <c r="A4051" s="65">
        <v>4050</v>
      </c>
      <c r="B4051" s="64">
        <v>29401706.587269269</v>
      </c>
    </row>
    <row r="4052" spans="1:2" x14ac:dyDescent="0.25">
      <c r="A4052" s="65">
        <v>4051</v>
      </c>
      <c r="B4052" s="64">
        <v>28532651.337758824</v>
      </c>
    </row>
    <row r="4053" spans="1:2" x14ac:dyDescent="0.25">
      <c r="A4053" s="65">
        <v>4052</v>
      </c>
      <c r="B4053" s="64">
        <v>29929509.857666843</v>
      </c>
    </row>
    <row r="4054" spans="1:2" x14ac:dyDescent="0.25">
      <c r="A4054" s="65">
        <v>4053</v>
      </c>
      <c r="B4054" s="64">
        <v>33389067.463519391</v>
      </c>
    </row>
    <row r="4055" spans="1:2" x14ac:dyDescent="0.25">
      <c r="A4055" s="65">
        <v>4054</v>
      </c>
      <c r="B4055" s="64">
        <v>28856289.855672624</v>
      </c>
    </row>
    <row r="4056" spans="1:2" x14ac:dyDescent="0.25">
      <c r="A4056" s="65">
        <v>4055</v>
      </c>
      <c r="B4056" s="64">
        <v>28956700.199121952</v>
      </c>
    </row>
    <row r="4057" spans="1:2" x14ac:dyDescent="0.25">
      <c r="A4057" s="65">
        <v>4056</v>
      </c>
      <c r="B4057" s="64">
        <v>28693448.569541816</v>
      </c>
    </row>
    <row r="4058" spans="1:2" x14ac:dyDescent="0.25">
      <c r="A4058" s="65">
        <v>4057</v>
      </c>
      <c r="B4058" s="64">
        <v>28942495.303097855</v>
      </c>
    </row>
    <row r="4059" spans="1:2" x14ac:dyDescent="0.25">
      <c r="A4059" s="65">
        <v>4058</v>
      </c>
      <c r="B4059" s="64">
        <v>28679187.502869204</v>
      </c>
    </row>
    <row r="4060" spans="1:2" x14ac:dyDescent="0.25">
      <c r="A4060" s="65">
        <v>4059</v>
      </c>
      <c r="B4060" s="64">
        <v>29876362.795650281</v>
      </c>
    </row>
    <row r="4061" spans="1:2" x14ac:dyDescent="0.25">
      <c r="A4061" s="65">
        <v>4060</v>
      </c>
      <c r="B4061" s="64">
        <v>29201468.476074234</v>
      </c>
    </row>
    <row r="4062" spans="1:2" x14ac:dyDescent="0.25">
      <c r="A4062" s="65">
        <v>4061</v>
      </c>
      <c r="B4062" s="64">
        <v>29402386.269642018</v>
      </c>
    </row>
    <row r="4063" spans="1:2" x14ac:dyDescent="0.25">
      <c r="A4063" s="65">
        <v>4062</v>
      </c>
      <c r="B4063" s="64">
        <v>28521690.052833714</v>
      </c>
    </row>
    <row r="4064" spans="1:2" x14ac:dyDescent="0.25">
      <c r="A4064" s="65">
        <v>4063</v>
      </c>
      <c r="B4064" s="64">
        <v>28748562.740392622</v>
      </c>
    </row>
    <row r="4065" spans="1:2" x14ac:dyDescent="0.25">
      <c r="A4065" s="65">
        <v>4064</v>
      </c>
      <c r="B4065" s="64">
        <v>29512023.958057933</v>
      </c>
    </row>
    <row r="4066" spans="1:2" x14ac:dyDescent="0.25">
      <c r="A4066" s="65">
        <v>4065</v>
      </c>
      <c r="B4066" s="64">
        <v>28664611.762603045</v>
      </c>
    </row>
    <row r="4067" spans="1:2" x14ac:dyDescent="0.25">
      <c r="A4067" s="65">
        <v>4066</v>
      </c>
      <c r="B4067" s="64">
        <v>28352499.571471784</v>
      </c>
    </row>
    <row r="4068" spans="1:2" x14ac:dyDescent="0.25">
      <c r="A4068" s="65">
        <v>4067</v>
      </c>
      <c r="B4068" s="64">
        <v>28823891.924388666</v>
      </c>
    </row>
    <row r="4069" spans="1:2" x14ac:dyDescent="0.25">
      <c r="A4069" s="65">
        <v>4068</v>
      </c>
      <c r="B4069" s="64">
        <v>28852035.499064501</v>
      </c>
    </row>
    <row r="4070" spans="1:2" x14ac:dyDescent="0.25">
      <c r="A4070" s="65">
        <v>4069</v>
      </c>
      <c r="B4070" s="64">
        <v>29282549.996529654</v>
      </c>
    </row>
    <row r="4071" spans="1:2" x14ac:dyDescent="0.25">
      <c r="A4071" s="65">
        <v>4070</v>
      </c>
      <c r="B4071" s="64">
        <v>29860835.299180705</v>
      </c>
    </row>
    <row r="4072" spans="1:2" x14ac:dyDescent="0.25">
      <c r="A4072" s="65">
        <v>4071</v>
      </c>
      <c r="B4072" s="64">
        <v>28505334.735225104</v>
      </c>
    </row>
    <row r="4073" spans="1:2" x14ac:dyDescent="0.25">
      <c r="A4073" s="65">
        <v>4072</v>
      </c>
      <c r="B4073" s="64">
        <v>29086846.913961958</v>
      </c>
    </row>
    <row r="4074" spans="1:2" x14ac:dyDescent="0.25">
      <c r="A4074" s="65">
        <v>4073</v>
      </c>
      <c r="B4074" s="64">
        <v>29152148.018208753</v>
      </c>
    </row>
    <row r="4075" spans="1:2" x14ac:dyDescent="0.25">
      <c r="A4075" s="65">
        <v>4074</v>
      </c>
      <c r="B4075" s="64">
        <v>28525984.447607376</v>
      </c>
    </row>
    <row r="4076" spans="1:2" x14ac:dyDescent="0.25">
      <c r="A4076" s="65">
        <v>4075</v>
      </c>
      <c r="B4076" s="64">
        <v>29331212.326381832</v>
      </c>
    </row>
    <row r="4077" spans="1:2" x14ac:dyDescent="0.25">
      <c r="A4077" s="65">
        <v>4076</v>
      </c>
      <c r="B4077" s="64">
        <v>29136914.934111893</v>
      </c>
    </row>
    <row r="4078" spans="1:2" x14ac:dyDescent="0.25">
      <c r="A4078" s="65">
        <v>4077</v>
      </c>
      <c r="B4078" s="64">
        <v>29362220.256487403</v>
      </c>
    </row>
    <row r="4079" spans="1:2" x14ac:dyDescent="0.25">
      <c r="A4079" s="65">
        <v>4078</v>
      </c>
      <c r="B4079" s="64">
        <v>29217742.661845643</v>
      </c>
    </row>
    <row r="4080" spans="1:2" x14ac:dyDescent="0.25">
      <c r="A4080" s="65">
        <v>4079</v>
      </c>
      <c r="B4080" s="64">
        <v>29866946.021578167</v>
      </c>
    </row>
    <row r="4081" spans="1:2" x14ac:dyDescent="0.25">
      <c r="A4081" s="65">
        <v>4080</v>
      </c>
      <c r="B4081" s="64">
        <v>28761943.382593587</v>
      </c>
    </row>
    <row r="4082" spans="1:2" x14ac:dyDescent="0.25">
      <c r="A4082" s="65">
        <v>4081</v>
      </c>
      <c r="B4082" s="64">
        <v>29756617.560213629</v>
      </c>
    </row>
    <row r="4083" spans="1:2" x14ac:dyDescent="0.25">
      <c r="A4083" s="65">
        <v>4082</v>
      </c>
      <c r="B4083" s="64">
        <v>28996427.555309396</v>
      </c>
    </row>
    <row r="4084" spans="1:2" x14ac:dyDescent="0.25">
      <c r="A4084" s="65">
        <v>4083</v>
      </c>
      <c r="B4084" s="64">
        <v>28752080.020184211</v>
      </c>
    </row>
    <row r="4085" spans="1:2" x14ac:dyDescent="0.25">
      <c r="A4085" s="65">
        <v>4084</v>
      </c>
      <c r="B4085" s="64">
        <v>29091239.199470449</v>
      </c>
    </row>
    <row r="4086" spans="1:2" x14ac:dyDescent="0.25">
      <c r="A4086" s="65">
        <v>4085</v>
      </c>
      <c r="B4086" s="64">
        <v>29208539.981103893</v>
      </c>
    </row>
    <row r="4087" spans="1:2" x14ac:dyDescent="0.25">
      <c r="A4087" s="65">
        <v>4086</v>
      </c>
      <c r="B4087" s="64">
        <v>30009012.434019949</v>
      </c>
    </row>
    <row r="4088" spans="1:2" x14ac:dyDescent="0.25">
      <c r="A4088" s="65">
        <v>4087</v>
      </c>
      <c r="B4088" s="64">
        <v>29142920.19202951</v>
      </c>
    </row>
    <row r="4089" spans="1:2" x14ac:dyDescent="0.25">
      <c r="A4089" s="65">
        <v>4088</v>
      </c>
      <c r="B4089" s="64">
        <v>28854917.003923558</v>
      </c>
    </row>
    <row r="4090" spans="1:2" x14ac:dyDescent="0.25">
      <c r="A4090" s="65">
        <v>4089</v>
      </c>
      <c r="B4090" s="64">
        <v>29199694.869242296</v>
      </c>
    </row>
    <row r="4091" spans="1:2" x14ac:dyDescent="0.25">
      <c r="A4091" s="65">
        <v>4090</v>
      </c>
      <c r="B4091" s="64">
        <v>30128630.627678245</v>
      </c>
    </row>
    <row r="4092" spans="1:2" x14ac:dyDescent="0.25">
      <c r="A4092" s="65">
        <v>4091</v>
      </c>
      <c r="B4092" s="64">
        <v>29445461.78482743</v>
      </c>
    </row>
    <row r="4093" spans="1:2" x14ac:dyDescent="0.25">
      <c r="A4093" s="65">
        <v>4092</v>
      </c>
      <c r="B4093" s="64">
        <v>32809845.691059627</v>
      </c>
    </row>
    <row r="4094" spans="1:2" x14ac:dyDescent="0.25">
      <c r="A4094" s="65">
        <v>4093</v>
      </c>
      <c r="B4094" s="64">
        <v>29781815.032708172</v>
      </c>
    </row>
    <row r="4095" spans="1:2" x14ac:dyDescent="0.25">
      <c r="A4095" s="65">
        <v>4094</v>
      </c>
      <c r="B4095" s="64">
        <v>29071639.146592163</v>
      </c>
    </row>
    <row r="4096" spans="1:2" x14ac:dyDescent="0.25">
      <c r="A4096" s="65">
        <v>4095</v>
      </c>
      <c r="B4096" s="64">
        <v>28825735.235356569</v>
      </c>
    </row>
    <row r="4097" spans="1:2" x14ac:dyDescent="0.25">
      <c r="A4097" s="65">
        <v>4096</v>
      </c>
      <c r="B4097" s="64">
        <v>28887304.939985633</v>
      </c>
    </row>
    <row r="4098" spans="1:2" x14ac:dyDescent="0.25">
      <c r="A4098" s="65">
        <v>4097</v>
      </c>
      <c r="B4098" s="64">
        <v>28850019.489883669</v>
      </c>
    </row>
    <row r="4099" spans="1:2" x14ac:dyDescent="0.25">
      <c r="A4099" s="65">
        <v>4098</v>
      </c>
      <c r="B4099" s="64">
        <v>29724175.649761289</v>
      </c>
    </row>
    <row r="4100" spans="1:2" x14ac:dyDescent="0.25">
      <c r="A4100" s="65">
        <v>4099</v>
      </c>
      <c r="B4100" s="64">
        <v>28621013.117314339</v>
      </c>
    </row>
    <row r="4101" spans="1:2" x14ac:dyDescent="0.25">
      <c r="A4101" s="65">
        <v>4100</v>
      </c>
      <c r="B4101" s="64">
        <v>29347730.338115811</v>
      </c>
    </row>
    <row r="4102" spans="1:2" x14ac:dyDescent="0.25">
      <c r="A4102" s="65">
        <v>4101</v>
      </c>
      <c r="B4102" s="64">
        <v>29924667.597675655</v>
      </c>
    </row>
    <row r="4103" spans="1:2" x14ac:dyDescent="0.25">
      <c r="A4103" s="65">
        <v>4102</v>
      </c>
      <c r="B4103" s="64">
        <v>28634582.19213653</v>
      </c>
    </row>
    <row r="4104" spans="1:2" x14ac:dyDescent="0.25">
      <c r="A4104" s="65">
        <v>4103</v>
      </c>
      <c r="B4104" s="64">
        <v>28702836.170967564</v>
      </c>
    </row>
    <row r="4105" spans="1:2" x14ac:dyDescent="0.25">
      <c r="A4105" s="65">
        <v>4104</v>
      </c>
      <c r="B4105" s="64">
        <v>28857573.415538121</v>
      </c>
    </row>
    <row r="4106" spans="1:2" x14ac:dyDescent="0.25">
      <c r="A4106" s="65">
        <v>4105</v>
      </c>
      <c r="B4106" s="64">
        <v>28482215.174990986</v>
      </c>
    </row>
    <row r="4107" spans="1:2" x14ac:dyDescent="0.25">
      <c r="A4107" s="65">
        <v>4106</v>
      </c>
      <c r="B4107" s="64">
        <v>28630960.358101889</v>
      </c>
    </row>
    <row r="4108" spans="1:2" x14ac:dyDescent="0.25">
      <c r="A4108" s="65">
        <v>4107</v>
      </c>
      <c r="B4108" s="64">
        <v>28768942.96784826</v>
      </c>
    </row>
    <row r="4109" spans="1:2" x14ac:dyDescent="0.25">
      <c r="A4109" s="65">
        <v>4108</v>
      </c>
      <c r="B4109" s="64">
        <v>33229115.579799615</v>
      </c>
    </row>
    <row r="4110" spans="1:2" x14ac:dyDescent="0.25">
      <c r="A4110" s="65">
        <v>4109</v>
      </c>
      <c r="B4110" s="64">
        <v>28799257.765114252</v>
      </c>
    </row>
    <row r="4111" spans="1:2" x14ac:dyDescent="0.25">
      <c r="A4111" s="65">
        <v>4110</v>
      </c>
      <c r="B4111" s="64">
        <v>29594331.475042041</v>
      </c>
    </row>
    <row r="4112" spans="1:2" x14ac:dyDescent="0.25">
      <c r="A4112" s="65">
        <v>4111</v>
      </c>
      <c r="B4112" s="64">
        <v>29169475.603546761</v>
      </c>
    </row>
    <row r="4113" spans="1:2" x14ac:dyDescent="0.25">
      <c r="A4113" s="65">
        <v>4112</v>
      </c>
      <c r="B4113" s="64">
        <v>28925886.37899537</v>
      </c>
    </row>
    <row r="4114" spans="1:2" x14ac:dyDescent="0.25">
      <c r="A4114" s="65">
        <v>4113</v>
      </c>
      <c r="B4114" s="64">
        <v>29097762.07172801</v>
      </c>
    </row>
    <row r="4115" spans="1:2" x14ac:dyDescent="0.25">
      <c r="A4115" s="65">
        <v>4114</v>
      </c>
      <c r="B4115" s="64">
        <v>29213676.387780916</v>
      </c>
    </row>
    <row r="4116" spans="1:2" x14ac:dyDescent="0.25">
      <c r="A4116" s="65">
        <v>4115</v>
      </c>
      <c r="B4116" s="64">
        <v>29927122.345102314</v>
      </c>
    </row>
    <row r="4117" spans="1:2" x14ac:dyDescent="0.25">
      <c r="A4117" s="65">
        <v>4116</v>
      </c>
      <c r="B4117" s="64">
        <v>29204447.361627214</v>
      </c>
    </row>
    <row r="4118" spans="1:2" x14ac:dyDescent="0.25">
      <c r="A4118" s="65">
        <v>4117</v>
      </c>
      <c r="B4118" s="64">
        <v>28727655.689929042</v>
      </c>
    </row>
    <row r="4119" spans="1:2" x14ac:dyDescent="0.25">
      <c r="A4119" s="65">
        <v>4118</v>
      </c>
      <c r="B4119" s="64">
        <v>29218543.496558584</v>
      </c>
    </row>
    <row r="4120" spans="1:2" x14ac:dyDescent="0.25">
      <c r="A4120" s="65">
        <v>4119</v>
      </c>
      <c r="B4120" s="64">
        <v>30234060.741443217</v>
      </c>
    </row>
    <row r="4121" spans="1:2" x14ac:dyDescent="0.25">
      <c r="A4121" s="65">
        <v>4120</v>
      </c>
      <c r="B4121" s="64">
        <v>29156901.349593755</v>
      </c>
    </row>
    <row r="4122" spans="1:2" x14ac:dyDescent="0.25">
      <c r="A4122" s="65">
        <v>4121</v>
      </c>
      <c r="B4122" s="64">
        <v>28868231.562208019</v>
      </c>
    </row>
    <row r="4123" spans="1:2" x14ac:dyDescent="0.25">
      <c r="A4123" s="65">
        <v>4122</v>
      </c>
      <c r="B4123" s="64">
        <v>29168439.442218471</v>
      </c>
    </row>
    <row r="4124" spans="1:2" x14ac:dyDescent="0.25">
      <c r="A4124" s="65">
        <v>4123</v>
      </c>
      <c r="B4124" s="64">
        <v>29177474.115637586</v>
      </c>
    </row>
    <row r="4125" spans="1:2" x14ac:dyDescent="0.25">
      <c r="A4125" s="65">
        <v>4124</v>
      </c>
      <c r="B4125" s="64">
        <v>29684904.29531559</v>
      </c>
    </row>
    <row r="4126" spans="1:2" x14ac:dyDescent="0.25">
      <c r="A4126" s="65">
        <v>4125</v>
      </c>
      <c r="B4126" s="64">
        <v>31085120.375494935</v>
      </c>
    </row>
    <row r="4127" spans="1:2" x14ac:dyDescent="0.25">
      <c r="A4127" s="65">
        <v>4126</v>
      </c>
      <c r="B4127" s="64">
        <v>29068850.652754813</v>
      </c>
    </row>
    <row r="4128" spans="1:2" x14ac:dyDescent="0.25">
      <c r="A4128" s="65">
        <v>4127</v>
      </c>
      <c r="B4128" s="64">
        <v>29064070.698499512</v>
      </c>
    </row>
    <row r="4129" spans="1:2" x14ac:dyDescent="0.25">
      <c r="A4129" s="65">
        <v>4128</v>
      </c>
      <c r="B4129" s="64">
        <v>29273745.103701837</v>
      </c>
    </row>
    <row r="4130" spans="1:2" x14ac:dyDescent="0.25">
      <c r="A4130" s="65">
        <v>4129</v>
      </c>
      <c r="B4130" s="64">
        <v>29265450.917566668</v>
      </c>
    </row>
    <row r="4131" spans="1:2" x14ac:dyDescent="0.25">
      <c r="A4131" s="65">
        <v>4130</v>
      </c>
      <c r="B4131" s="64">
        <v>28733136.66186519</v>
      </c>
    </row>
    <row r="4132" spans="1:2" x14ac:dyDescent="0.25">
      <c r="A4132" s="65">
        <v>4131</v>
      </c>
      <c r="B4132" s="64">
        <v>28804051.597043831</v>
      </c>
    </row>
    <row r="4133" spans="1:2" x14ac:dyDescent="0.25">
      <c r="A4133" s="65">
        <v>4132</v>
      </c>
      <c r="B4133" s="64">
        <v>30526332.81765661</v>
      </c>
    </row>
    <row r="4134" spans="1:2" x14ac:dyDescent="0.25">
      <c r="A4134" s="65">
        <v>4133</v>
      </c>
      <c r="B4134" s="64">
        <v>28617239.501759872</v>
      </c>
    </row>
    <row r="4135" spans="1:2" x14ac:dyDescent="0.25">
      <c r="A4135" s="65">
        <v>4134</v>
      </c>
      <c r="B4135" s="64">
        <v>29481087.148479152</v>
      </c>
    </row>
    <row r="4136" spans="1:2" x14ac:dyDescent="0.25">
      <c r="A4136" s="65">
        <v>4135</v>
      </c>
      <c r="B4136" s="64">
        <v>29508034.69682597</v>
      </c>
    </row>
    <row r="4137" spans="1:2" x14ac:dyDescent="0.25">
      <c r="A4137" s="65">
        <v>4136</v>
      </c>
      <c r="B4137" s="64">
        <v>33569600.072367541</v>
      </c>
    </row>
    <row r="4138" spans="1:2" x14ac:dyDescent="0.25">
      <c r="A4138" s="65">
        <v>4137</v>
      </c>
      <c r="B4138" s="64">
        <v>30591435.465227138</v>
      </c>
    </row>
    <row r="4139" spans="1:2" x14ac:dyDescent="0.25">
      <c r="A4139" s="65">
        <v>4138</v>
      </c>
      <c r="B4139" s="64">
        <v>28726827.286840636</v>
      </c>
    </row>
    <row r="4140" spans="1:2" x14ac:dyDescent="0.25">
      <c r="A4140" s="65">
        <v>4139</v>
      </c>
      <c r="B4140" s="64">
        <v>29662804.228511386</v>
      </c>
    </row>
    <row r="4141" spans="1:2" x14ac:dyDescent="0.25">
      <c r="A4141" s="65">
        <v>4140</v>
      </c>
      <c r="B4141" s="64">
        <v>29032142.341621071</v>
      </c>
    </row>
    <row r="4142" spans="1:2" x14ac:dyDescent="0.25">
      <c r="A4142" s="65">
        <v>4141</v>
      </c>
      <c r="B4142" s="64">
        <v>29536727.305945776</v>
      </c>
    </row>
    <row r="4143" spans="1:2" x14ac:dyDescent="0.25">
      <c r="A4143" s="65">
        <v>4142</v>
      </c>
      <c r="B4143" s="64">
        <v>28675626.272795945</v>
      </c>
    </row>
    <row r="4144" spans="1:2" x14ac:dyDescent="0.25">
      <c r="A4144" s="65">
        <v>4143</v>
      </c>
      <c r="B4144" s="64">
        <v>29585993.233584065</v>
      </c>
    </row>
    <row r="4145" spans="1:2" x14ac:dyDescent="0.25">
      <c r="A4145" s="65">
        <v>4144</v>
      </c>
      <c r="B4145" s="64">
        <v>30045942.522224374</v>
      </c>
    </row>
    <row r="4146" spans="1:2" x14ac:dyDescent="0.25">
      <c r="A4146" s="65">
        <v>4145</v>
      </c>
      <c r="B4146" s="64">
        <v>28986182.71390279</v>
      </c>
    </row>
    <row r="4147" spans="1:2" x14ac:dyDescent="0.25">
      <c r="A4147" s="65">
        <v>4146</v>
      </c>
      <c r="B4147" s="64">
        <v>29804907.095212359</v>
      </c>
    </row>
    <row r="4148" spans="1:2" x14ac:dyDescent="0.25">
      <c r="A4148" s="65">
        <v>4147</v>
      </c>
      <c r="B4148" s="64">
        <v>28993830.680040278</v>
      </c>
    </row>
    <row r="4149" spans="1:2" x14ac:dyDescent="0.25">
      <c r="A4149" s="65">
        <v>4148</v>
      </c>
      <c r="B4149" s="64">
        <v>28868488.057839386</v>
      </c>
    </row>
    <row r="4150" spans="1:2" x14ac:dyDescent="0.25">
      <c r="A4150" s="65">
        <v>4149</v>
      </c>
      <c r="B4150" s="64">
        <v>29247931.849707365</v>
      </c>
    </row>
    <row r="4151" spans="1:2" x14ac:dyDescent="0.25">
      <c r="A4151" s="65">
        <v>4150</v>
      </c>
      <c r="B4151" s="64">
        <v>28797334.012055494</v>
      </c>
    </row>
    <row r="4152" spans="1:2" x14ac:dyDescent="0.25">
      <c r="A4152" s="65">
        <v>4151</v>
      </c>
      <c r="B4152" s="64">
        <v>28753373.671960831</v>
      </c>
    </row>
    <row r="4153" spans="1:2" x14ac:dyDescent="0.25">
      <c r="A4153" s="65">
        <v>4152</v>
      </c>
      <c r="B4153" s="64">
        <v>29718857.808734696</v>
      </c>
    </row>
    <row r="4154" spans="1:2" x14ac:dyDescent="0.25">
      <c r="A4154" s="65">
        <v>4153</v>
      </c>
      <c r="B4154" s="64">
        <v>28747655.923291046</v>
      </c>
    </row>
    <row r="4155" spans="1:2" x14ac:dyDescent="0.25">
      <c r="A4155" s="65">
        <v>4154</v>
      </c>
      <c r="B4155" s="64">
        <v>29964788.785958331</v>
      </c>
    </row>
    <row r="4156" spans="1:2" x14ac:dyDescent="0.25">
      <c r="A4156" s="65">
        <v>4155</v>
      </c>
      <c r="B4156" s="64">
        <v>28855954.347303919</v>
      </c>
    </row>
    <row r="4157" spans="1:2" x14ac:dyDescent="0.25">
      <c r="A4157" s="65">
        <v>4156</v>
      </c>
      <c r="B4157" s="64">
        <v>33794852.641429871</v>
      </c>
    </row>
    <row r="4158" spans="1:2" x14ac:dyDescent="0.25">
      <c r="A4158" s="65">
        <v>4157</v>
      </c>
      <c r="B4158" s="64">
        <v>29683660.107405011</v>
      </c>
    </row>
    <row r="4159" spans="1:2" x14ac:dyDescent="0.25">
      <c r="A4159" s="65">
        <v>4158</v>
      </c>
      <c r="B4159" s="64">
        <v>29016302.422522586</v>
      </c>
    </row>
    <row r="4160" spans="1:2" x14ac:dyDescent="0.25">
      <c r="A4160" s="65">
        <v>4159</v>
      </c>
      <c r="B4160" s="64">
        <v>30754328.429877333</v>
      </c>
    </row>
    <row r="4161" spans="1:2" x14ac:dyDescent="0.25">
      <c r="A4161" s="65">
        <v>4160</v>
      </c>
      <c r="B4161" s="64">
        <v>28778229.075020786</v>
      </c>
    </row>
    <row r="4162" spans="1:2" x14ac:dyDescent="0.25">
      <c r="A4162" s="65">
        <v>4161</v>
      </c>
      <c r="B4162" s="64">
        <v>29234364.898594469</v>
      </c>
    </row>
    <row r="4163" spans="1:2" x14ac:dyDescent="0.25">
      <c r="A4163" s="65">
        <v>4162</v>
      </c>
      <c r="B4163" s="64">
        <v>28862036.849413134</v>
      </c>
    </row>
    <row r="4164" spans="1:2" x14ac:dyDescent="0.25">
      <c r="A4164" s="65">
        <v>4163</v>
      </c>
      <c r="B4164" s="64">
        <v>29346049.835436277</v>
      </c>
    </row>
    <row r="4165" spans="1:2" x14ac:dyDescent="0.25">
      <c r="A4165" s="65">
        <v>4164</v>
      </c>
      <c r="B4165" s="64">
        <v>29103563.154387519</v>
      </c>
    </row>
    <row r="4166" spans="1:2" x14ac:dyDescent="0.25">
      <c r="A4166" s="65">
        <v>4165</v>
      </c>
      <c r="B4166" s="64">
        <v>28827584.107797399</v>
      </c>
    </row>
    <row r="4167" spans="1:2" x14ac:dyDescent="0.25">
      <c r="A4167" s="65">
        <v>4166</v>
      </c>
      <c r="B4167" s="64">
        <v>29582922.568795413</v>
      </c>
    </row>
    <row r="4168" spans="1:2" x14ac:dyDescent="0.25">
      <c r="A4168" s="65">
        <v>4167</v>
      </c>
      <c r="B4168" s="64">
        <v>30218964.31748024</v>
      </c>
    </row>
    <row r="4169" spans="1:2" x14ac:dyDescent="0.25">
      <c r="A4169" s="65">
        <v>4168</v>
      </c>
      <c r="B4169" s="64">
        <v>28667631.239729516</v>
      </c>
    </row>
    <row r="4170" spans="1:2" x14ac:dyDescent="0.25">
      <c r="A4170" s="65">
        <v>4169</v>
      </c>
      <c r="B4170" s="64">
        <v>28922347.693993311</v>
      </c>
    </row>
    <row r="4171" spans="1:2" x14ac:dyDescent="0.25">
      <c r="A4171" s="65">
        <v>4170</v>
      </c>
      <c r="B4171" s="64">
        <v>29123270.68410505</v>
      </c>
    </row>
    <row r="4172" spans="1:2" x14ac:dyDescent="0.25">
      <c r="A4172" s="65">
        <v>4171</v>
      </c>
      <c r="B4172" s="64">
        <v>28617442.065486629</v>
      </c>
    </row>
    <row r="4173" spans="1:2" x14ac:dyDescent="0.25">
      <c r="A4173" s="65">
        <v>4172</v>
      </c>
      <c r="B4173" s="64">
        <v>28657347.23537042</v>
      </c>
    </row>
    <row r="4174" spans="1:2" x14ac:dyDescent="0.25">
      <c r="A4174" s="65">
        <v>4173</v>
      </c>
      <c r="B4174" s="64">
        <v>29605501.873686455</v>
      </c>
    </row>
    <row r="4175" spans="1:2" x14ac:dyDescent="0.25">
      <c r="A4175" s="65">
        <v>4174</v>
      </c>
      <c r="B4175" s="64">
        <v>29052021.103944901</v>
      </c>
    </row>
    <row r="4176" spans="1:2" x14ac:dyDescent="0.25">
      <c r="A4176" s="65">
        <v>4175</v>
      </c>
      <c r="B4176" s="64">
        <v>29310196.124174368</v>
      </c>
    </row>
    <row r="4177" spans="1:2" x14ac:dyDescent="0.25">
      <c r="A4177" s="65">
        <v>4176</v>
      </c>
      <c r="B4177" s="64">
        <v>28881024.238815635</v>
      </c>
    </row>
    <row r="4178" spans="1:2" x14ac:dyDescent="0.25">
      <c r="A4178" s="65">
        <v>4177</v>
      </c>
      <c r="B4178" s="64">
        <v>29119983.988689717</v>
      </c>
    </row>
    <row r="4179" spans="1:2" x14ac:dyDescent="0.25">
      <c r="A4179" s="65">
        <v>4178</v>
      </c>
      <c r="B4179" s="64">
        <v>28756831.348895211</v>
      </c>
    </row>
    <row r="4180" spans="1:2" x14ac:dyDescent="0.25">
      <c r="A4180" s="65">
        <v>4179</v>
      </c>
      <c r="B4180" s="64">
        <v>29219102.094716985</v>
      </c>
    </row>
    <row r="4181" spans="1:2" x14ac:dyDescent="0.25">
      <c r="A4181" s="65">
        <v>4180</v>
      </c>
      <c r="B4181" s="64">
        <v>29522234.653470222</v>
      </c>
    </row>
    <row r="4182" spans="1:2" x14ac:dyDescent="0.25">
      <c r="A4182" s="65">
        <v>4181</v>
      </c>
      <c r="B4182" s="64">
        <v>29306112.641988583</v>
      </c>
    </row>
    <row r="4183" spans="1:2" x14ac:dyDescent="0.25">
      <c r="A4183" s="65">
        <v>4182</v>
      </c>
      <c r="B4183" s="64">
        <v>29168470.072657634</v>
      </c>
    </row>
    <row r="4184" spans="1:2" x14ac:dyDescent="0.25">
      <c r="A4184" s="65">
        <v>4183</v>
      </c>
      <c r="B4184" s="64">
        <v>29567338.883383408</v>
      </c>
    </row>
    <row r="4185" spans="1:2" x14ac:dyDescent="0.25">
      <c r="A4185" s="65">
        <v>4184</v>
      </c>
      <c r="B4185" s="64">
        <v>28990164.943831582</v>
      </c>
    </row>
    <row r="4186" spans="1:2" x14ac:dyDescent="0.25">
      <c r="A4186" s="65">
        <v>4185</v>
      </c>
      <c r="B4186" s="64">
        <v>33398862.50869238</v>
      </c>
    </row>
    <row r="4187" spans="1:2" x14ac:dyDescent="0.25">
      <c r="A4187" s="65">
        <v>4186</v>
      </c>
      <c r="B4187" s="64">
        <v>28766845.967118032</v>
      </c>
    </row>
    <row r="4188" spans="1:2" x14ac:dyDescent="0.25">
      <c r="A4188" s="65">
        <v>4187</v>
      </c>
      <c r="B4188" s="64">
        <v>29109410.242919173</v>
      </c>
    </row>
    <row r="4189" spans="1:2" x14ac:dyDescent="0.25">
      <c r="A4189" s="65">
        <v>4188</v>
      </c>
      <c r="B4189" s="64">
        <v>29626700.299153853</v>
      </c>
    </row>
    <row r="4190" spans="1:2" x14ac:dyDescent="0.25">
      <c r="A4190" s="65">
        <v>4189</v>
      </c>
      <c r="B4190" s="64">
        <v>28238638.094389554</v>
      </c>
    </row>
    <row r="4191" spans="1:2" x14ac:dyDescent="0.25">
      <c r="A4191" s="65">
        <v>4190</v>
      </c>
      <c r="B4191" s="64">
        <v>29169914.949068122</v>
      </c>
    </row>
    <row r="4192" spans="1:2" x14ac:dyDescent="0.25">
      <c r="A4192" s="65">
        <v>4191</v>
      </c>
      <c r="B4192" s="64">
        <v>30112360.064985368</v>
      </c>
    </row>
    <row r="4193" spans="1:2" x14ac:dyDescent="0.25">
      <c r="A4193" s="65">
        <v>4192</v>
      </c>
      <c r="B4193" s="64">
        <v>28724662.414397944</v>
      </c>
    </row>
    <row r="4194" spans="1:2" x14ac:dyDescent="0.25">
      <c r="A4194" s="65">
        <v>4193</v>
      </c>
      <c r="B4194" s="64">
        <v>29079996.812438991</v>
      </c>
    </row>
    <row r="4195" spans="1:2" x14ac:dyDescent="0.25">
      <c r="A4195" s="65">
        <v>4194</v>
      </c>
      <c r="B4195" s="64">
        <v>28766800.985559352</v>
      </c>
    </row>
    <row r="4196" spans="1:2" x14ac:dyDescent="0.25">
      <c r="A4196" s="65">
        <v>4195</v>
      </c>
      <c r="B4196" s="64">
        <v>28983967.366255976</v>
      </c>
    </row>
    <row r="4197" spans="1:2" x14ac:dyDescent="0.25">
      <c r="A4197" s="65">
        <v>4196</v>
      </c>
      <c r="B4197" s="64">
        <v>28608471.04546598</v>
      </c>
    </row>
    <row r="4198" spans="1:2" x14ac:dyDescent="0.25">
      <c r="A4198" s="65">
        <v>4197</v>
      </c>
      <c r="B4198" s="64">
        <v>28656501.213519417</v>
      </c>
    </row>
    <row r="4199" spans="1:2" x14ac:dyDescent="0.25">
      <c r="A4199" s="65">
        <v>4198</v>
      </c>
      <c r="B4199" s="64">
        <v>28535999.442269541</v>
      </c>
    </row>
    <row r="4200" spans="1:2" x14ac:dyDescent="0.25">
      <c r="A4200" s="65">
        <v>4199</v>
      </c>
      <c r="B4200" s="64">
        <v>28748763.5078272</v>
      </c>
    </row>
    <row r="4201" spans="1:2" x14ac:dyDescent="0.25">
      <c r="A4201" s="65">
        <v>4200</v>
      </c>
      <c r="B4201" s="64">
        <v>28885772.628646072</v>
      </c>
    </row>
    <row r="4202" spans="1:2" x14ac:dyDescent="0.25">
      <c r="A4202" s="65">
        <v>4201</v>
      </c>
      <c r="B4202" s="64">
        <v>29209204.122614555</v>
      </c>
    </row>
    <row r="4203" spans="1:2" x14ac:dyDescent="0.25">
      <c r="A4203" s="65">
        <v>4202</v>
      </c>
      <c r="B4203" s="64">
        <v>29190060.731997862</v>
      </c>
    </row>
    <row r="4204" spans="1:2" x14ac:dyDescent="0.25">
      <c r="A4204" s="65">
        <v>4203</v>
      </c>
      <c r="B4204" s="64">
        <v>29307541.283922963</v>
      </c>
    </row>
    <row r="4205" spans="1:2" x14ac:dyDescent="0.25">
      <c r="A4205" s="65">
        <v>4204</v>
      </c>
      <c r="B4205" s="64">
        <v>29047845.631759834</v>
      </c>
    </row>
    <row r="4206" spans="1:2" x14ac:dyDescent="0.25">
      <c r="A4206" s="65">
        <v>4205</v>
      </c>
      <c r="B4206" s="64">
        <v>28844623.350741778</v>
      </c>
    </row>
    <row r="4207" spans="1:2" x14ac:dyDescent="0.25">
      <c r="A4207" s="65">
        <v>4206</v>
      </c>
      <c r="B4207" s="64">
        <v>29121276.178764842</v>
      </c>
    </row>
    <row r="4208" spans="1:2" x14ac:dyDescent="0.25">
      <c r="A4208" s="65">
        <v>4207</v>
      </c>
      <c r="B4208" s="64">
        <v>29347358.579481866</v>
      </c>
    </row>
    <row r="4209" spans="1:2" x14ac:dyDescent="0.25">
      <c r="A4209" s="65">
        <v>4208</v>
      </c>
      <c r="B4209" s="64">
        <v>29132719.068157259</v>
      </c>
    </row>
    <row r="4210" spans="1:2" x14ac:dyDescent="0.25">
      <c r="A4210" s="65">
        <v>4209</v>
      </c>
      <c r="B4210" s="64">
        <v>28615535.783150848</v>
      </c>
    </row>
    <row r="4211" spans="1:2" x14ac:dyDescent="0.25">
      <c r="A4211" s="65">
        <v>4210</v>
      </c>
      <c r="B4211" s="64">
        <v>28610803.023828816</v>
      </c>
    </row>
    <row r="4212" spans="1:2" x14ac:dyDescent="0.25">
      <c r="A4212" s="65">
        <v>4211</v>
      </c>
      <c r="B4212" s="64">
        <v>31118329.730489299</v>
      </c>
    </row>
    <row r="4213" spans="1:2" x14ac:dyDescent="0.25">
      <c r="A4213" s="65">
        <v>4212</v>
      </c>
      <c r="B4213" s="64">
        <v>29698411.935507078</v>
      </c>
    </row>
    <row r="4214" spans="1:2" x14ac:dyDescent="0.25">
      <c r="A4214" s="65">
        <v>4213</v>
      </c>
      <c r="B4214" s="64">
        <v>29494095.549356408</v>
      </c>
    </row>
    <row r="4215" spans="1:2" x14ac:dyDescent="0.25">
      <c r="A4215" s="65">
        <v>4214</v>
      </c>
      <c r="B4215" s="64">
        <v>30139000.449955616</v>
      </c>
    </row>
    <row r="4216" spans="1:2" x14ac:dyDescent="0.25">
      <c r="A4216" s="65">
        <v>4215</v>
      </c>
      <c r="B4216" s="64">
        <v>30452125.469527978</v>
      </c>
    </row>
    <row r="4217" spans="1:2" x14ac:dyDescent="0.25">
      <c r="A4217" s="65">
        <v>4216</v>
      </c>
      <c r="B4217" s="64">
        <v>29151885.166805163</v>
      </c>
    </row>
    <row r="4218" spans="1:2" x14ac:dyDescent="0.25">
      <c r="A4218" s="65">
        <v>4217</v>
      </c>
      <c r="B4218" s="64">
        <v>29691779.938175213</v>
      </c>
    </row>
    <row r="4219" spans="1:2" x14ac:dyDescent="0.25">
      <c r="A4219" s="65">
        <v>4218</v>
      </c>
      <c r="B4219" s="64">
        <v>29352933.944488596</v>
      </c>
    </row>
    <row r="4220" spans="1:2" x14ac:dyDescent="0.25">
      <c r="A4220" s="65">
        <v>4219</v>
      </c>
      <c r="B4220" s="64">
        <v>28996242.334128436</v>
      </c>
    </row>
    <row r="4221" spans="1:2" x14ac:dyDescent="0.25">
      <c r="A4221" s="65">
        <v>4220</v>
      </c>
      <c r="B4221" s="64">
        <v>29400245.320977155</v>
      </c>
    </row>
    <row r="4222" spans="1:2" x14ac:dyDescent="0.25">
      <c r="A4222" s="65">
        <v>4221</v>
      </c>
      <c r="B4222" s="64">
        <v>28615589.632028487</v>
      </c>
    </row>
    <row r="4223" spans="1:2" x14ac:dyDescent="0.25">
      <c r="A4223" s="65">
        <v>4222</v>
      </c>
      <c r="B4223" s="64">
        <v>29126119.310095962</v>
      </c>
    </row>
    <row r="4224" spans="1:2" x14ac:dyDescent="0.25">
      <c r="A4224" s="65">
        <v>4223</v>
      </c>
      <c r="B4224" s="64">
        <v>29245721.681293327</v>
      </c>
    </row>
    <row r="4225" spans="1:2" x14ac:dyDescent="0.25">
      <c r="A4225" s="65">
        <v>4224</v>
      </c>
      <c r="B4225" s="64">
        <v>29633672.506050285</v>
      </c>
    </row>
    <row r="4226" spans="1:2" x14ac:dyDescent="0.25">
      <c r="A4226" s="65">
        <v>4225</v>
      </c>
      <c r="B4226" s="64">
        <v>28888160.09946866</v>
      </c>
    </row>
    <row r="4227" spans="1:2" x14ac:dyDescent="0.25">
      <c r="A4227" s="65">
        <v>4226</v>
      </c>
      <c r="B4227" s="64">
        <v>28645742.9332789</v>
      </c>
    </row>
    <row r="4228" spans="1:2" x14ac:dyDescent="0.25">
      <c r="A4228" s="65">
        <v>4227</v>
      </c>
      <c r="B4228" s="64">
        <v>29032309.10562231</v>
      </c>
    </row>
    <row r="4229" spans="1:2" x14ac:dyDescent="0.25">
      <c r="A4229" s="65">
        <v>4228</v>
      </c>
      <c r="B4229" s="64">
        <v>28673838.643769275</v>
      </c>
    </row>
    <row r="4230" spans="1:2" x14ac:dyDescent="0.25">
      <c r="A4230" s="65">
        <v>4229</v>
      </c>
      <c r="B4230" s="64">
        <v>29463580.258775223</v>
      </c>
    </row>
    <row r="4231" spans="1:2" x14ac:dyDescent="0.25">
      <c r="A4231" s="65">
        <v>4230</v>
      </c>
      <c r="B4231" s="64">
        <v>29885236.884939536</v>
      </c>
    </row>
    <row r="4232" spans="1:2" x14ac:dyDescent="0.25">
      <c r="A4232" s="65">
        <v>4231</v>
      </c>
      <c r="B4232" s="64">
        <v>28832900.011853732</v>
      </c>
    </row>
    <row r="4233" spans="1:2" x14ac:dyDescent="0.25">
      <c r="A4233" s="65">
        <v>4232</v>
      </c>
      <c r="B4233" s="64">
        <v>29918814.956746493</v>
      </c>
    </row>
    <row r="4234" spans="1:2" x14ac:dyDescent="0.25">
      <c r="A4234" s="65">
        <v>4233</v>
      </c>
      <c r="B4234" s="64">
        <v>28662866.133782368</v>
      </c>
    </row>
    <row r="4235" spans="1:2" x14ac:dyDescent="0.25">
      <c r="A4235" s="65">
        <v>4234</v>
      </c>
      <c r="B4235" s="64">
        <v>29137978.229603782</v>
      </c>
    </row>
    <row r="4236" spans="1:2" x14ac:dyDescent="0.25">
      <c r="A4236" s="65">
        <v>4235</v>
      </c>
      <c r="B4236" s="64">
        <v>29886553.626466624</v>
      </c>
    </row>
    <row r="4237" spans="1:2" x14ac:dyDescent="0.25">
      <c r="A4237" s="65">
        <v>4236</v>
      </c>
      <c r="B4237" s="64">
        <v>28973503.047853108</v>
      </c>
    </row>
    <row r="4238" spans="1:2" x14ac:dyDescent="0.25">
      <c r="A4238" s="65">
        <v>4237</v>
      </c>
      <c r="B4238" s="64">
        <v>28599811.964082677</v>
      </c>
    </row>
    <row r="4239" spans="1:2" x14ac:dyDescent="0.25">
      <c r="A4239" s="65">
        <v>4238</v>
      </c>
      <c r="B4239" s="64">
        <v>30094524.43780718</v>
      </c>
    </row>
    <row r="4240" spans="1:2" x14ac:dyDescent="0.25">
      <c r="A4240" s="65">
        <v>4239</v>
      </c>
      <c r="B4240" s="64">
        <v>29204555.192756392</v>
      </c>
    </row>
    <row r="4241" spans="1:2" x14ac:dyDescent="0.25">
      <c r="A4241" s="65">
        <v>4240</v>
      </c>
      <c r="B4241" s="64">
        <v>29009431.881692279</v>
      </c>
    </row>
    <row r="4242" spans="1:2" x14ac:dyDescent="0.25">
      <c r="A4242" s="65">
        <v>4241</v>
      </c>
      <c r="B4242" s="64">
        <v>29241978.687644098</v>
      </c>
    </row>
    <row r="4243" spans="1:2" x14ac:dyDescent="0.25">
      <c r="A4243" s="65">
        <v>4242</v>
      </c>
      <c r="B4243" s="64">
        <v>28873987.687159147</v>
      </c>
    </row>
    <row r="4244" spans="1:2" x14ac:dyDescent="0.25">
      <c r="A4244" s="65">
        <v>4243</v>
      </c>
      <c r="B4244" s="64">
        <v>31076410.997321334</v>
      </c>
    </row>
    <row r="4245" spans="1:2" x14ac:dyDescent="0.25">
      <c r="A4245" s="65">
        <v>4244</v>
      </c>
      <c r="B4245" s="64">
        <v>28827263.506208718</v>
      </c>
    </row>
    <row r="4246" spans="1:2" x14ac:dyDescent="0.25">
      <c r="A4246" s="65">
        <v>4245</v>
      </c>
      <c r="B4246" s="64">
        <v>29450111.437469032</v>
      </c>
    </row>
    <row r="4247" spans="1:2" x14ac:dyDescent="0.25">
      <c r="A4247" s="65">
        <v>4246</v>
      </c>
      <c r="B4247" s="64">
        <v>33385764.029179063</v>
      </c>
    </row>
    <row r="4248" spans="1:2" x14ac:dyDescent="0.25">
      <c r="A4248" s="65">
        <v>4247</v>
      </c>
      <c r="B4248" s="64">
        <v>28701627.641656276</v>
      </c>
    </row>
    <row r="4249" spans="1:2" x14ac:dyDescent="0.25">
      <c r="A4249" s="65">
        <v>4248</v>
      </c>
      <c r="B4249" s="64">
        <v>32597115.392470248</v>
      </c>
    </row>
    <row r="4250" spans="1:2" x14ac:dyDescent="0.25">
      <c r="A4250" s="65">
        <v>4249</v>
      </c>
      <c r="B4250" s="64">
        <v>29166000.774150435</v>
      </c>
    </row>
    <row r="4251" spans="1:2" x14ac:dyDescent="0.25">
      <c r="A4251" s="65">
        <v>4250</v>
      </c>
      <c r="B4251" s="64">
        <v>28690905.813362792</v>
      </c>
    </row>
    <row r="4252" spans="1:2" x14ac:dyDescent="0.25">
      <c r="A4252" s="65">
        <v>4251</v>
      </c>
      <c r="B4252" s="64">
        <v>29568217.296376273</v>
      </c>
    </row>
    <row r="4253" spans="1:2" x14ac:dyDescent="0.25">
      <c r="A4253" s="65">
        <v>4252</v>
      </c>
      <c r="B4253" s="64">
        <v>30004902.760293074</v>
      </c>
    </row>
    <row r="4254" spans="1:2" x14ac:dyDescent="0.25">
      <c r="A4254" s="65">
        <v>4253</v>
      </c>
      <c r="B4254" s="64">
        <v>29803706.807629917</v>
      </c>
    </row>
    <row r="4255" spans="1:2" x14ac:dyDescent="0.25">
      <c r="A4255" s="65">
        <v>4254</v>
      </c>
      <c r="B4255" s="64">
        <v>29137705.74701225</v>
      </c>
    </row>
    <row r="4256" spans="1:2" x14ac:dyDescent="0.25">
      <c r="A4256" s="65">
        <v>4255</v>
      </c>
      <c r="B4256" s="64">
        <v>30040385.202622499</v>
      </c>
    </row>
    <row r="4257" spans="1:2" x14ac:dyDescent="0.25">
      <c r="A4257" s="65">
        <v>4256</v>
      </c>
      <c r="B4257" s="64">
        <v>29673634.426696394</v>
      </c>
    </row>
    <row r="4258" spans="1:2" x14ac:dyDescent="0.25">
      <c r="A4258" s="65">
        <v>4257</v>
      </c>
      <c r="B4258" s="64">
        <v>28537505.827113234</v>
      </c>
    </row>
    <row r="4259" spans="1:2" x14ac:dyDescent="0.25">
      <c r="A4259" s="65">
        <v>4258</v>
      </c>
      <c r="B4259" s="64">
        <v>28766985.437089216</v>
      </c>
    </row>
    <row r="4260" spans="1:2" x14ac:dyDescent="0.25">
      <c r="A4260" s="65">
        <v>4259</v>
      </c>
      <c r="B4260" s="64">
        <v>29149478.17978666</v>
      </c>
    </row>
    <row r="4261" spans="1:2" x14ac:dyDescent="0.25">
      <c r="A4261" s="65">
        <v>4260</v>
      </c>
      <c r="B4261" s="64">
        <v>29599649.400406737</v>
      </c>
    </row>
    <row r="4262" spans="1:2" x14ac:dyDescent="0.25">
      <c r="A4262" s="65">
        <v>4261</v>
      </c>
      <c r="B4262" s="64">
        <v>29143910.383473545</v>
      </c>
    </row>
    <row r="4263" spans="1:2" x14ac:dyDescent="0.25">
      <c r="A4263" s="65">
        <v>4262</v>
      </c>
      <c r="B4263" s="64">
        <v>30617527.063016981</v>
      </c>
    </row>
    <row r="4264" spans="1:2" x14ac:dyDescent="0.25">
      <c r="A4264" s="65">
        <v>4263</v>
      </c>
      <c r="B4264" s="64">
        <v>29207382.109438885</v>
      </c>
    </row>
    <row r="4265" spans="1:2" x14ac:dyDescent="0.25">
      <c r="A4265" s="65">
        <v>4264</v>
      </c>
      <c r="B4265" s="64">
        <v>28559538.167455938</v>
      </c>
    </row>
    <row r="4266" spans="1:2" x14ac:dyDescent="0.25">
      <c r="A4266" s="65">
        <v>4265</v>
      </c>
      <c r="B4266" s="64">
        <v>28690263.696200285</v>
      </c>
    </row>
    <row r="4267" spans="1:2" x14ac:dyDescent="0.25">
      <c r="A4267" s="65">
        <v>4266</v>
      </c>
      <c r="B4267" s="64">
        <v>28707409.858880658</v>
      </c>
    </row>
    <row r="4268" spans="1:2" x14ac:dyDescent="0.25">
      <c r="A4268" s="65">
        <v>4267</v>
      </c>
      <c r="B4268" s="64">
        <v>30069676.038451236</v>
      </c>
    </row>
    <row r="4269" spans="1:2" x14ac:dyDescent="0.25">
      <c r="A4269" s="65">
        <v>4268</v>
      </c>
      <c r="B4269" s="64">
        <v>28632771.198276442</v>
      </c>
    </row>
    <row r="4270" spans="1:2" x14ac:dyDescent="0.25">
      <c r="A4270" s="65">
        <v>4269</v>
      </c>
      <c r="B4270" s="64">
        <v>28626093.014177166</v>
      </c>
    </row>
    <row r="4271" spans="1:2" x14ac:dyDescent="0.25">
      <c r="A4271" s="65">
        <v>4270</v>
      </c>
      <c r="B4271" s="64">
        <v>29095869.17352315</v>
      </c>
    </row>
    <row r="4272" spans="1:2" x14ac:dyDescent="0.25">
      <c r="A4272" s="65">
        <v>4271</v>
      </c>
      <c r="B4272" s="64">
        <v>28805974.899478864</v>
      </c>
    </row>
    <row r="4273" spans="1:2" x14ac:dyDescent="0.25">
      <c r="A4273" s="65">
        <v>4272</v>
      </c>
      <c r="B4273" s="64">
        <v>33085365.00876255</v>
      </c>
    </row>
    <row r="4274" spans="1:2" x14ac:dyDescent="0.25">
      <c r="A4274" s="65">
        <v>4273</v>
      </c>
      <c r="B4274" s="64">
        <v>28727015.25473452</v>
      </c>
    </row>
    <row r="4275" spans="1:2" x14ac:dyDescent="0.25">
      <c r="A4275" s="65">
        <v>4274</v>
      </c>
      <c r="B4275" s="64">
        <v>29306819.69037509</v>
      </c>
    </row>
    <row r="4276" spans="1:2" x14ac:dyDescent="0.25">
      <c r="A4276" s="65">
        <v>4275</v>
      </c>
      <c r="B4276" s="64">
        <v>30211180.626232427</v>
      </c>
    </row>
    <row r="4277" spans="1:2" x14ac:dyDescent="0.25">
      <c r="A4277" s="65">
        <v>4276</v>
      </c>
      <c r="B4277" s="64">
        <v>28682186.210897505</v>
      </c>
    </row>
    <row r="4278" spans="1:2" x14ac:dyDescent="0.25">
      <c r="A4278" s="65">
        <v>4277</v>
      </c>
      <c r="B4278" s="64">
        <v>29320674.781435315</v>
      </c>
    </row>
    <row r="4279" spans="1:2" x14ac:dyDescent="0.25">
      <c r="A4279" s="65">
        <v>4278</v>
      </c>
      <c r="B4279" s="64">
        <v>28632835.488270313</v>
      </c>
    </row>
    <row r="4280" spans="1:2" x14ac:dyDescent="0.25">
      <c r="A4280" s="65">
        <v>4279</v>
      </c>
      <c r="B4280" s="64">
        <v>28917620.288360786</v>
      </c>
    </row>
    <row r="4281" spans="1:2" x14ac:dyDescent="0.25">
      <c r="A4281" s="65">
        <v>4280</v>
      </c>
      <c r="B4281" s="64">
        <v>30362094.147140015</v>
      </c>
    </row>
    <row r="4282" spans="1:2" x14ac:dyDescent="0.25">
      <c r="A4282" s="65">
        <v>4281</v>
      </c>
      <c r="B4282" s="64">
        <v>28849763.582136743</v>
      </c>
    </row>
    <row r="4283" spans="1:2" x14ac:dyDescent="0.25">
      <c r="A4283" s="65">
        <v>4282</v>
      </c>
      <c r="B4283" s="64">
        <v>28599098.137354016</v>
      </c>
    </row>
    <row r="4284" spans="1:2" x14ac:dyDescent="0.25">
      <c r="A4284" s="65">
        <v>4283</v>
      </c>
      <c r="B4284" s="64">
        <v>29195017.336040344</v>
      </c>
    </row>
    <row r="4285" spans="1:2" x14ac:dyDescent="0.25">
      <c r="A4285" s="65">
        <v>4284</v>
      </c>
      <c r="B4285" s="64">
        <v>28956084.587212637</v>
      </c>
    </row>
    <row r="4286" spans="1:2" x14ac:dyDescent="0.25">
      <c r="A4286" s="65">
        <v>4285</v>
      </c>
      <c r="B4286" s="64">
        <v>29296302.589814249</v>
      </c>
    </row>
    <row r="4287" spans="1:2" x14ac:dyDescent="0.25">
      <c r="A4287" s="65">
        <v>4286</v>
      </c>
      <c r="B4287" s="64">
        <v>29386096.654110681</v>
      </c>
    </row>
    <row r="4288" spans="1:2" x14ac:dyDescent="0.25">
      <c r="A4288" s="65">
        <v>4287</v>
      </c>
      <c r="B4288" s="64">
        <v>29629094.843505397</v>
      </c>
    </row>
    <row r="4289" spans="1:2" x14ac:dyDescent="0.25">
      <c r="A4289" s="65">
        <v>4288</v>
      </c>
      <c r="B4289" s="64">
        <v>28894406.213416573</v>
      </c>
    </row>
    <row r="4290" spans="1:2" x14ac:dyDescent="0.25">
      <c r="A4290" s="65">
        <v>4289</v>
      </c>
      <c r="B4290" s="64">
        <v>28492987.754667714</v>
      </c>
    </row>
    <row r="4291" spans="1:2" x14ac:dyDescent="0.25">
      <c r="A4291" s="65">
        <v>4290</v>
      </c>
      <c r="B4291" s="64">
        <v>29677109.683249239</v>
      </c>
    </row>
    <row r="4292" spans="1:2" x14ac:dyDescent="0.25">
      <c r="A4292" s="65">
        <v>4291</v>
      </c>
      <c r="B4292" s="64">
        <v>29196902.397709597</v>
      </c>
    </row>
    <row r="4293" spans="1:2" x14ac:dyDescent="0.25">
      <c r="A4293" s="65">
        <v>4292</v>
      </c>
      <c r="B4293" s="64">
        <v>28823894.262735751</v>
      </c>
    </row>
    <row r="4294" spans="1:2" x14ac:dyDescent="0.25">
      <c r="A4294" s="65">
        <v>4293</v>
      </c>
      <c r="B4294" s="64">
        <v>30283747.140285321</v>
      </c>
    </row>
    <row r="4295" spans="1:2" x14ac:dyDescent="0.25">
      <c r="A4295" s="65">
        <v>4294</v>
      </c>
      <c r="B4295" s="64">
        <v>28892238.999034531</v>
      </c>
    </row>
    <row r="4296" spans="1:2" x14ac:dyDescent="0.25">
      <c r="A4296" s="65">
        <v>4295</v>
      </c>
      <c r="B4296" s="64">
        <v>29444543.879408702</v>
      </c>
    </row>
    <row r="4297" spans="1:2" x14ac:dyDescent="0.25">
      <c r="A4297" s="65">
        <v>4296</v>
      </c>
      <c r="B4297" s="64">
        <v>28737660.557628937</v>
      </c>
    </row>
    <row r="4298" spans="1:2" x14ac:dyDescent="0.25">
      <c r="A4298" s="65">
        <v>4297</v>
      </c>
      <c r="B4298" s="64">
        <v>28727644.50351293</v>
      </c>
    </row>
    <row r="4299" spans="1:2" x14ac:dyDescent="0.25">
      <c r="A4299" s="65">
        <v>4298</v>
      </c>
      <c r="B4299" s="64">
        <v>28563542.231974367</v>
      </c>
    </row>
    <row r="4300" spans="1:2" x14ac:dyDescent="0.25">
      <c r="A4300" s="65">
        <v>4299</v>
      </c>
      <c r="B4300" s="64">
        <v>28960386.768336102</v>
      </c>
    </row>
    <row r="4301" spans="1:2" x14ac:dyDescent="0.25">
      <c r="A4301" s="65">
        <v>4300</v>
      </c>
      <c r="B4301" s="64">
        <v>29029736.032113463</v>
      </c>
    </row>
    <row r="4302" spans="1:2" x14ac:dyDescent="0.25">
      <c r="A4302" s="65">
        <v>4301</v>
      </c>
      <c r="B4302" s="64">
        <v>29137394.734219849</v>
      </c>
    </row>
    <row r="4303" spans="1:2" x14ac:dyDescent="0.25">
      <c r="A4303" s="65">
        <v>4302</v>
      </c>
      <c r="B4303" s="64">
        <v>28510355.637521088</v>
      </c>
    </row>
    <row r="4304" spans="1:2" x14ac:dyDescent="0.25">
      <c r="A4304" s="65">
        <v>4303</v>
      </c>
      <c r="B4304" s="64">
        <v>29540322.970909785</v>
      </c>
    </row>
    <row r="4305" spans="1:2" x14ac:dyDescent="0.25">
      <c r="A4305" s="65">
        <v>4304</v>
      </c>
      <c r="B4305" s="64">
        <v>28755142.86420133</v>
      </c>
    </row>
    <row r="4306" spans="1:2" x14ac:dyDescent="0.25">
      <c r="A4306" s="65">
        <v>4305</v>
      </c>
      <c r="B4306" s="64">
        <v>29092511.947661489</v>
      </c>
    </row>
    <row r="4307" spans="1:2" x14ac:dyDescent="0.25">
      <c r="A4307" s="65">
        <v>4306</v>
      </c>
      <c r="B4307" s="64">
        <v>30663552.146739211</v>
      </c>
    </row>
    <row r="4308" spans="1:2" x14ac:dyDescent="0.25">
      <c r="A4308" s="65">
        <v>4307</v>
      </c>
      <c r="B4308" s="64">
        <v>29057554.41467493</v>
      </c>
    </row>
    <row r="4309" spans="1:2" x14ac:dyDescent="0.25">
      <c r="A4309" s="65">
        <v>4308</v>
      </c>
      <c r="B4309" s="64">
        <v>28568721.758600302</v>
      </c>
    </row>
    <row r="4310" spans="1:2" x14ac:dyDescent="0.25">
      <c r="A4310" s="65">
        <v>4309</v>
      </c>
      <c r="B4310" s="64">
        <v>28627583.854978979</v>
      </c>
    </row>
    <row r="4311" spans="1:2" x14ac:dyDescent="0.25">
      <c r="A4311" s="65">
        <v>4310</v>
      </c>
      <c r="B4311" s="64">
        <v>28769703.238572728</v>
      </c>
    </row>
    <row r="4312" spans="1:2" x14ac:dyDescent="0.25">
      <c r="A4312" s="65">
        <v>4311</v>
      </c>
      <c r="B4312" s="64">
        <v>29757141.206371624</v>
      </c>
    </row>
    <row r="4313" spans="1:2" x14ac:dyDescent="0.25">
      <c r="A4313" s="65">
        <v>4312</v>
      </c>
      <c r="B4313" s="64">
        <v>29271896.928826757</v>
      </c>
    </row>
    <row r="4314" spans="1:2" x14ac:dyDescent="0.25">
      <c r="A4314" s="65">
        <v>4313</v>
      </c>
      <c r="B4314" s="64">
        <v>28772010.338132594</v>
      </c>
    </row>
    <row r="4315" spans="1:2" x14ac:dyDescent="0.25">
      <c r="A4315" s="65">
        <v>4314</v>
      </c>
      <c r="B4315" s="64">
        <v>29176405.922855075</v>
      </c>
    </row>
    <row r="4316" spans="1:2" x14ac:dyDescent="0.25">
      <c r="A4316" s="65">
        <v>4315</v>
      </c>
      <c r="B4316" s="64">
        <v>28645342.371574003</v>
      </c>
    </row>
    <row r="4317" spans="1:2" x14ac:dyDescent="0.25">
      <c r="A4317" s="65">
        <v>4316</v>
      </c>
      <c r="B4317" s="64">
        <v>28824797.63499428</v>
      </c>
    </row>
    <row r="4318" spans="1:2" x14ac:dyDescent="0.25">
      <c r="A4318" s="65">
        <v>4317</v>
      </c>
      <c r="B4318" s="64">
        <v>29423397.138365485</v>
      </c>
    </row>
    <row r="4319" spans="1:2" x14ac:dyDescent="0.25">
      <c r="A4319" s="65">
        <v>4318</v>
      </c>
      <c r="B4319" s="64">
        <v>28731781.602778446</v>
      </c>
    </row>
    <row r="4320" spans="1:2" x14ac:dyDescent="0.25">
      <c r="A4320" s="65">
        <v>4319</v>
      </c>
      <c r="B4320" s="64">
        <v>28884695.655614972</v>
      </c>
    </row>
    <row r="4321" spans="1:2" x14ac:dyDescent="0.25">
      <c r="A4321" s="65">
        <v>4320</v>
      </c>
      <c r="B4321" s="64">
        <v>28793584.262664825</v>
      </c>
    </row>
    <row r="4322" spans="1:2" x14ac:dyDescent="0.25">
      <c r="A4322" s="65">
        <v>4321</v>
      </c>
      <c r="B4322" s="64">
        <v>30341329.016035702</v>
      </c>
    </row>
    <row r="4323" spans="1:2" x14ac:dyDescent="0.25">
      <c r="A4323" s="65">
        <v>4322</v>
      </c>
      <c r="B4323" s="64">
        <v>29652400.787930589</v>
      </c>
    </row>
    <row r="4324" spans="1:2" x14ac:dyDescent="0.25">
      <c r="A4324" s="65">
        <v>4323</v>
      </c>
      <c r="B4324" s="64">
        <v>29498396.991635237</v>
      </c>
    </row>
    <row r="4325" spans="1:2" x14ac:dyDescent="0.25">
      <c r="A4325" s="65">
        <v>4324</v>
      </c>
      <c r="B4325" s="64">
        <v>33137497.519548517</v>
      </c>
    </row>
    <row r="4326" spans="1:2" x14ac:dyDescent="0.25">
      <c r="A4326" s="65">
        <v>4325</v>
      </c>
      <c r="B4326" s="64">
        <v>28506449.270581622</v>
      </c>
    </row>
    <row r="4327" spans="1:2" x14ac:dyDescent="0.25">
      <c r="A4327" s="65">
        <v>4326</v>
      </c>
      <c r="B4327" s="64">
        <v>29525653.13397681</v>
      </c>
    </row>
    <row r="4328" spans="1:2" x14ac:dyDescent="0.25">
      <c r="A4328" s="65">
        <v>4327</v>
      </c>
      <c r="B4328" s="64">
        <v>29247809.834905915</v>
      </c>
    </row>
    <row r="4329" spans="1:2" x14ac:dyDescent="0.25">
      <c r="A4329" s="65">
        <v>4328</v>
      </c>
      <c r="B4329" s="64">
        <v>33699445.604083091</v>
      </c>
    </row>
    <row r="4330" spans="1:2" x14ac:dyDescent="0.25">
      <c r="A4330" s="65">
        <v>4329</v>
      </c>
      <c r="B4330" s="64">
        <v>30909887.916561179</v>
      </c>
    </row>
    <row r="4331" spans="1:2" x14ac:dyDescent="0.25">
      <c r="A4331" s="65">
        <v>4330</v>
      </c>
      <c r="B4331" s="64">
        <v>29888078.532283954</v>
      </c>
    </row>
    <row r="4332" spans="1:2" x14ac:dyDescent="0.25">
      <c r="A4332" s="65">
        <v>4331</v>
      </c>
      <c r="B4332" s="64">
        <v>28659987.524627306</v>
      </c>
    </row>
    <row r="4333" spans="1:2" x14ac:dyDescent="0.25">
      <c r="A4333" s="65">
        <v>4332</v>
      </c>
      <c r="B4333" s="64">
        <v>28911092.662659612</v>
      </c>
    </row>
    <row r="4334" spans="1:2" x14ac:dyDescent="0.25">
      <c r="A4334" s="65">
        <v>4333</v>
      </c>
      <c r="B4334" s="64">
        <v>29942065.842949443</v>
      </c>
    </row>
    <row r="4335" spans="1:2" x14ac:dyDescent="0.25">
      <c r="A4335" s="65">
        <v>4334</v>
      </c>
      <c r="B4335" s="64">
        <v>29337695.812165264</v>
      </c>
    </row>
    <row r="4336" spans="1:2" x14ac:dyDescent="0.25">
      <c r="A4336" s="65">
        <v>4335</v>
      </c>
      <c r="B4336" s="64">
        <v>30493543.505585987</v>
      </c>
    </row>
    <row r="4337" spans="1:2" x14ac:dyDescent="0.25">
      <c r="A4337" s="65">
        <v>4336</v>
      </c>
      <c r="B4337" s="64">
        <v>29891320.689806636</v>
      </c>
    </row>
    <row r="4338" spans="1:2" x14ac:dyDescent="0.25">
      <c r="A4338" s="65">
        <v>4337</v>
      </c>
      <c r="B4338" s="64">
        <v>29117499.172044776</v>
      </c>
    </row>
    <row r="4339" spans="1:2" x14ac:dyDescent="0.25">
      <c r="A4339" s="65">
        <v>4338</v>
      </c>
      <c r="B4339" s="64">
        <v>29576732.015003107</v>
      </c>
    </row>
    <row r="4340" spans="1:2" x14ac:dyDescent="0.25">
      <c r="A4340" s="65">
        <v>4339</v>
      </c>
      <c r="B4340" s="64">
        <v>29335581.638181966</v>
      </c>
    </row>
    <row r="4341" spans="1:2" x14ac:dyDescent="0.25">
      <c r="A4341" s="65">
        <v>4340</v>
      </c>
      <c r="B4341" s="64">
        <v>29197273.711349949</v>
      </c>
    </row>
    <row r="4342" spans="1:2" x14ac:dyDescent="0.25">
      <c r="A4342" s="65">
        <v>4341</v>
      </c>
      <c r="B4342" s="64">
        <v>29577036.287188318</v>
      </c>
    </row>
    <row r="4343" spans="1:2" x14ac:dyDescent="0.25">
      <c r="A4343" s="65">
        <v>4342</v>
      </c>
      <c r="B4343" s="64">
        <v>29621910.699664582</v>
      </c>
    </row>
    <row r="4344" spans="1:2" x14ac:dyDescent="0.25">
      <c r="A4344" s="65">
        <v>4343</v>
      </c>
      <c r="B4344" s="64">
        <v>29472889.582658153</v>
      </c>
    </row>
    <row r="4345" spans="1:2" x14ac:dyDescent="0.25">
      <c r="A4345" s="65">
        <v>4344</v>
      </c>
      <c r="B4345" s="64">
        <v>31265865.290558219</v>
      </c>
    </row>
    <row r="4346" spans="1:2" x14ac:dyDescent="0.25">
      <c r="A4346" s="65">
        <v>4345</v>
      </c>
      <c r="B4346" s="64">
        <v>28877105.214899149</v>
      </c>
    </row>
    <row r="4347" spans="1:2" x14ac:dyDescent="0.25">
      <c r="A4347" s="65">
        <v>4346</v>
      </c>
      <c r="B4347" s="64">
        <v>28453774.353014987</v>
      </c>
    </row>
    <row r="4348" spans="1:2" x14ac:dyDescent="0.25">
      <c r="A4348" s="65">
        <v>4347</v>
      </c>
      <c r="B4348" s="64">
        <v>29695946.569906969</v>
      </c>
    </row>
    <row r="4349" spans="1:2" x14ac:dyDescent="0.25">
      <c r="A4349" s="65">
        <v>4348</v>
      </c>
      <c r="B4349" s="64">
        <v>29376271.005309977</v>
      </c>
    </row>
    <row r="4350" spans="1:2" x14ac:dyDescent="0.25">
      <c r="A4350" s="65">
        <v>4349</v>
      </c>
      <c r="B4350" s="64">
        <v>28975319.460785635</v>
      </c>
    </row>
    <row r="4351" spans="1:2" x14ac:dyDescent="0.25">
      <c r="A4351" s="65">
        <v>4350</v>
      </c>
      <c r="B4351" s="64">
        <v>30664503.938700911</v>
      </c>
    </row>
    <row r="4352" spans="1:2" x14ac:dyDescent="0.25">
      <c r="A4352" s="65">
        <v>4351</v>
      </c>
      <c r="B4352" s="64">
        <v>29176979.159981292</v>
      </c>
    </row>
    <row r="4353" spans="1:2" x14ac:dyDescent="0.25">
      <c r="A4353" s="65">
        <v>4352</v>
      </c>
      <c r="B4353" s="64">
        <v>29043733.481225148</v>
      </c>
    </row>
    <row r="4354" spans="1:2" x14ac:dyDescent="0.25">
      <c r="A4354" s="65">
        <v>4353</v>
      </c>
      <c r="B4354" s="64">
        <v>33149694.264900468</v>
      </c>
    </row>
    <row r="4355" spans="1:2" x14ac:dyDescent="0.25">
      <c r="A4355" s="65">
        <v>4354</v>
      </c>
      <c r="B4355" s="64">
        <v>29317793.933306117</v>
      </c>
    </row>
    <row r="4356" spans="1:2" x14ac:dyDescent="0.25">
      <c r="A4356" s="65">
        <v>4355</v>
      </c>
      <c r="B4356" s="64">
        <v>31321222.03276711</v>
      </c>
    </row>
    <row r="4357" spans="1:2" x14ac:dyDescent="0.25">
      <c r="A4357" s="65">
        <v>4356</v>
      </c>
      <c r="B4357" s="64">
        <v>28810498.69759519</v>
      </c>
    </row>
    <row r="4358" spans="1:2" x14ac:dyDescent="0.25">
      <c r="A4358" s="65">
        <v>4357</v>
      </c>
      <c r="B4358" s="64">
        <v>28969833.645070903</v>
      </c>
    </row>
    <row r="4359" spans="1:2" x14ac:dyDescent="0.25">
      <c r="A4359" s="65">
        <v>4358</v>
      </c>
      <c r="B4359" s="64">
        <v>28661200.678468879</v>
      </c>
    </row>
    <row r="4360" spans="1:2" x14ac:dyDescent="0.25">
      <c r="A4360" s="65">
        <v>4359</v>
      </c>
      <c r="B4360" s="64">
        <v>28490131.86605075</v>
      </c>
    </row>
    <row r="4361" spans="1:2" x14ac:dyDescent="0.25">
      <c r="A4361" s="65">
        <v>4360</v>
      </c>
      <c r="B4361" s="64">
        <v>28940583.444701225</v>
      </c>
    </row>
    <row r="4362" spans="1:2" x14ac:dyDescent="0.25">
      <c r="A4362" s="65">
        <v>4361</v>
      </c>
      <c r="B4362" s="64">
        <v>28723001.189552322</v>
      </c>
    </row>
    <row r="4363" spans="1:2" x14ac:dyDescent="0.25">
      <c r="A4363" s="65">
        <v>4362</v>
      </c>
      <c r="B4363" s="64">
        <v>29329015.693713065</v>
      </c>
    </row>
    <row r="4364" spans="1:2" x14ac:dyDescent="0.25">
      <c r="A4364" s="65">
        <v>4363</v>
      </c>
      <c r="B4364" s="64">
        <v>28841822.613486301</v>
      </c>
    </row>
    <row r="4365" spans="1:2" x14ac:dyDescent="0.25">
      <c r="A4365" s="65">
        <v>4364</v>
      </c>
      <c r="B4365" s="64">
        <v>31185081.008076273</v>
      </c>
    </row>
    <row r="4366" spans="1:2" x14ac:dyDescent="0.25">
      <c r="A4366" s="65">
        <v>4365</v>
      </c>
      <c r="B4366" s="64">
        <v>29724367.89351109</v>
      </c>
    </row>
    <row r="4367" spans="1:2" x14ac:dyDescent="0.25">
      <c r="A4367" s="65">
        <v>4366</v>
      </c>
      <c r="B4367" s="64">
        <v>29947489.701403487</v>
      </c>
    </row>
    <row r="4368" spans="1:2" x14ac:dyDescent="0.25">
      <c r="A4368" s="65">
        <v>4367</v>
      </c>
      <c r="B4368" s="64">
        <v>29928405.957096875</v>
      </c>
    </row>
    <row r="4369" spans="1:2" x14ac:dyDescent="0.25">
      <c r="A4369" s="65">
        <v>4368</v>
      </c>
      <c r="B4369" s="64">
        <v>29321945.280381817</v>
      </c>
    </row>
    <row r="4370" spans="1:2" x14ac:dyDescent="0.25">
      <c r="A4370" s="65">
        <v>4369</v>
      </c>
      <c r="B4370" s="64">
        <v>29711959.821961395</v>
      </c>
    </row>
    <row r="4371" spans="1:2" x14ac:dyDescent="0.25">
      <c r="A4371" s="65">
        <v>4370</v>
      </c>
      <c r="B4371" s="64">
        <v>28782194.407847941</v>
      </c>
    </row>
    <row r="4372" spans="1:2" x14ac:dyDescent="0.25">
      <c r="A4372" s="65">
        <v>4371</v>
      </c>
      <c r="B4372" s="64">
        <v>29106694.036509261</v>
      </c>
    </row>
    <row r="4373" spans="1:2" x14ac:dyDescent="0.25">
      <c r="A4373" s="65">
        <v>4372</v>
      </c>
      <c r="B4373" s="64">
        <v>29272009.226512134</v>
      </c>
    </row>
    <row r="4374" spans="1:2" x14ac:dyDescent="0.25">
      <c r="A4374" s="65">
        <v>4373</v>
      </c>
      <c r="B4374" s="64">
        <v>28784962.249155708</v>
      </c>
    </row>
    <row r="4375" spans="1:2" x14ac:dyDescent="0.25">
      <c r="A4375" s="65">
        <v>4374</v>
      </c>
      <c r="B4375" s="64">
        <v>29293983.924866624</v>
      </c>
    </row>
    <row r="4376" spans="1:2" x14ac:dyDescent="0.25">
      <c r="A4376" s="65">
        <v>4375</v>
      </c>
      <c r="B4376" s="64">
        <v>28772281.218658507</v>
      </c>
    </row>
    <row r="4377" spans="1:2" x14ac:dyDescent="0.25">
      <c r="A4377" s="65">
        <v>4376</v>
      </c>
      <c r="B4377" s="64">
        <v>29072180.81256751</v>
      </c>
    </row>
    <row r="4378" spans="1:2" x14ac:dyDescent="0.25">
      <c r="A4378" s="65">
        <v>4377</v>
      </c>
      <c r="B4378" s="64">
        <v>28974688.583960202</v>
      </c>
    </row>
    <row r="4379" spans="1:2" x14ac:dyDescent="0.25">
      <c r="A4379" s="65">
        <v>4378</v>
      </c>
      <c r="B4379" s="64">
        <v>28886607.976371404</v>
      </c>
    </row>
    <row r="4380" spans="1:2" x14ac:dyDescent="0.25">
      <c r="A4380" s="65">
        <v>4379</v>
      </c>
      <c r="B4380" s="64">
        <v>29346089.651408132</v>
      </c>
    </row>
    <row r="4381" spans="1:2" x14ac:dyDescent="0.25">
      <c r="A4381" s="65">
        <v>4380</v>
      </c>
      <c r="B4381" s="64">
        <v>29572939.138429806</v>
      </c>
    </row>
    <row r="4382" spans="1:2" x14ac:dyDescent="0.25">
      <c r="A4382" s="65">
        <v>4381</v>
      </c>
      <c r="B4382" s="64">
        <v>29504903.822143268</v>
      </c>
    </row>
    <row r="4383" spans="1:2" x14ac:dyDescent="0.25">
      <c r="A4383" s="65">
        <v>4382</v>
      </c>
      <c r="B4383" s="64">
        <v>29783906.130461343</v>
      </c>
    </row>
    <row r="4384" spans="1:2" x14ac:dyDescent="0.25">
      <c r="A4384" s="65">
        <v>4383</v>
      </c>
      <c r="B4384" s="64">
        <v>29319446.764395315</v>
      </c>
    </row>
    <row r="4385" spans="1:2" x14ac:dyDescent="0.25">
      <c r="A4385" s="65">
        <v>4384</v>
      </c>
      <c r="B4385" s="64">
        <v>28629054.430659581</v>
      </c>
    </row>
    <row r="4386" spans="1:2" x14ac:dyDescent="0.25">
      <c r="A4386" s="65">
        <v>4385</v>
      </c>
      <c r="B4386" s="64">
        <v>30886324.418175798</v>
      </c>
    </row>
    <row r="4387" spans="1:2" x14ac:dyDescent="0.25">
      <c r="A4387" s="65">
        <v>4386</v>
      </c>
      <c r="B4387" s="64">
        <v>29572375.928799927</v>
      </c>
    </row>
    <row r="4388" spans="1:2" x14ac:dyDescent="0.25">
      <c r="A4388" s="65">
        <v>4387</v>
      </c>
      <c r="B4388" s="64">
        <v>28546527.448176019</v>
      </c>
    </row>
    <row r="4389" spans="1:2" x14ac:dyDescent="0.25">
      <c r="A4389" s="65">
        <v>4388</v>
      </c>
      <c r="B4389" s="64">
        <v>28835306.162114624</v>
      </c>
    </row>
    <row r="4390" spans="1:2" x14ac:dyDescent="0.25">
      <c r="A4390" s="65">
        <v>4389</v>
      </c>
      <c r="B4390" s="64">
        <v>28615875.844222285</v>
      </c>
    </row>
    <row r="4391" spans="1:2" x14ac:dyDescent="0.25">
      <c r="A4391" s="65">
        <v>4390</v>
      </c>
      <c r="B4391" s="64">
        <v>32253346.515170593</v>
      </c>
    </row>
    <row r="4392" spans="1:2" x14ac:dyDescent="0.25">
      <c r="A4392" s="65">
        <v>4391</v>
      </c>
      <c r="B4392" s="64">
        <v>28986658.4216315</v>
      </c>
    </row>
    <row r="4393" spans="1:2" x14ac:dyDescent="0.25">
      <c r="A4393" s="65">
        <v>4392</v>
      </c>
      <c r="B4393" s="64">
        <v>29455546.338206131</v>
      </c>
    </row>
    <row r="4394" spans="1:2" x14ac:dyDescent="0.25">
      <c r="A4394" s="65">
        <v>4393</v>
      </c>
      <c r="B4394" s="64">
        <v>28781100.583631787</v>
      </c>
    </row>
    <row r="4395" spans="1:2" x14ac:dyDescent="0.25">
      <c r="A4395" s="65">
        <v>4394</v>
      </c>
      <c r="B4395" s="64">
        <v>29814325.85798556</v>
      </c>
    </row>
    <row r="4396" spans="1:2" x14ac:dyDescent="0.25">
      <c r="A4396" s="65">
        <v>4395</v>
      </c>
      <c r="B4396" s="64">
        <v>28473674.112995349</v>
      </c>
    </row>
    <row r="4397" spans="1:2" x14ac:dyDescent="0.25">
      <c r="A4397" s="65">
        <v>4396</v>
      </c>
      <c r="B4397" s="64">
        <v>29188044.825814806</v>
      </c>
    </row>
    <row r="4398" spans="1:2" x14ac:dyDescent="0.25">
      <c r="A4398" s="65">
        <v>4397</v>
      </c>
      <c r="B4398" s="64">
        <v>28993755.608356569</v>
      </c>
    </row>
    <row r="4399" spans="1:2" x14ac:dyDescent="0.25">
      <c r="A4399" s="65">
        <v>4398</v>
      </c>
      <c r="B4399" s="64">
        <v>29026268.512490686</v>
      </c>
    </row>
    <row r="4400" spans="1:2" x14ac:dyDescent="0.25">
      <c r="A4400" s="65">
        <v>4399</v>
      </c>
      <c r="B4400" s="64">
        <v>28992215.084717181</v>
      </c>
    </row>
    <row r="4401" spans="1:2" x14ac:dyDescent="0.25">
      <c r="A4401" s="65">
        <v>4400</v>
      </c>
      <c r="B4401" s="64">
        <v>30597255.679763932</v>
      </c>
    </row>
    <row r="4402" spans="1:2" x14ac:dyDescent="0.25">
      <c r="A4402" s="65">
        <v>4401</v>
      </c>
      <c r="B4402" s="64">
        <v>28553435.908341836</v>
      </c>
    </row>
    <row r="4403" spans="1:2" x14ac:dyDescent="0.25">
      <c r="A4403" s="65">
        <v>4402</v>
      </c>
      <c r="B4403" s="64">
        <v>28487283.128822498</v>
      </c>
    </row>
    <row r="4404" spans="1:2" x14ac:dyDescent="0.25">
      <c r="A4404" s="65">
        <v>4403</v>
      </c>
      <c r="B4404" s="64">
        <v>28577475.577785287</v>
      </c>
    </row>
    <row r="4405" spans="1:2" x14ac:dyDescent="0.25">
      <c r="A4405" s="65">
        <v>4404</v>
      </c>
      <c r="B4405" s="64">
        <v>29728999.088571653</v>
      </c>
    </row>
    <row r="4406" spans="1:2" x14ac:dyDescent="0.25">
      <c r="A4406" s="65">
        <v>4405</v>
      </c>
      <c r="B4406" s="64">
        <v>28746149.156109732</v>
      </c>
    </row>
    <row r="4407" spans="1:2" x14ac:dyDescent="0.25">
      <c r="A4407" s="65">
        <v>4406</v>
      </c>
      <c r="B4407" s="64">
        <v>31105425.9267544</v>
      </c>
    </row>
    <row r="4408" spans="1:2" x14ac:dyDescent="0.25">
      <c r="A4408" s="65">
        <v>4407</v>
      </c>
      <c r="B4408" s="64">
        <v>28868297.224438924</v>
      </c>
    </row>
    <row r="4409" spans="1:2" x14ac:dyDescent="0.25">
      <c r="A4409" s="65">
        <v>4408</v>
      </c>
      <c r="B4409" s="64">
        <v>29021866.353738379</v>
      </c>
    </row>
    <row r="4410" spans="1:2" x14ac:dyDescent="0.25">
      <c r="A4410" s="65">
        <v>4409</v>
      </c>
      <c r="B4410" s="64">
        <v>29073931.339963522</v>
      </c>
    </row>
    <row r="4411" spans="1:2" x14ac:dyDescent="0.25">
      <c r="A4411" s="65">
        <v>4410</v>
      </c>
      <c r="B4411" s="64">
        <v>32814160.663536679</v>
      </c>
    </row>
    <row r="4412" spans="1:2" x14ac:dyDescent="0.25">
      <c r="A4412" s="65">
        <v>4411</v>
      </c>
      <c r="B4412" s="64">
        <v>30047610.839219049</v>
      </c>
    </row>
    <row r="4413" spans="1:2" x14ac:dyDescent="0.25">
      <c r="A4413" s="65">
        <v>4412</v>
      </c>
      <c r="B4413" s="64">
        <v>30246473.297712289</v>
      </c>
    </row>
    <row r="4414" spans="1:2" x14ac:dyDescent="0.25">
      <c r="A4414" s="65">
        <v>4413</v>
      </c>
      <c r="B4414" s="64">
        <v>29283157.849959303</v>
      </c>
    </row>
    <row r="4415" spans="1:2" x14ac:dyDescent="0.25">
      <c r="A4415" s="65">
        <v>4414</v>
      </c>
      <c r="B4415" s="64">
        <v>29322025.723388907</v>
      </c>
    </row>
    <row r="4416" spans="1:2" x14ac:dyDescent="0.25">
      <c r="A4416" s="65">
        <v>4415</v>
      </c>
      <c r="B4416" s="64">
        <v>28786279.9629375</v>
      </c>
    </row>
    <row r="4417" spans="1:2" x14ac:dyDescent="0.25">
      <c r="A4417" s="65">
        <v>4416</v>
      </c>
      <c r="B4417" s="64">
        <v>29049036.696027037</v>
      </c>
    </row>
    <row r="4418" spans="1:2" x14ac:dyDescent="0.25">
      <c r="A4418" s="65">
        <v>4417</v>
      </c>
      <c r="B4418" s="64">
        <v>28813438.666541327</v>
      </c>
    </row>
    <row r="4419" spans="1:2" x14ac:dyDescent="0.25">
      <c r="A4419" s="65">
        <v>4418</v>
      </c>
      <c r="B4419" s="64">
        <v>28754238.119363509</v>
      </c>
    </row>
    <row r="4420" spans="1:2" x14ac:dyDescent="0.25">
      <c r="A4420" s="65">
        <v>4419</v>
      </c>
      <c r="B4420" s="64">
        <v>30103097.471819133</v>
      </c>
    </row>
    <row r="4421" spans="1:2" x14ac:dyDescent="0.25">
      <c r="A4421" s="65">
        <v>4420</v>
      </c>
      <c r="B4421" s="64">
        <v>28824112.793183979</v>
      </c>
    </row>
    <row r="4422" spans="1:2" x14ac:dyDescent="0.25">
      <c r="A4422" s="65">
        <v>4421</v>
      </c>
      <c r="B4422" s="64">
        <v>29626823.636068713</v>
      </c>
    </row>
    <row r="4423" spans="1:2" x14ac:dyDescent="0.25">
      <c r="A4423" s="65">
        <v>4422</v>
      </c>
      <c r="B4423" s="64">
        <v>33195719.454677675</v>
      </c>
    </row>
    <row r="4424" spans="1:2" x14ac:dyDescent="0.25">
      <c r="A4424" s="65">
        <v>4423</v>
      </c>
      <c r="B4424" s="64">
        <v>33424872.398540277</v>
      </c>
    </row>
    <row r="4425" spans="1:2" x14ac:dyDescent="0.25">
      <c r="A4425" s="65">
        <v>4424</v>
      </c>
      <c r="B4425" s="64">
        <v>28609738.567548666</v>
      </c>
    </row>
    <row r="4426" spans="1:2" x14ac:dyDescent="0.25">
      <c r="A4426" s="65">
        <v>4425</v>
      </c>
      <c r="B4426" s="64">
        <v>29171998.706030507</v>
      </c>
    </row>
    <row r="4427" spans="1:2" x14ac:dyDescent="0.25">
      <c r="A4427" s="65">
        <v>4426</v>
      </c>
      <c r="B4427" s="64">
        <v>28816357.268581871</v>
      </c>
    </row>
    <row r="4428" spans="1:2" x14ac:dyDescent="0.25">
      <c r="A4428" s="65">
        <v>4427</v>
      </c>
      <c r="B4428" s="64">
        <v>30875549.882655237</v>
      </c>
    </row>
    <row r="4429" spans="1:2" x14ac:dyDescent="0.25">
      <c r="A4429" s="65">
        <v>4428</v>
      </c>
      <c r="B4429" s="64">
        <v>29093532.747107979</v>
      </c>
    </row>
    <row r="4430" spans="1:2" x14ac:dyDescent="0.25">
      <c r="A4430" s="65">
        <v>4429</v>
      </c>
      <c r="B4430" s="64">
        <v>28895369.26981084</v>
      </c>
    </row>
    <row r="4431" spans="1:2" x14ac:dyDescent="0.25">
      <c r="A4431" s="65">
        <v>4430</v>
      </c>
      <c r="B4431" s="64">
        <v>28820476.629462466</v>
      </c>
    </row>
    <row r="4432" spans="1:2" x14ac:dyDescent="0.25">
      <c r="A4432" s="65">
        <v>4431</v>
      </c>
      <c r="B4432" s="64">
        <v>29505183.21051091</v>
      </c>
    </row>
    <row r="4433" spans="1:2" x14ac:dyDescent="0.25">
      <c r="A4433" s="65">
        <v>4432</v>
      </c>
      <c r="B4433" s="64">
        <v>28847382.946294025</v>
      </c>
    </row>
    <row r="4434" spans="1:2" x14ac:dyDescent="0.25">
      <c r="A4434" s="65">
        <v>4433</v>
      </c>
      <c r="B4434" s="64">
        <v>33258739.507275023</v>
      </c>
    </row>
    <row r="4435" spans="1:2" x14ac:dyDescent="0.25">
      <c r="A4435" s="65">
        <v>4434</v>
      </c>
      <c r="B4435" s="64">
        <v>28765169.418100826</v>
      </c>
    </row>
    <row r="4436" spans="1:2" x14ac:dyDescent="0.25">
      <c r="A4436" s="65">
        <v>4435</v>
      </c>
      <c r="B4436" s="64">
        <v>29508356.040757049</v>
      </c>
    </row>
    <row r="4437" spans="1:2" x14ac:dyDescent="0.25">
      <c r="A4437" s="65">
        <v>4436</v>
      </c>
      <c r="B4437" s="64">
        <v>29405680.302895129</v>
      </c>
    </row>
    <row r="4438" spans="1:2" x14ac:dyDescent="0.25">
      <c r="A4438" s="65">
        <v>4437</v>
      </c>
      <c r="B4438" s="64">
        <v>29121102.495340757</v>
      </c>
    </row>
    <row r="4439" spans="1:2" x14ac:dyDescent="0.25">
      <c r="A4439" s="65">
        <v>4438</v>
      </c>
      <c r="B4439" s="64">
        <v>28607116.90829175</v>
      </c>
    </row>
    <row r="4440" spans="1:2" x14ac:dyDescent="0.25">
      <c r="A4440" s="65">
        <v>4439</v>
      </c>
      <c r="B4440" s="64">
        <v>28483761.965601414</v>
      </c>
    </row>
    <row r="4441" spans="1:2" x14ac:dyDescent="0.25">
      <c r="A4441" s="65">
        <v>4440</v>
      </c>
      <c r="B4441" s="64">
        <v>31399367.534667179</v>
      </c>
    </row>
    <row r="4442" spans="1:2" x14ac:dyDescent="0.25">
      <c r="A4442" s="65">
        <v>4441</v>
      </c>
      <c r="B4442" s="64">
        <v>28534096.411897551</v>
      </c>
    </row>
    <row r="4443" spans="1:2" x14ac:dyDescent="0.25">
      <c r="A4443" s="65">
        <v>4442</v>
      </c>
      <c r="B4443" s="64">
        <v>28881785.807377409</v>
      </c>
    </row>
    <row r="4444" spans="1:2" x14ac:dyDescent="0.25">
      <c r="A4444" s="65">
        <v>4443</v>
      </c>
      <c r="B4444" s="64">
        <v>29258963.973340284</v>
      </c>
    </row>
    <row r="4445" spans="1:2" x14ac:dyDescent="0.25">
      <c r="A4445" s="65">
        <v>4444</v>
      </c>
      <c r="B4445" s="64">
        <v>29531485.481376126</v>
      </c>
    </row>
    <row r="4446" spans="1:2" x14ac:dyDescent="0.25">
      <c r="A4446" s="65">
        <v>4445</v>
      </c>
      <c r="B4446" s="64">
        <v>28986830.891829617</v>
      </c>
    </row>
    <row r="4447" spans="1:2" x14ac:dyDescent="0.25">
      <c r="A4447" s="65">
        <v>4446</v>
      </c>
      <c r="B4447" s="64">
        <v>28748701.273052517</v>
      </c>
    </row>
    <row r="4448" spans="1:2" x14ac:dyDescent="0.25">
      <c r="A4448" s="65">
        <v>4447</v>
      </c>
      <c r="B4448" s="64">
        <v>29786058.043127503</v>
      </c>
    </row>
    <row r="4449" spans="1:2" x14ac:dyDescent="0.25">
      <c r="A4449" s="65">
        <v>4448</v>
      </c>
      <c r="B4449" s="64">
        <v>29042400.180467729</v>
      </c>
    </row>
    <row r="4450" spans="1:2" x14ac:dyDescent="0.25">
      <c r="A4450" s="65">
        <v>4449</v>
      </c>
      <c r="B4450" s="64">
        <v>29384757.212424967</v>
      </c>
    </row>
    <row r="4451" spans="1:2" x14ac:dyDescent="0.25">
      <c r="A4451" s="65">
        <v>4450</v>
      </c>
      <c r="B4451" s="64">
        <v>28733507.68347156</v>
      </c>
    </row>
    <row r="4452" spans="1:2" x14ac:dyDescent="0.25">
      <c r="A4452" s="65">
        <v>4451</v>
      </c>
      <c r="B4452" s="64">
        <v>29176511.75693053</v>
      </c>
    </row>
    <row r="4453" spans="1:2" x14ac:dyDescent="0.25">
      <c r="A4453" s="65">
        <v>4452</v>
      </c>
      <c r="B4453" s="64">
        <v>28801372.207048751</v>
      </c>
    </row>
    <row r="4454" spans="1:2" x14ac:dyDescent="0.25">
      <c r="A4454" s="65">
        <v>4453</v>
      </c>
      <c r="B4454" s="64">
        <v>29364940.715057261</v>
      </c>
    </row>
    <row r="4455" spans="1:2" x14ac:dyDescent="0.25">
      <c r="A4455" s="65">
        <v>4454</v>
      </c>
      <c r="B4455" s="64">
        <v>28863761.693111047</v>
      </c>
    </row>
    <row r="4456" spans="1:2" x14ac:dyDescent="0.25">
      <c r="A4456" s="65">
        <v>4455</v>
      </c>
      <c r="B4456" s="64">
        <v>28710256.965481572</v>
      </c>
    </row>
    <row r="4457" spans="1:2" x14ac:dyDescent="0.25">
      <c r="A4457" s="65">
        <v>4456</v>
      </c>
      <c r="B4457" s="64">
        <v>28795205.519801725</v>
      </c>
    </row>
    <row r="4458" spans="1:2" x14ac:dyDescent="0.25">
      <c r="A4458" s="65">
        <v>4457</v>
      </c>
      <c r="B4458" s="64">
        <v>29156552.531132713</v>
      </c>
    </row>
    <row r="4459" spans="1:2" x14ac:dyDescent="0.25">
      <c r="A4459" s="65">
        <v>4458</v>
      </c>
      <c r="B4459" s="64">
        <v>30024506.458061803</v>
      </c>
    </row>
    <row r="4460" spans="1:2" x14ac:dyDescent="0.25">
      <c r="A4460" s="65">
        <v>4459</v>
      </c>
      <c r="B4460" s="64">
        <v>29113458.203106813</v>
      </c>
    </row>
    <row r="4461" spans="1:2" x14ac:dyDescent="0.25">
      <c r="A4461" s="65">
        <v>4460</v>
      </c>
      <c r="B4461" s="64">
        <v>29338514.996104937</v>
      </c>
    </row>
    <row r="4462" spans="1:2" x14ac:dyDescent="0.25">
      <c r="A4462" s="65">
        <v>4461</v>
      </c>
      <c r="B4462" s="64">
        <v>28421225.846761577</v>
      </c>
    </row>
    <row r="4463" spans="1:2" x14ac:dyDescent="0.25">
      <c r="A4463" s="65">
        <v>4462</v>
      </c>
      <c r="B4463" s="64">
        <v>28579686.506686673</v>
      </c>
    </row>
    <row r="4464" spans="1:2" x14ac:dyDescent="0.25">
      <c r="A4464" s="65">
        <v>4463</v>
      </c>
      <c r="B4464" s="64">
        <v>29459399.902955391</v>
      </c>
    </row>
    <row r="4465" spans="1:2" x14ac:dyDescent="0.25">
      <c r="A4465" s="65">
        <v>4464</v>
      </c>
      <c r="B4465" s="64">
        <v>32900705.749772873</v>
      </c>
    </row>
    <row r="4466" spans="1:2" x14ac:dyDescent="0.25">
      <c r="A4466" s="65">
        <v>4465</v>
      </c>
      <c r="B4466" s="64">
        <v>29205804.826037217</v>
      </c>
    </row>
    <row r="4467" spans="1:2" x14ac:dyDescent="0.25">
      <c r="A4467" s="65">
        <v>4466</v>
      </c>
      <c r="B4467" s="64">
        <v>29254246.328052495</v>
      </c>
    </row>
    <row r="4468" spans="1:2" x14ac:dyDescent="0.25">
      <c r="A4468" s="65">
        <v>4467</v>
      </c>
      <c r="B4468" s="64">
        <v>28624003.322446551</v>
      </c>
    </row>
    <row r="4469" spans="1:2" x14ac:dyDescent="0.25">
      <c r="A4469" s="65">
        <v>4468</v>
      </c>
      <c r="B4469" s="64">
        <v>29128240.714283079</v>
      </c>
    </row>
    <row r="4470" spans="1:2" x14ac:dyDescent="0.25">
      <c r="A4470" s="65">
        <v>4469</v>
      </c>
      <c r="B4470" s="64">
        <v>29052520.54367632</v>
      </c>
    </row>
    <row r="4471" spans="1:2" x14ac:dyDescent="0.25">
      <c r="A4471" s="65">
        <v>4470</v>
      </c>
      <c r="B4471" s="64">
        <v>28911905.124159124</v>
      </c>
    </row>
    <row r="4472" spans="1:2" x14ac:dyDescent="0.25">
      <c r="A4472" s="65">
        <v>4471</v>
      </c>
      <c r="B4472" s="64">
        <v>28726657.510190293</v>
      </c>
    </row>
    <row r="4473" spans="1:2" x14ac:dyDescent="0.25">
      <c r="A4473" s="65">
        <v>4472</v>
      </c>
      <c r="B4473" s="64">
        <v>29197887.407237876</v>
      </c>
    </row>
    <row r="4474" spans="1:2" x14ac:dyDescent="0.25">
      <c r="A4474" s="65">
        <v>4473</v>
      </c>
      <c r="B4474" s="64">
        <v>29855954.262003217</v>
      </c>
    </row>
    <row r="4475" spans="1:2" x14ac:dyDescent="0.25">
      <c r="A4475" s="65">
        <v>4474</v>
      </c>
      <c r="B4475" s="64">
        <v>28956767.65564765</v>
      </c>
    </row>
    <row r="4476" spans="1:2" x14ac:dyDescent="0.25">
      <c r="A4476" s="65">
        <v>4475</v>
      </c>
      <c r="B4476" s="64">
        <v>29266437.071547944</v>
      </c>
    </row>
    <row r="4477" spans="1:2" x14ac:dyDescent="0.25">
      <c r="A4477" s="65">
        <v>4476</v>
      </c>
      <c r="B4477" s="64">
        <v>30191352.171283178</v>
      </c>
    </row>
    <row r="4478" spans="1:2" x14ac:dyDescent="0.25">
      <c r="A4478" s="65">
        <v>4477</v>
      </c>
      <c r="B4478" s="64">
        <v>28645111.348967977</v>
      </c>
    </row>
    <row r="4479" spans="1:2" x14ac:dyDescent="0.25">
      <c r="A4479" s="65">
        <v>4478</v>
      </c>
      <c r="B4479" s="64">
        <v>31149749.207949854</v>
      </c>
    </row>
    <row r="4480" spans="1:2" x14ac:dyDescent="0.25">
      <c r="A4480" s="65">
        <v>4479</v>
      </c>
      <c r="B4480" s="64">
        <v>29104066.629383873</v>
      </c>
    </row>
    <row r="4481" spans="1:2" x14ac:dyDescent="0.25">
      <c r="A4481" s="65">
        <v>4480</v>
      </c>
      <c r="B4481" s="64">
        <v>28808010.167792942</v>
      </c>
    </row>
    <row r="4482" spans="1:2" x14ac:dyDescent="0.25">
      <c r="A4482" s="65">
        <v>4481</v>
      </c>
      <c r="B4482" s="64">
        <v>29933252.332995679</v>
      </c>
    </row>
    <row r="4483" spans="1:2" x14ac:dyDescent="0.25">
      <c r="A4483" s="65">
        <v>4482</v>
      </c>
      <c r="B4483" s="64">
        <v>28979937.858857911</v>
      </c>
    </row>
    <row r="4484" spans="1:2" x14ac:dyDescent="0.25">
      <c r="A4484" s="65">
        <v>4483</v>
      </c>
      <c r="B4484" s="64">
        <v>30181607.740109932</v>
      </c>
    </row>
    <row r="4485" spans="1:2" x14ac:dyDescent="0.25">
      <c r="A4485" s="65">
        <v>4484</v>
      </c>
      <c r="B4485" s="64">
        <v>30135460.468793813</v>
      </c>
    </row>
    <row r="4486" spans="1:2" x14ac:dyDescent="0.25">
      <c r="A4486" s="65">
        <v>4485</v>
      </c>
      <c r="B4486" s="64">
        <v>29191785.68962444</v>
      </c>
    </row>
    <row r="4487" spans="1:2" x14ac:dyDescent="0.25">
      <c r="A4487" s="65">
        <v>4486</v>
      </c>
      <c r="B4487" s="64">
        <v>28642140.339562345</v>
      </c>
    </row>
    <row r="4488" spans="1:2" x14ac:dyDescent="0.25">
      <c r="A4488" s="65">
        <v>4487</v>
      </c>
      <c r="B4488" s="64">
        <v>33227584.865053866</v>
      </c>
    </row>
    <row r="4489" spans="1:2" x14ac:dyDescent="0.25">
      <c r="A4489" s="65">
        <v>4488</v>
      </c>
      <c r="B4489" s="64">
        <v>28746565.906636588</v>
      </c>
    </row>
    <row r="4490" spans="1:2" x14ac:dyDescent="0.25">
      <c r="A4490" s="65">
        <v>4489</v>
      </c>
      <c r="B4490" s="64">
        <v>30281316.638179213</v>
      </c>
    </row>
    <row r="4491" spans="1:2" x14ac:dyDescent="0.25">
      <c r="A4491" s="65">
        <v>4490</v>
      </c>
      <c r="B4491" s="64">
        <v>29613551.590572841</v>
      </c>
    </row>
    <row r="4492" spans="1:2" x14ac:dyDescent="0.25">
      <c r="A4492" s="65">
        <v>4491</v>
      </c>
      <c r="B4492" s="64">
        <v>29650711.453227431</v>
      </c>
    </row>
    <row r="4493" spans="1:2" x14ac:dyDescent="0.25">
      <c r="A4493" s="65">
        <v>4492</v>
      </c>
      <c r="B4493" s="64">
        <v>29274196.416932154</v>
      </c>
    </row>
    <row r="4494" spans="1:2" x14ac:dyDescent="0.25">
      <c r="A4494" s="65">
        <v>4493</v>
      </c>
      <c r="B4494" s="64">
        <v>29449800.962488946</v>
      </c>
    </row>
    <row r="4495" spans="1:2" x14ac:dyDescent="0.25">
      <c r="A4495" s="65">
        <v>4494</v>
      </c>
      <c r="B4495" s="64">
        <v>28525273.337886684</v>
      </c>
    </row>
    <row r="4496" spans="1:2" x14ac:dyDescent="0.25">
      <c r="A4496" s="65">
        <v>4495</v>
      </c>
      <c r="B4496" s="64">
        <v>28929209.980595477</v>
      </c>
    </row>
    <row r="4497" spans="1:2" x14ac:dyDescent="0.25">
      <c r="A4497" s="65">
        <v>4496</v>
      </c>
      <c r="B4497" s="64">
        <v>29948597.737742726</v>
      </c>
    </row>
    <row r="4498" spans="1:2" x14ac:dyDescent="0.25">
      <c r="A4498" s="65">
        <v>4497</v>
      </c>
      <c r="B4498" s="64">
        <v>29009350.417962916</v>
      </c>
    </row>
    <row r="4499" spans="1:2" x14ac:dyDescent="0.25">
      <c r="A4499" s="65">
        <v>4498</v>
      </c>
      <c r="B4499" s="64">
        <v>29304137.815605309</v>
      </c>
    </row>
    <row r="4500" spans="1:2" x14ac:dyDescent="0.25">
      <c r="A4500" s="65">
        <v>4499</v>
      </c>
      <c r="B4500" s="64">
        <v>30789939.4782749</v>
      </c>
    </row>
    <row r="4501" spans="1:2" x14ac:dyDescent="0.25">
      <c r="A4501" s="65">
        <v>4500</v>
      </c>
      <c r="B4501" s="64">
        <v>28908343.264326073</v>
      </c>
    </row>
    <row r="4502" spans="1:2" x14ac:dyDescent="0.25">
      <c r="A4502" s="65">
        <v>4501</v>
      </c>
      <c r="B4502" s="64">
        <v>28794846.825078186</v>
      </c>
    </row>
    <row r="4503" spans="1:2" x14ac:dyDescent="0.25">
      <c r="A4503" s="65">
        <v>4502</v>
      </c>
      <c r="B4503" s="64">
        <v>31036791.003803398</v>
      </c>
    </row>
    <row r="4504" spans="1:2" x14ac:dyDescent="0.25">
      <c r="A4504" s="65">
        <v>4503</v>
      </c>
      <c r="B4504" s="64">
        <v>29030440.753991492</v>
      </c>
    </row>
    <row r="4505" spans="1:2" x14ac:dyDescent="0.25">
      <c r="A4505" s="65">
        <v>4504</v>
      </c>
      <c r="B4505" s="64">
        <v>30197021.716090079</v>
      </c>
    </row>
    <row r="4506" spans="1:2" x14ac:dyDescent="0.25">
      <c r="A4506" s="65">
        <v>4505</v>
      </c>
      <c r="B4506" s="64">
        <v>30254705.983117346</v>
      </c>
    </row>
    <row r="4507" spans="1:2" x14ac:dyDescent="0.25">
      <c r="A4507" s="65">
        <v>4506</v>
      </c>
      <c r="B4507" s="64">
        <v>29248064.648595266</v>
      </c>
    </row>
    <row r="4508" spans="1:2" x14ac:dyDescent="0.25">
      <c r="A4508" s="65">
        <v>4507</v>
      </c>
      <c r="B4508" s="64">
        <v>29450946.448683389</v>
      </c>
    </row>
    <row r="4509" spans="1:2" x14ac:dyDescent="0.25">
      <c r="A4509" s="65">
        <v>4508</v>
      </c>
      <c r="B4509" s="64">
        <v>29128195.793819949</v>
      </c>
    </row>
    <row r="4510" spans="1:2" x14ac:dyDescent="0.25">
      <c r="A4510" s="65">
        <v>4509</v>
      </c>
      <c r="B4510" s="64">
        <v>28979645.796505563</v>
      </c>
    </row>
    <row r="4511" spans="1:2" x14ac:dyDescent="0.25">
      <c r="A4511" s="65">
        <v>4510</v>
      </c>
      <c r="B4511" s="64">
        <v>28723556.972158041</v>
      </c>
    </row>
    <row r="4512" spans="1:2" x14ac:dyDescent="0.25">
      <c r="A4512" s="65">
        <v>4511</v>
      </c>
      <c r="B4512" s="64">
        <v>28337426.12623309</v>
      </c>
    </row>
    <row r="4513" spans="1:2" x14ac:dyDescent="0.25">
      <c r="A4513" s="65">
        <v>4512</v>
      </c>
      <c r="B4513" s="64">
        <v>28873232.368602965</v>
      </c>
    </row>
    <row r="4514" spans="1:2" x14ac:dyDescent="0.25">
      <c r="A4514" s="65">
        <v>4513</v>
      </c>
      <c r="B4514" s="64">
        <v>30098016.604294233</v>
      </c>
    </row>
    <row r="4515" spans="1:2" x14ac:dyDescent="0.25">
      <c r="A4515" s="65">
        <v>4514</v>
      </c>
      <c r="B4515" s="64">
        <v>28787763.407766409</v>
      </c>
    </row>
    <row r="4516" spans="1:2" x14ac:dyDescent="0.25">
      <c r="A4516" s="65">
        <v>4515</v>
      </c>
      <c r="B4516" s="64">
        <v>29165696.74273378</v>
      </c>
    </row>
    <row r="4517" spans="1:2" x14ac:dyDescent="0.25">
      <c r="A4517" s="65">
        <v>4516</v>
      </c>
      <c r="B4517" s="64">
        <v>29129713.378669277</v>
      </c>
    </row>
    <row r="4518" spans="1:2" x14ac:dyDescent="0.25">
      <c r="A4518" s="65">
        <v>4517</v>
      </c>
      <c r="B4518" s="64">
        <v>30332194.745313801</v>
      </c>
    </row>
    <row r="4519" spans="1:2" x14ac:dyDescent="0.25">
      <c r="A4519" s="65">
        <v>4518</v>
      </c>
      <c r="B4519" s="64">
        <v>28636100.814781863</v>
      </c>
    </row>
    <row r="4520" spans="1:2" x14ac:dyDescent="0.25">
      <c r="A4520" s="65">
        <v>4519</v>
      </c>
      <c r="B4520" s="64">
        <v>33738965.927015498</v>
      </c>
    </row>
    <row r="4521" spans="1:2" x14ac:dyDescent="0.25">
      <c r="A4521" s="65">
        <v>4520</v>
      </c>
      <c r="B4521" s="64">
        <v>32965841.144449845</v>
      </c>
    </row>
    <row r="4522" spans="1:2" x14ac:dyDescent="0.25">
      <c r="A4522" s="65">
        <v>4521</v>
      </c>
      <c r="B4522" s="64">
        <v>33999438.9293136</v>
      </c>
    </row>
    <row r="4523" spans="1:2" x14ac:dyDescent="0.25">
      <c r="A4523" s="65">
        <v>4522</v>
      </c>
      <c r="B4523" s="64">
        <v>29376250.035185743</v>
      </c>
    </row>
    <row r="4524" spans="1:2" x14ac:dyDescent="0.25">
      <c r="A4524" s="65">
        <v>4523</v>
      </c>
      <c r="B4524" s="64">
        <v>30268113.724089835</v>
      </c>
    </row>
    <row r="4525" spans="1:2" x14ac:dyDescent="0.25">
      <c r="A4525" s="65">
        <v>4524</v>
      </c>
      <c r="B4525" s="64">
        <v>28818128.811765905</v>
      </c>
    </row>
    <row r="4526" spans="1:2" x14ac:dyDescent="0.25">
      <c r="A4526" s="65">
        <v>4525</v>
      </c>
      <c r="B4526" s="64">
        <v>28766510.886670001</v>
      </c>
    </row>
    <row r="4527" spans="1:2" x14ac:dyDescent="0.25">
      <c r="A4527" s="65">
        <v>4526</v>
      </c>
      <c r="B4527" s="64">
        <v>28768095.951450542</v>
      </c>
    </row>
    <row r="4528" spans="1:2" x14ac:dyDescent="0.25">
      <c r="A4528" s="65">
        <v>4527</v>
      </c>
      <c r="B4528" s="64">
        <v>29431093.074385282</v>
      </c>
    </row>
    <row r="4529" spans="1:2" x14ac:dyDescent="0.25">
      <c r="A4529" s="65">
        <v>4528</v>
      </c>
      <c r="B4529" s="64">
        <v>29389341.173373967</v>
      </c>
    </row>
    <row r="4530" spans="1:2" x14ac:dyDescent="0.25">
      <c r="A4530" s="65">
        <v>4529</v>
      </c>
      <c r="B4530" s="64">
        <v>28581009.870097823</v>
      </c>
    </row>
    <row r="4531" spans="1:2" x14ac:dyDescent="0.25">
      <c r="A4531" s="65">
        <v>4530</v>
      </c>
      <c r="B4531" s="64">
        <v>29229314.958497874</v>
      </c>
    </row>
    <row r="4532" spans="1:2" x14ac:dyDescent="0.25">
      <c r="A4532" s="65">
        <v>4531</v>
      </c>
      <c r="B4532" s="64">
        <v>34538746.215891793</v>
      </c>
    </row>
    <row r="4533" spans="1:2" x14ac:dyDescent="0.25">
      <c r="A4533" s="65">
        <v>4532</v>
      </c>
      <c r="B4533" s="64">
        <v>29084940.397104904</v>
      </c>
    </row>
    <row r="4534" spans="1:2" x14ac:dyDescent="0.25">
      <c r="A4534" s="65">
        <v>4533</v>
      </c>
      <c r="B4534" s="64">
        <v>29694174.118841015</v>
      </c>
    </row>
    <row r="4535" spans="1:2" x14ac:dyDescent="0.25">
      <c r="A4535" s="65">
        <v>4534</v>
      </c>
      <c r="B4535" s="64">
        <v>28524863.333488837</v>
      </c>
    </row>
    <row r="4536" spans="1:2" x14ac:dyDescent="0.25">
      <c r="A4536" s="65">
        <v>4535</v>
      </c>
      <c r="B4536" s="64">
        <v>30564185.722656135</v>
      </c>
    </row>
    <row r="4537" spans="1:2" x14ac:dyDescent="0.25">
      <c r="A4537" s="65">
        <v>4536</v>
      </c>
      <c r="B4537" s="64">
        <v>29835943.784670789</v>
      </c>
    </row>
    <row r="4538" spans="1:2" x14ac:dyDescent="0.25">
      <c r="A4538" s="65">
        <v>4537</v>
      </c>
      <c r="B4538" s="64">
        <v>28945298.087202348</v>
      </c>
    </row>
    <row r="4539" spans="1:2" x14ac:dyDescent="0.25">
      <c r="A4539" s="65">
        <v>4538</v>
      </c>
      <c r="B4539" s="64">
        <v>28753687.424034186</v>
      </c>
    </row>
    <row r="4540" spans="1:2" x14ac:dyDescent="0.25">
      <c r="A4540" s="65">
        <v>4539</v>
      </c>
      <c r="B4540" s="64">
        <v>29351554.995000027</v>
      </c>
    </row>
    <row r="4541" spans="1:2" x14ac:dyDescent="0.25">
      <c r="A4541" s="65">
        <v>4540</v>
      </c>
      <c r="B4541" s="64">
        <v>30170505.817214157</v>
      </c>
    </row>
    <row r="4542" spans="1:2" x14ac:dyDescent="0.25">
      <c r="A4542" s="65">
        <v>4541</v>
      </c>
      <c r="B4542" s="64">
        <v>29306691.707369052</v>
      </c>
    </row>
    <row r="4543" spans="1:2" x14ac:dyDescent="0.25">
      <c r="A4543" s="65">
        <v>4542</v>
      </c>
      <c r="B4543" s="64">
        <v>28767192.351068687</v>
      </c>
    </row>
    <row r="4544" spans="1:2" x14ac:dyDescent="0.25">
      <c r="A4544" s="65">
        <v>4543</v>
      </c>
      <c r="B4544" s="64">
        <v>28773047.637663666</v>
      </c>
    </row>
    <row r="4545" spans="1:2" x14ac:dyDescent="0.25">
      <c r="A4545" s="65">
        <v>4544</v>
      </c>
      <c r="B4545" s="64">
        <v>29238610.744681492</v>
      </c>
    </row>
    <row r="4546" spans="1:2" x14ac:dyDescent="0.25">
      <c r="A4546" s="65">
        <v>4545</v>
      </c>
      <c r="B4546" s="64">
        <v>29023356.976605542</v>
      </c>
    </row>
    <row r="4547" spans="1:2" x14ac:dyDescent="0.25">
      <c r="A4547" s="65">
        <v>4546</v>
      </c>
      <c r="B4547" s="64">
        <v>32867467.229688097</v>
      </c>
    </row>
    <row r="4548" spans="1:2" x14ac:dyDescent="0.25">
      <c r="A4548" s="65">
        <v>4547</v>
      </c>
      <c r="B4548" s="64">
        <v>29169140.699953668</v>
      </c>
    </row>
    <row r="4549" spans="1:2" x14ac:dyDescent="0.25">
      <c r="A4549" s="65">
        <v>4548</v>
      </c>
      <c r="B4549" s="64">
        <v>29199281.147030059</v>
      </c>
    </row>
    <row r="4550" spans="1:2" x14ac:dyDescent="0.25">
      <c r="A4550" s="65">
        <v>4549</v>
      </c>
      <c r="B4550" s="64">
        <v>28683503.556334719</v>
      </c>
    </row>
    <row r="4551" spans="1:2" x14ac:dyDescent="0.25">
      <c r="A4551" s="65">
        <v>4550</v>
      </c>
      <c r="B4551" s="64">
        <v>30000014.832538091</v>
      </c>
    </row>
    <row r="4552" spans="1:2" x14ac:dyDescent="0.25">
      <c r="A4552" s="65">
        <v>4551</v>
      </c>
      <c r="B4552" s="64">
        <v>29056742.941826623</v>
      </c>
    </row>
    <row r="4553" spans="1:2" x14ac:dyDescent="0.25">
      <c r="A4553" s="65">
        <v>4552</v>
      </c>
      <c r="B4553" s="64">
        <v>28661252.549321655</v>
      </c>
    </row>
    <row r="4554" spans="1:2" x14ac:dyDescent="0.25">
      <c r="A4554" s="65">
        <v>4553</v>
      </c>
      <c r="B4554" s="64">
        <v>28811101.188421465</v>
      </c>
    </row>
    <row r="4555" spans="1:2" x14ac:dyDescent="0.25">
      <c r="A4555" s="65">
        <v>4554</v>
      </c>
      <c r="B4555" s="64">
        <v>28730705.278499108</v>
      </c>
    </row>
    <row r="4556" spans="1:2" x14ac:dyDescent="0.25">
      <c r="A4556" s="65">
        <v>4555</v>
      </c>
      <c r="B4556" s="64">
        <v>28788962.08568443</v>
      </c>
    </row>
    <row r="4557" spans="1:2" x14ac:dyDescent="0.25">
      <c r="A4557" s="65">
        <v>4556</v>
      </c>
      <c r="B4557" s="64">
        <v>28708150.365662083</v>
      </c>
    </row>
    <row r="4558" spans="1:2" x14ac:dyDescent="0.25">
      <c r="A4558" s="65">
        <v>4557</v>
      </c>
      <c r="B4558" s="64">
        <v>33704542.660405226</v>
      </c>
    </row>
    <row r="4559" spans="1:2" x14ac:dyDescent="0.25">
      <c r="A4559" s="65">
        <v>4558</v>
      </c>
      <c r="B4559" s="64">
        <v>29588328.169741843</v>
      </c>
    </row>
    <row r="4560" spans="1:2" x14ac:dyDescent="0.25">
      <c r="A4560" s="65">
        <v>4559</v>
      </c>
      <c r="B4560" s="64">
        <v>29384060.396310613</v>
      </c>
    </row>
    <row r="4561" spans="1:2" x14ac:dyDescent="0.25">
      <c r="A4561" s="65">
        <v>4560</v>
      </c>
      <c r="B4561" s="64">
        <v>29096206.256818533</v>
      </c>
    </row>
    <row r="4562" spans="1:2" x14ac:dyDescent="0.25">
      <c r="A4562" s="65">
        <v>4561</v>
      </c>
      <c r="B4562" s="64">
        <v>29015127.631793309</v>
      </c>
    </row>
    <row r="4563" spans="1:2" x14ac:dyDescent="0.25">
      <c r="A4563" s="65">
        <v>4562</v>
      </c>
      <c r="B4563" s="64">
        <v>29546338.06462732</v>
      </c>
    </row>
    <row r="4564" spans="1:2" x14ac:dyDescent="0.25">
      <c r="A4564" s="65">
        <v>4563</v>
      </c>
      <c r="B4564" s="64">
        <v>29633374.478930417</v>
      </c>
    </row>
    <row r="4565" spans="1:2" x14ac:dyDescent="0.25">
      <c r="A4565" s="65">
        <v>4564</v>
      </c>
      <c r="B4565" s="64">
        <v>29937297.354562845</v>
      </c>
    </row>
    <row r="4566" spans="1:2" x14ac:dyDescent="0.25">
      <c r="A4566" s="65">
        <v>4565</v>
      </c>
      <c r="B4566" s="64">
        <v>30028191.632030755</v>
      </c>
    </row>
    <row r="4567" spans="1:2" x14ac:dyDescent="0.25">
      <c r="A4567" s="65">
        <v>4566</v>
      </c>
      <c r="B4567" s="64">
        <v>29068532.677158151</v>
      </c>
    </row>
    <row r="4568" spans="1:2" x14ac:dyDescent="0.25">
      <c r="A4568" s="65">
        <v>4567</v>
      </c>
      <c r="B4568" s="64">
        <v>29853904.160813268</v>
      </c>
    </row>
    <row r="4569" spans="1:2" x14ac:dyDescent="0.25">
      <c r="A4569" s="65">
        <v>4568</v>
      </c>
      <c r="B4569" s="64">
        <v>28571149.415502202</v>
      </c>
    </row>
    <row r="4570" spans="1:2" x14ac:dyDescent="0.25">
      <c r="A4570" s="65">
        <v>4569</v>
      </c>
      <c r="B4570" s="64">
        <v>29615470.861625023</v>
      </c>
    </row>
    <row r="4571" spans="1:2" x14ac:dyDescent="0.25">
      <c r="A4571" s="65">
        <v>4570</v>
      </c>
      <c r="B4571" s="64">
        <v>28656627.077385042</v>
      </c>
    </row>
    <row r="4572" spans="1:2" x14ac:dyDescent="0.25">
      <c r="A4572" s="65">
        <v>4571</v>
      </c>
      <c r="B4572" s="64">
        <v>30316272.131464586</v>
      </c>
    </row>
    <row r="4573" spans="1:2" x14ac:dyDescent="0.25">
      <c r="A4573" s="65">
        <v>4572</v>
      </c>
      <c r="B4573" s="64">
        <v>30566635.004725937</v>
      </c>
    </row>
    <row r="4574" spans="1:2" x14ac:dyDescent="0.25">
      <c r="A4574" s="65">
        <v>4573</v>
      </c>
      <c r="B4574" s="64">
        <v>28612266.97395895</v>
      </c>
    </row>
    <row r="4575" spans="1:2" x14ac:dyDescent="0.25">
      <c r="A4575" s="65">
        <v>4574</v>
      </c>
      <c r="B4575" s="64">
        <v>29341815.833357397</v>
      </c>
    </row>
    <row r="4576" spans="1:2" x14ac:dyDescent="0.25">
      <c r="A4576" s="65">
        <v>4575</v>
      </c>
      <c r="B4576" s="64">
        <v>28959158.064857982</v>
      </c>
    </row>
    <row r="4577" spans="1:2" x14ac:dyDescent="0.25">
      <c r="A4577" s="65">
        <v>4576</v>
      </c>
      <c r="B4577" s="64">
        <v>29108488.822263721</v>
      </c>
    </row>
    <row r="4578" spans="1:2" x14ac:dyDescent="0.25">
      <c r="A4578" s="65">
        <v>4577</v>
      </c>
      <c r="B4578" s="64">
        <v>33029460.21861209</v>
      </c>
    </row>
    <row r="4579" spans="1:2" x14ac:dyDescent="0.25">
      <c r="A4579" s="65">
        <v>4578</v>
      </c>
      <c r="B4579" s="64">
        <v>28890284.561217867</v>
      </c>
    </row>
    <row r="4580" spans="1:2" x14ac:dyDescent="0.25">
      <c r="A4580" s="65">
        <v>4579</v>
      </c>
      <c r="B4580" s="64">
        <v>29041288.91669054</v>
      </c>
    </row>
    <row r="4581" spans="1:2" x14ac:dyDescent="0.25">
      <c r="A4581" s="65">
        <v>4580</v>
      </c>
      <c r="B4581" s="64">
        <v>29376887.966707591</v>
      </c>
    </row>
    <row r="4582" spans="1:2" x14ac:dyDescent="0.25">
      <c r="A4582" s="65">
        <v>4581</v>
      </c>
      <c r="B4582" s="64">
        <v>28927656.869146418</v>
      </c>
    </row>
    <row r="4583" spans="1:2" x14ac:dyDescent="0.25">
      <c r="A4583" s="65">
        <v>4582</v>
      </c>
      <c r="B4583" s="64">
        <v>29042262.11468849</v>
      </c>
    </row>
    <row r="4584" spans="1:2" x14ac:dyDescent="0.25">
      <c r="A4584" s="65">
        <v>4583</v>
      </c>
      <c r="B4584" s="64">
        <v>29007207.520476703</v>
      </c>
    </row>
    <row r="4585" spans="1:2" x14ac:dyDescent="0.25">
      <c r="A4585" s="65">
        <v>4584</v>
      </c>
      <c r="B4585" s="64">
        <v>29218475.302215524</v>
      </c>
    </row>
    <row r="4586" spans="1:2" x14ac:dyDescent="0.25">
      <c r="A4586" s="65">
        <v>4585</v>
      </c>
      <c r="B4586" s="64">
        <v>29300758.050297409</v>
      </c>
    </row>
    <row r="4587" spans="1:2" x14ac:dyDescent="0.25">
      <c r="A4587" s="65">
        <v>4586</v>
      </c>
      <c r="B4587" s="64">
        <v>28515126.942029331</v>
      </c>
    </row>
    <row r="4588" spans="1:2" x14ac:dyDescent="0.25">
      <c r="A4588" s="65">
        <v>4587</v>
      </c>
      <c r="B4588" s="64">
        <v>29162387.268730629</v>
      </c>
    </row>
    <row r="4589" spans="1:2" x14ac:dyDescent="0.25">
      <c r="A4589" s="65">
        <v>4588</v>
      </c>
      <c r="B4589" s="64">
        <v>33028831.170840882</v>
      </c>
    </row>
    <row r="4590" spans="1:2" x14ac:dyDescent="0.25">
      <c r="A4590" s="65">
        <v>4589</v>
      </c>
      <c r="B4590" s="64">
        <v>28498740.642442744</v>
      </c>
    </row>
    <row r="4591" spans="1:2" x14ac:dyDescent="0.25">
      <c r="A4591" s="65">
        <v>4590</v>
      </c>
      <c r="B4591" s="64">
        <v>29067284.502904259</v>
      </c>
    </row>
    <row r="4592" spans="1:2" x14ac:dyDescent="0.25">
      <c r="A4592" s="65">
        <v>4591</v>
      </c>
      <c r="B4592" s="64">
        <v>28903325.03952498</v>
      </c>
    </row>
    <row r="4593" spans="1:2" x14ac:dyDescent="0.25">
      <c r="A4593" s="65">
        <v>4592</v>
      </c>
      <c r="B4593" s="64">
        <v>28739686.959072866</v>
      </c>
    </row>
    <row r="4594" spans="1:2" x14ac:dyDescent="0.25">
      <c r="A4594" s="65">
        <v>4593</v>
      </c>
      <c r="B4594" s="64">
        <v>28950189.419032976</v>
      </c>
    </row>
    <row r="4595" spans="1:2" x14ac:dyDescent="0.25">
      <c r="A4595" s="65">
        <v>4594</v>
      </c>
      <c r="B4595" s="64">
        <v>28688743.804287236</v>
      </c>
    </row>
    <row r="4596" spans="1:2" x14ac:dyDescent="0.25">
      <c r="A4596" s="65">
        <v>4595</v>
      </c>
      <c r="B4596" s="64">
        <v>29234732.96696822</v>
      </c>
    </row>
    <row r="4597" spans="1:2" x14ac:dyDescent="0.25">
      <c r="A4597" s="65">
        <v>4596</v>
      </c>
      <c r="B4597" s="64">
        <v>29039843.442119963</v>
      </c>
    </row>
    <row r="4598" spans="1:2" x14ac:dyDescent="0.25">
      <c r="A4598" s="65">
        <v>4597</v>
      </c>
      <c r="B4598" s="64">
        <v>29293463.542689577</v>
      </c>
    </row>
    <row r="4599" spans="1:2" x14ac:dyDescent="0.25">
      <c r="A4599" s="65">
        <v>4598</v>
      </c>
      <c r="B4599" s="64">
        <v>28730900.59763914</v>
      </c>
    </row>
    <row r="4600" spans="1:2" x14ac:dyDescent="0.25">
      <c r="A4600" s="65">
        <v>4599</v>
      </c>
      <c r="B4600" s="64">
        <v>29444099.89233128</v>
      </c>
    </row>
    <row r="4601" spans="1:2" x14ac:dyDescent="0.25">
      <c r="A4601" s="65">
        <v>4600</v>
      </c>
      <c r="B4601" s="64">
        <v>28630906.289997842</v>
      </c>
    </row>
    <row r="4602" spans="1:2" x14ac:dyDescent="0.25">
      <c r="A4602" s="65">
        <v>4601</v>
      </c>
      <c r="B4602" s="64">
        <v>29010864.358153742</v>
      </c>
    </row>
    <row r="4603" spans="1:2" x14ac:dyDescent="0.25">
      <c r="A4603" s="65">
        <v>4602</v>
      </c>
      <c r="B4603" s="64">
        <v>28526210.308752783</v>
      </c>
    </row>
    <row r="4604" spans="1:2" x14ac:dyDescent="0.25">
      <c r="A4604" s="65">
        <v>4603</v>
      </c>
      <c r="B4604" s="64">
        <v>29128784.537593715</v>
      </c>
    </row>
    <row r="4605" spans="1:2" x14ac:dyDescent="0.25">
      <c r="A4605" s="65">
        <v>4604</v>
      </c>
      <c r="B4605" s="64">
        <v>30414332.148433078</v>
      </c>
    </row>
    <row r="4606" spans="1:2" x14ac:dyDescent="0.25">
      <c r="A4606" s="65">
        <v>4605</v>
      </c>
      <c r="B4606" s="64">
        <v>28882024.273191709</v>
      </c>
    </row>
    <row r="4607" spans="1:2" x14ac:dyDescent="0.25">
      <c r="A4607" s="65">
        <v>4606</v>
      </c>
      <c r="B4607" s="64">
        <v>28928972.507042143</v>
      </c>
    </row>
    <row r="4608" spans="1:2" x14ac:dyDescent="0.25">
      <c r="A4608" s="65">
        <v>4607</v>
      </c>
      <c r="B4608" s="64">
        <v>29547065.477204103</v>
      </c>
    </row>
    <row r="4609" spans="1:2" x14ac:dyDescent="0.25">
      <c r="A4609" s="65">
        <v>4608</v>
      </c>
      <c r="B4609" s="64">
        <v>28466166.653570738</v>
      </c>
    </row>
    <row r="4610" spans="1:2" x14ac:dyDescent="0.25">
      <c r="A4610" s="65">
        <v>4609</v>
      </c>
      <c r="B4610" s="64">
        <v>28689202.362730473</v>
      </c>
    </row>
    <row r="4611" spans="1:2" x14ac:dyDescent="0.25">
      <c r="A4611" s="65">
        <v>4610</v>
      </c>
      <c r="B4611" s="64">
        <v>29541757.197319683</v>
      </c>
    </row>
    <row r="4612" spans="1:2" x14ac:dyDescent="0.25">
      <c r="A4612" s="65">
        <v>4611</v>
      </c>
      <c r="B4612" s="64">
        <v>29906358.445774689</v>
      </c>
    </row>
    <row r="4613" spans="1:2" x14ac:dyDescent="0.25">
      <c r="A4613" s="65">
        <v>4612</v>
      </c>
      <c r="B4613" s="64">
        <v>29502034.088510014</v>
      </c>
    </row>
    <row r="4614" spans="1:2" x14ac:dyDescent="0.25">
      <c r="A4614" s="65">
        <v>4613</v>
      </c>
      <c r="B4614" s="64">
        <v>28680876.833417885</v>
      </c>
    </row>
    <row r="4615" spans="1:2" x14ac:dyDescent="0.25">
      <c r="A4615" s="65">
        <v>4614</v>
      </c>
      <c r="B4615" s="64">
        <v>28895056.261121813</v>
      </c>
    </row>
    <row r="4616" spans="1:2" x14ac:dyDescent="0.25">
      <c r="A4616" s="65">
        <v>4615</v>
      </c>
      <c r="B4616" s="64">
        <v>28538541.145900406</v>
      </c>
    </row>
    <row r="4617" spans="1:2" x14ac:dyDescent="0.25">
      <c r="A4617" s="65">
        <v>4616</v>
      </c>
      <c r="B4617" s="64">
        <v>28747562.233010761</v>
      </c>
    </row>
    <row r="4618" spans="1:2" x14ac:dyDescent="0.25">
      <c r="A4618" s="65">
        <v>4617</v>
      </c>
      <c r="B4618" s="64">
        <v>29833575.474362452</v>
      </c>
    </row>
    <row r="4619" spans="1:2" x14ac:dyDescent="0.25">
      <c r="A4619" s="65">
        <v>4618</v>
      </c>
      <c r="B4619" s="64">
        <v>28901994.119968034</v>
      </c>
    </row>
    <row r="4620" spans="1:2" x14ac:dyDescent="0.25">
      <c r="A4620" s="65">
        <v>4619</v>
      </c>
      <c r="B4620" s="64">
        <v>28979423.156867206</v>
      </c>
    </row>
    <row r="4621" spans="1:2" x14ac:dyDescent="0.25">
      <c r="A4621" s="65">
        <v>4620</v>
      </c>
      <c r="B4621" s="64">
        <v>28904742.62409493</v>
      </c>
    </row>
    <row r="4622" spans="1:2" x14ac:dyDescent="0.25">
      <c r="A4622" s="65">
        <v>4621</v>
      </c>
      <c r="B4622" s="64">
        <v>32430542.449205335</v>
      </c>
    </row>
    <row r="4623" spans="1:2" x14ac:dyDescent="0.25">
      <c r="A4623" s="65">
        <v>4622</v>
      </c>
      <c r="B4623" s="64">
        <v>29097250.305574439</v>
      </c>
    </row>
    <row r="4624" spans="1:2" x14ac:dyDescent="0.25">
      <c r="A4624" s="65">
        <v>4623</v>
      </c>
      <c r="B4624" s="64">
        <v>29716334.884427913</v>
      </c>
    </row>
    <row r="4625" spans="1:2" x14ac:dyDescent="0.25">
      <c r="A4625" s="65">
        <v>4624</v>
      </c>
      <c r="B4625" s="64">
        <v>29400962.186047718</v>
      </c>
    </row>
    <row r="4626" spans="1:2" x14ac:dyDescent="0.25">
      <c r="A4626" s="65">
        <v>4625</v>
      </c>
      <c r="B4626" s="64">
        <v>29004828.169907227</v>
      </c>
    </row>
    <row r="4627" spans="1:2" x14ac:dyDescent="0.25">
      <c r="A4627" s="65">
        <v>4626</v>
      </c>
      <c r="B4627" s="64">
        <v>28700218.087476216</v>
      </c>
    </row>
    <row r="4628" spans="1:2" x14ac:dyDescent="0.25">
      <c r="A4628" s="65">
        <v>4627</v>
      </c>
      <c r="B4628" s="64">
        <v>29131785.179315142</v>
      </c>
    </row>
    <row r="4629" spans="1:2" x14ac:dyDescent="0.25">
      <c r="A4629" s="65">
        <v>4628</v>
      </c>
      <c r="B4629" s="64">
        <v>28797926.983019322</v>
      </c>
    </row>
    <row r="4630" spans="1:2" x14ac:dyDescent="0.25">
      <c r="A4630" s="65">
        <v>4629</v>
      </c>
      <c r="B4630" s="64">
        <v>29381848.470114574</v>
      </c>
    </row>
    <row r="4631" spans="1:2" x14ac:dyDescent="0.25">
      <c r="A4631" s="65">
        <v>4630</v>
      </c>
      <c r="B4631" s="64">
        <v>29890849.810979113</v>
      </c>
    </row>
    <row r="4632" spans="1:2" x14ac:dyDescent="0.25">
      <c r="A4632" s="65">
        <v>4631</v>
      </c>
      <c r="B4632" s="64">
        <v>29175532.759696852</v>
      </c>
    </row>
    <row r="4633" spans="1:2" x14ac:dyDescent="0.25">
      <c r="A4633" s="65">
        <v>4632</v>
      </c>
      <c r="B4633" s="64">
        <v>29520842.709513109</v>
      </c>
    </row>
    <row r="4634" spans="1:2" x14ac:dyDescent="0.25">
      <c r="A4634" s="65">
        <v>4633</v>
      </c>
      <c r="B4634" s="64">
        <v>28683878.833089348</v>
      </c>
    </row>
    <row r="4635" spans="1:2" x14ac:dyDescent="0.25">
      <c r="A4635" s="65">
        <v>4634</v>
      </c>
      <c r="B4635" s="64">
        <v>29682182.075057052</v>
      </c>
    </row>
    <row r="4636" spans="1:2" x14ac:dyDescent="0.25">
      <c r="A4636" s="65">
        <v>4635</v>
      </c>
      <c r="B4636" s="64">
        <v>28962998.69242397</v>
      </c>
    </row>
    <row r="4637" spans="1:2" x14ac:dyDescent="0.25">
      <c r="A4637" s="65">
        <v>4636</v>
      </c>
      <c r="B4637" s="64">
        <v>29604135.002368368</v>
      </c>
    </row>
    <row r="4638" spans="1:2" x14ac:dyDescent="0.25">
      <c r="A4638" s="65">
        <v>4637</v>
      </c>
      <c r="B4638" s="64">
        <v>29051342.771667019</v>
      </c>
    </row>
    <row r="4639" spans="1:2" x14ac:dyDescent="0.25">
      <c r="A4639" s="65">
        <v>4638</v>
      </c>
      <c r="B4639" s="64">
        <v>30269444.920187607</v>
      </c>
    </row>
    <row r="4640" spans="1:2" x14ac:dyDescent="0.25">
      <c r="A4640" s="65">
        <v>4639</v>
      </c>
      <c r="B4640" s="64">
        <v>28803309.876789644</v>
      </c>
    </row>
    <row r="4641" spans="1:2" x14ac:dyDescent="0.25">
      <c r="A4641" s="65">
        <v>4640</v>
      </c>
      <c r="B4641" s="64">
        <v>28633752.74740145</v>
      </c>
    </row>
    <row r="4642" spans="1:2" x14ac:dyDescent="0.25">
      <c r="A4642" s="65">
        <v>4641</v>
      </c>
      <c r="B4642" s="64">
        <v>28462903.876904923</v>
      </c>
    </row>
    <row r="4643" spans="1:2" x14ac:dyDescent="0.25">
      <c r="A4643" s="65">
        <v>4642</v>
      </c>
      <c r="B4643" s="64">
        <v>28985789.538429804</v>
      </c>
    </row>
    <row r="4644" spans="1:2" x14ac:dyDescent="0.25">
      <c r="A4644" s="65">
        <v>4643</v>
      </c>
      <c r="B4644" s="64">
        <v>28733307.347494628</v>
      </c>
    </row>
    <row r="4645" spans="1:2" x14ac:dyDescent="0.25">
      <c r="A4645" s="65">
        <v>4644</v>
      </c>
      <c r="B4645" s="64">
        <v>29881171.375036467</v>
      </c>
    </row>
    <row r="4646" spans="1:2" x14ac:dyDescent="0.25">
      <c r="A4646" s="65">
        <v>4645</v>
      </c>
      <c r="B4646" s="64">
        <v>28980135.26870532</v>
      </c>
    </row>
    <row r="4647" spans="1:2" x14ac:dyDescent="0.25">
      <c r="A4647" s="65">
        <v>4646</v>
      </c>
      <c r="B4647" s="64">
        <v>29301288.552238319</v>
      </c>
    </row>
    <row r="4648" spans="1:2" x14ac:dyDescent="0.25">
      <c r="A4648" s="65">
        <v>4647</v>
      </c>
      <c r="B4648" s="64">
        <v>28863368.507809769</v>
      </c>
    </row>
    <row r="4649" spans="1:2" x14ac:dyDescent="0.25">
      <c r="A4649" s="65">
        <v>4648</v>
      </c>
      <c r="B4649" s="64">
        <v>28901554.655660428</v>
      </c>
    </row>
    <row r="4650" spans="1:2" x14ac:dyDescent="0.25">
      <c r="A4650" s="65">
        <v>4649</v>
      </c>
      <c r="B4650" s="64">
        <v>28702454.77999974</v>
      </c>
    </row>
    <row r="4651" spans="1:2" x14ac:dyDescent="0.25">
      <c r="A4651" s="65">
        <v>4650</v>
      </c>
      <c r="B4651" s="64">
        <v>30463824.242411755</v>
      </c>
    </row>
    <row r="4652" spans="1:2" x14ac:dyDescent="0.25">
      <c r="A4652" s="65">
        <v>4651</v>
      </c>
      <c r="B4652" s="64">
        <v>28973927.700093672</v>
      </c>
    </row>
    <row r="4653" spans="1:2" x14ac:dyDescent="0.25">
      <c r="A4653" s="65">
        <v>4652</v>
      </c>
      <c r="B4653" s="64">
        <v>29637443.702754956</v>
      </c>
    </row>
    <row r="4654" spans="1:2" x14ac:dyDescent="0.25">
      <c r="A4654" s="65">
        <v>4653</v>
      </c>
      <c r="B4654" s="64">
        <v>29337399.523199603</v>
      </c>
    </row>
    <row r="4655" spans="1:2" x14ac:dyDescent="0.25">
      <c r="A4655" s="65">
        <v>4654</v>
      </c>
      <c r="B4655" s="64">
        <v>29917215.069354974</v>
      </c>
    </row>
    <row r="4656" spans="1:2" x14ac:dyDescent="0.25">
      <c r="A4656" s="65">
        <v>4655</v>
      </c>
      <c r="B4656" s="64">
        <v>30748149.29809358</v>
      </c>
    </row>
    <row r="4657" spans="1:2" x14ac:dyDescent="0.25">
      <c r="A4657" s="65">
        <v>4656</v>
      </c>
      <c r="B4657" s="64">
        <v>29061022.549766473</v>
      </c>
    </row>
    <row r="4658" spans="1:2" x14ac:dyDescent="0.25">
      <c r="A4658" s="65">
        <v>4657</v>
      </c>
      <c r="B4658" s="64">
        <v>29678491.687764641</v>
      </c>
    </row>
    <row r="4659" spans="1:2" x14ac:dyDescent="0.25">
      <c r="A4659" s="65">
        <v>4658</v>
      </c>
      <c r="B4659" s="64">
        <v>28934020.752031695</v>
      </c>
    </row>
    <row r="4660" spans="1:2" x14ac:dyDescent="0.25">
      <c r="A4660" s="65">
        <v>4659</v>
      </c>
      <c r="B4660" s="64">
        <v>29174783.086209558</v>
      </c>
    </row>
    <row r="4661" spans="1:2" x14ac:dyDescent="0.25">
      <c r="A4661" s="65">
        <v>4660</v>
      </c>
      <c r="B4661" s="64">
        <v>29718870.47409407</v>
      </c>
    </row>
    <row r="4662" spans="1:2" x14ac:dyDescent="0.25">
      <c r="A4662" s="65">
        <v>4661</v>
      </c>
      <c r="B4662" s="64">
        <v>29844322.771274932</v>
      </c>
    </row>
    <row r="4663" spans="1:2" x14ac:dyDescent="0.25">
      <c r="A4663" s="65">
        <v>4662</v>
      </c>
      <c r="B4663" s="64">
        <v>28669206.157748818</v>
      </c>
    </row>
    <row r="4664" spans="1:2" x14ac:dyDescent="0.25">
      <c r="A4664" s="65">
        <v>4663</v>
      </c>
      <c r="B4664" s="64">
        <v>28959487.844189882</v>
      </c>
    </row>
    <row r="4665" spans="1:2" x14ac:dyDescent="0.25">
      <c r="A4665" s="65">
        <v>4664</v>
      </c>
      <c r="B4665" s="64">
        <v>29670861.290103037</v>
      </c>
    </row>
    <row r="4666" spans="1:2" x14ac:dyDescent="0.25">
      <c r="A4666" s="65">
        <v>4665</v>
      </c>
      <c r="B4666" s="64">
        <v>29336630.211961091</v>
      </c>
    </row>
    <row r="4667" spans="1:2" x14ac:dyDescent="0.25">
      <c r="A4667" s="65">
        <v>4666</v>
      </c>
      <c r="B4667" s="64">
        <v>29365485.37589933</v>
      </c>
    </row>
    <row r="4668" spans="1:2" x14ac:dyDescent="0.25">
      <c r="A4668" s="65">
        <v>4667</v>
      </c>
      <c r="B4668" s="64">
        <v>28610170.546716891</v>
      </c>
    </row>
    <row r="4669" spans="1:2" x14ac:dyDescent="0.25">
      <c r="A4669" s="65">
        <v>4668</v>
      </c>
      <c r="B4669" s="64">
        <v>29622711.792560853</v>
      </c>
    </row>
    <row r="4670" spans="1:2" x14ac:dyDescent="0.25">
      <c r="A4670" s="65">
        <v>4669</v>
      </c>
      <c r="B4670" s="64">
        <v>28904814.302758399</v>
      </c>
    </row>
    <row r="4671" spans="1:2" x14ac:dyDescent="0.25">
      <c r="A4671" s="65">
        <v>4670</v>
      </c>
      <c r="B4671" s="64">
        <v>29071486.648305915</v>
      </c>
    </row>
    <row r="4672" spans="1:2" x14ac:dyDescent="0.25">
      <c r="A4672" s="65">
        <v>4671</v>
      </c>
      <c r="B4672" s="64">
        <v>29205991.228574749</v>
      </c>
    </row>
    <row r="4673" spans="1:2" x14ac:dyDescent="0.25">
      <c r="A4673" s="65">
        <v>4672</v>
      </c>
      <c r="B4673" s="64">
        <v>28634952.326537862</v>
      </c>
    </row>
    <row r="4674" spans="1:2" x14ac:dyDescent="0.25">
      <c r="A4674" s="65">
        <v>4673</v>
      </c>
      <c r="B4674" s="64">
        <v>29010112.259266168</v>
      </c>
    </row>
    <row r="4675" spans="1:2" x14ac:dyDescent="0.25">
      <c r="A4675" s="65">
        <v>4674</v>
      </c>
      <c r="B4675" s="64">
        <v>28941703.731564093</v>
      </c>
    </row>
    <row r="4676" spans="1:2" x14ac:dyDescent="0.25">
      <c r="A4676" s="65">
        <v>4675</v>
      </c>
      <c r="B4676" s="64">
        <v>29321647.861309364</v>
      </c>
    </row>
    <row r="4677" spans="1:2" x14ac:dyDescent="0.25">
      <c r="A4677" s="65">
        <v>4676</v>
      </c>
      <c r="B4677" s="64">
        <v>30314579.809005745</v>
      </c>
    </row>
    <row r="4678" spans="1:2" x14ac:dyDescent="0.25">
      <c r="A4678" s="65">
        <v>4677</v>
      </c>
      <c r="B4678" s="64">
        <v>29120228.8831167</v>
      </c>
    </row>
    <row r="4679" spans="1:2" x14ac:dyDescent="0.25">
      <c r="A4679" s="65">
        <v>4678</v>
      </c>
      <c r="B4679" s="64">
        <v>28795408.934514176</v>
      </c>
    </row>
    <row r="4680" spans="1:2" x14ac:dyDescent="0.25">
      <c r="A4680" s="65">
        <v>4679</v>
      </c>
      <c r="B4680" s="64">
        <v>28426273.965141959</v>
      </c>
    </row>
    <row r="4681" spans="1:2" x14ac:dyDescent="0.25">
      <c r="A4681" s="65">
        <v>4680</v>
      </c>
      <c r="B4681" s="64">
        <v>29076778.226618331</v>
      </c>
    </row>
    <row r="4682" spans="1:2" x14ac:dyDescent="0.25">
      <c r="A4682" s="65">
        <v>4681</v>
      </c>
      <c r="B4682" s="64">
        <v>28849627.288161602</v>
      </c>
    </row>
    <row r="4683" spans="1:2" x14ac:dyDescent="0.25">
      <c r="A4683" s="65">
        <v>4682</v>
      </c>
      <c r="B4683" s="64">
        <v>28907111.563127555</v>
      </c>
    </row>
    <row r="4684" spans="1:2" x14ac:dyDescent="0.25">
      <c r="A4684" s="65">
        <v>4683</v>
      </c>
      <c r="B4684" s="64">
        <v>29598360.012547106</v>
      </c>
    </row>
    <row r="4685" spans="1:2" x14ac:dyDescent="0.25">
      <c r="A4685" s="65">
        <v>4684</v>
      </c>
      <c r="B4685" s="64">
        <v>29599245.384601556</v>
      </c>
    </row>
    <row r="4686" spans="1:2" x14ac:dyDescent="0.25">
      <c r="A4686" s="65">
        <v>4685</v>
      </c>
      <c r="B4686" s="64">
        <v>28852800.215764742</v>
      </c>
    </row>
    <row r="4687" spans="1:2" x14ac:dyDescent="0.25">
      <c r="A4687" s="65">
        <v>4686</v>
      </c>
      <c r="B4687" s="64">
        <v>28410462.41784158</v>
      </c>
    </row>
    <row r="4688" spans="1:2" x14ac:dyDescent="0.25">
      <c r="A4688" s="65">
        <v>4687</v>
      </c>
      <c r="B4688" s="64">
        <v>28787135.137403816</v>
      </c>
    </row>
    <row r="4689" spans="1:2" x14ac:dyDescent="0.25">
      <c r="A4689" s="65">
        <v>4688</v>
      </c>
      <c r="B4689" s="64">
        <v>28805759.78028832</v>
      </c>
    </row>
    <row r="4690" spans="1:2" x14ac:dyDescent="0.25">
      <c r="A4690" s="65">
        <v>4689</v>
      </c>
      <c r="B4690" s="64">
        <v>30879310.071490426</v>
      </c>
    </row>
    <row r="4691" spans="1:2" x14ac:dyDescent="0.25">
      <c r="A4691" s="65">
        <v>4690</v>
      </c>
      <c r="B4691" s="64">
        <v>32698922.628887504</v>
      </c>
    </row>
    <row r="4692" spans="1:2" x14ac:dyDescent="0.25">
      <c r="A4692" s="65">
        <v>4691</v>
      </c>
      <c r="B4692" s="64">
        <v>29272075.13215781</v>
      </c>
    </row>
    <row r="4693" spans="1:2" x14ac:dyDescent="0.25">
      <c r="A4693" s="65">
        <v>4692</v>
      </c>
      <c r="B4693" s="64">
        <v>30067454.73996181</v>
      </c>
    </row>
    <row r="4694" spans="1:2" x14ac:dyDescent="0.25">
      <c r="A4694" s="65">
        <v>4693</v>
      </c>
      <c r="B4694" s="64">
        <v>29096496.959793523</v>
      </c>
    </row>
    <row r="4695" spans="1:2" x14ac:dyDescent="0.25">
      <c r="A4695" s="65">
        <v>4694</v>
      </c>
      <c r="B4695" s="64">
        <v>29266902.467187747</v>
      </c>
    </row>
    <row r="4696" spans="1:2" x14ac:dyDescent="0.25">
      <c r="A4696" s="65">
        <v>4695</v>
      </c>
      <c r="B4696" s="64">
        <v>28891592.305056937</v>
      </c>
    </row>
    <row r="4697" spans="1:2" x14ac:dyDescent="0.25">
      <c r="A4697" s="65">
        <v>4696</v>
      </c>
      <c r="B4697" s="64">
        <v>29448599.301767912</v>
      </c>
    </row>
    <row r="4698" spans="1:2" x14ac:dyDescent="0.25">
      <c r="A4698" s="65">
        <v>4697</v>
      </c>
      <c r="B4698" s="64">
        <v>29565942.08717081</v>
      </c>
    </row>
    <row r="4699" spans="1:2" x14ac:dyDescent="0.25">
      <c r="A4699" s="65">
        <v>4698</v>
      </c>
      <c r="B4699" s="64">
        <v>28609969.643677898</v>
      </c>
    </row>
    <row r="4700" spans="1:2" x14ac:dyDescent="0.25">
      <c r="A4700" s="65">
        <v>4699</v>
      </c>
      <c r="B4700" s="64">
        <v>28941422.591598425</v>
      </c>
    </row>
    <row r="4701" spans="1:2" x14ac:dyDescent="0.25">
      <c r="A4701" s="65">
        <v>4700</v>
      </c>
      <c r="B4701" s="64">
        <v>29354111.344689652</v>
      </c>
    </row>
    <row r="4702" spans="1:2" x14ac:dyDescent="0.25">
      <c r="A4702" s="65">
        <v>4701</v>
      </c>
      <c r="B4702" s="64">
        <v>29160203.478560418</v>
      </c>
    </row>
    <row r="4703" spans="1:2" x14ac:dyDescent="0.25">
      <c r="A4703" s="65">
        <v>4702</v>
      </c>
      <c r="B4703" s="64">
        <v>28938085.590045821</v>
      </c>
    </row>
    <row r="4704" spans="1:2" x14ac:dyDescent="0.25">
      <c r="A4704" s="65">
        <v>4703</v>
      </c>
      <c r="B4704" s="64">
        <v>29483509.219037674</v>
      </c>
    </row>
    <row r="4705" spans="1:2" x14ac:dyDescent="0.25">
      <c r="A4705" s="65">
        <v>4704</v>
      </c>
      <c r="B4705" s="64">
        <v>29434647.344369885</v>
      </c>
    </row>
    <row r="4706" spans="1:2" x14ac:dyDescent="0.25">
      <c r="A4706" s="65">
        <v>4705</v>
      </c>
      <c r="B4706" s="64">
        <v>28704939.731024656</v>
      </c>
    </row>
    <row r="4707" spans="1:2" x14ac:dyDescent="0.25">
      <c r="A4707" s="65">
        <v>4706</v>
      </c>
      <c r="B4707" s="64">
        <v>29054175.32862772</v>
      </c>
    </row>
    <row r="4708" spans="1:2" x14ac:dyDescent="0.25">
      <c r="A4708" s="65">
        <v>4707</v>
      </c>
      <c r="B4708" s="64">
        <v>28513065.993851472</v>
      </c>
    </row>
    <row r="4709" spans="1:2" x14ac:dyDescent="0.25">
      <c r="A4709" s="65">
        <v>4708</v>
      </c>
      <c r="B4709" s="64">
        <v>29000833.786978025</v>
      </c>
    </row>
    <row r="4710" spans="1:2" x14ac:dyDescent="0.25">
      <c r="A4710" s="65">
        <v>4709</v>
      </c>
      <c r="B4710" s="64">
        <v>28924234.445439599</v>
      </c>
    </row>
    <row r="4711" spans="1:2" x14ac:dyDescent="0.25">
      <c r="A4711" s="65">
        <v>4710</v>
      </c>
      <c r="B4711" s="64">
        <v>33524636.347615443</v>
      </c>
    </row>
    <row r="4712" spans="1:2" x14ac:dyDescent="0.25">
      <c r="A4712" s="65">
        <v>4711</v>
      </c>
      <c r="B4712" s="64">
        <v>29624284.91532477</v>
      </c>
    </row>
    <row r="4713" spans="1:2" x14ac:dyDescent="0.25">
      <c r="A4713" s="65">
        <v>4712</v>
      </c>
      <c r="B4713" s="64">
        <v>28755395.126550239</v>
      </c>
    </row>
    <row r="4714" spans="1:2" x14ac:dyDescent="0.25">
      <c r="A4714" s="65">
        <v>4713</v>
      </c>
      <c r="B4714" s="64">
        <v>29042958.964701213</v>
      </c>
    </row>
    <row r="4715" spans="1:2" x14ac:dyDescent="0.25">
      <c r="A4715" s="65">
        <v>4714</v>
      </c>
      <c r="B4715" s="64">
        <v>31101628.489829518</v>
      </c>
    </row>
    <row r="4716" spans="1:2" x14ac:dyDescent="0.25">
      <c r="A4716" s="65">
        <v>4715</v>
      </c>
      <c r="B4716" s="64">
        <v>30412700.483432345</v>
      </c>
    </row>
    <row r="4717" spans="1:2" x14ac:dyDescent="0.25">
      <c r="A4717" s="65">
        <v>4716</v>
      </c>
      <c r="B4717" s="64">
        <v>28687083.004001386</v>
      </c>
    </row>
    <row r="4718" spans="1:2" x14ac:dyDescent="0.25">
      <c r="A4718" s="65">
        <v>4717</v>
      </c>
      <c r="B4718" s="64">
        <v>28478884.244959641</v>
      </c>
    </row>
    <row r="4719" spans="1:2" x14ac:dyDescent="0.25">
      <c r="A4719" s="65">
        <v>4718</v>
      </c>
      <c r="B4719" s="64">
        <v>30511595.354803443</v>
      </c>
    </row>
    <row r="4720" spans="1:2" x14ac:dyDescent="0.25">
      <c r="A4720" s="65">
        <v>4719</v>
      </c>
      <c r="B4720" s="64">
        <v>29075735.884283576</v>
      </c>
    </row>
    <row r="4721" spans="1:2" x14ac:dyDescent="0.25">
      <c r="A4721" s="65">
        <v>4720</v>
      </c>
      <c r="B4721" s="64">
        <v>29198561.610766858</v>
      </c>
    </row>
    <row r="4722" spans="1:2" x14ac:dyDescent="0.25">
      <c r="A4722" s="65">
        <v>4721</v>
      </c>
      <c r="B4722" s="64">
        <v>28836822.744851306</v>
      </c>
    </row>
    <row r="4723" spans="1:2" x14ac:dyDescent="0.25">
      <c r="A4723" s="65">
        <v>4722</v>
      </c>
      <c r="B4723" s="64">
        <v>32341676.869098447</v>
      </c>
    </row>
    <row r="4724" spans="1:2" x14ac:dyDescent="0.25">
      <c r="A4724" s="65">
        <v>4723</v>
      </c>
      <c r="B4724" s="64">
        <v>28544234.029292751</v>
      </c>
    </row>
    <row r="4725" spans="1:2" x14ac:dyDescent="0.25">
      <c r="A4725" s="65">
        <v>4724</v>
      </c>
      <c r="B4725" s="64">
        <v>29051391.688995458</v>
      </c>
    </row>
    <row r="4726" spans="1:2" x14ac:dyDescent="0.25">
      <c r="A4726" s="65">
        <v>4725</v>
      </c>
      <c r="B4726" s="64">
        <v>31143633.992492992</v>
      </c>
    </row>
    <row r="4727" spans="1:2" x14ac:dyDescent="0.25">
      <c r="A4727" s="65">
        <v>4726</v>
      </c>
      <c r="B4727" s="64">
        <v>29111638.07446105</v>
      </c>
    </row>
    <row r="4728" spans="1:2" x14ac:dyDescent="0.25">
      <c r="A4728" s="65">
        <v>4727</v>
      </c>
      <c r="B4728" s="64">
        <v>29703470.285400003</v>
      </c>
    </row>
    <row r="4729" spans="1:2" x14ac:dyDescent="0.25">
      <c r="A4729" s="65">
        <v>4728</v>
      </c>
      <c r="B4729" s="64">
        <v>28698598.730846241</v>
      </c>
    </row>
    <row r="4730" spans="1:2" x14ac:dyDescent="0.25">
      <c r="A4730" s="65">
        <v>4729</v>
      </c>
      <c r="B4730" s="64">
        <v>30486645.483001187</v>
      </c>
    </row>
    <row r="4731" spans="1:2" x14ac:dyDescent="0.25">
      <c r="A4731" s="65">
        <v>4730</v>
      </c>
      <c r="B4731" s="64">
        <v>28750394.270285055</v>
      </c>
    </row>
    <row r="4732" spans="1:2" x14ac:dyDescent="0.25">
      <c r="A4732" s="65">
        <v>4731</v>
      </c>
      <c r="B4732" s="64">
        <v>29822162.957724974</v>
      </c>
    </row>
    <row r="4733" spans="1:2" x14ac:dyDescent="0.25">
      <c r="A4733" s="65">
        <v>4732</v>
      </c>
      <c r="B4733" s="64">
        <v>29081016.094418567</v>
      </c>
    </row>
    <row r="4734" spans="1:2" x14ac:dyDescent="0.25">
      <c r="A4734" s="65">
        <v>4733</v>
      </c>
      <c r="B4734" s="64">
        <v>28975068.41148641</v>
      </c>
    </row>
    <row r="4735" spans="1:2" x14ac:dyDescent="0.25">
      <c r="A4735" s="65">
        <v>4734</v>
      </c>
      <c r="B4735" s="64">
        <v>28720381.467445888</v>
      </c>
    </row>
    <row r="4736" spans="1:2" x14ac:dyDescent="0.25">
      <c r="A4736" s="65">
        <v>4735</v>
      </c>
      <c r="B4736" s="64">
        <v>30385431.913564891</v>
      </c>
    </row>
    <row r="4737" spans="1:2" x14ac:dyDescent="0.25">
      <c r="A4737" s="65">
        <v>4736</v>
      </c>
      <c r="B4737" s="64">
        <v>29802821.094115827</v>
      </c>
    </row>
    <row r="4738" spans="1:2" x14ac:dyDescent="0.25">
      <c r="A4738" s="65">
        <v>4737</v>
      </c>
      <c r="B4738" s="64">
        <v>29165626.143818814</v>
      </c>
    </row>
    <row r="4739" spans="1:2" x14ac:dyDescent="0.25">
      <c r="A4739" s="65">
        <v>4738</v>
      </c>
      <c r="B4739" s="64">
        <v>29571602.933174569</v>
      </c>
    </row>
    <row r="4740" spans="1:2" x14ac:dyDescent="0.25">
      <c r="A4740" s="65">
        <v>4739</v>
      </c>
      <c r="B4740" s="64">
        <v>28860442.124306515</v>
      </c>
    </row>
    <row r="4741" spans="1:2" x14ac:dyDescent="0.25">
      <c r="A4741" s="65">
        <v>4740</v>
      </c>
      <c r="B4741" s="64">
        <v>28774697.228503529</v>
      </c>
    </row>
    <row r="4742" spans="1:2" x14ac:dyDescent="0.25">
      <c r="A4742" s="65">
        <v>4741</v>
      </c>
      <c r="B4742" s="64">
        <v>30693670.169363081</v>
      </c>
    </row>
    <row r="4743" spans="1:2" x14ac:dyDescent="0.25">
      <c r="A4743" s="65">
        <v>4742</v>
      </c>
      <c r="B4743" s="64">
        <v>29317586.909980379</v>
      </c>
    </row>
    <row r="4744" spans="1:2" x14ac:dyDescent="0.25">
      <c r="A4744" s="65">
        <v>4743</v>
      </c>
      <c r="B4744" s="64">
        <v>30341525.281659588</v>
      </c>
    </row>
    <row r="4745" spans="1:2" x14ac:dyDescent="0.25">
      <c r="A4745" s="65">
        <v>4744</v>
      </c>
      <c r="B4745" s="64">
        <v>28738517.40539873</v>
      </c>
    </row>
    <row r="4746" spans="1:2" x14ac:dyDescent="0.25">
      <c r="A4746" s="65">
        <v>4745</v>
      </c>
      <c r="B4746" s="64">
        <v>30042370.2600489</v>
      </c>
    </row>
    <row r="4747" spans="1:2" x14ac:dyDescent="0.25">
      <c r="A4747" s="65">
        <v>4746</v>
      </c>
      <c r="B4747" s="64">
        <v>29102885.933867894</v>
      </c>
    </row>
    <row r="4748" spans="1:2" x14ac:dyDescent="0.25">
      <c r="A4748" s="65">
        <v>4747</v>
      </c>
      <c r="B4748" s="64">
        <v>28494286.591696821</v>
      </c>
    </row>
    <row r="4749" spans="1:2" x14ac:dyDescent="0.25">
      <c r="A4749" s="65">
        <v>4748</v>
      </c>
      <c r="B4749" s="64">
        <v>29705381.40123155</v>
      </c>
    </row>
    <row r="4750" spans="1:2" x14ac:dyDescent="0.25">
      <c r="A4750" s="65">
        <v>4749</v>
      </c>
      <c r="B4750" s="64">
        <v>29784810.200220946</v>
      </c>
    </row>
    <row r="4751" spans="1:2" x14ac:dyDescent="0.25">
      <c r="A4751" s="65">
        <v>4750</v>
      </c>
      <c r="B4751" s="64">
        <v>29536735.020070966</v>
      </c>
    </row>
    <row r="4752" spans="1:2" x14ac:dyDescent="0.25">
      <c r="A4752" s="65">
        <v>4751</v>
      </c>
      <c r="B4752" s="64">
        <v>30105486.706145443</v>
      </c>
    </row>
    <row r="4753" spans="1:2" x14ac:dyDescent="0.25">
      <c r="A4753" s="65">
        <v>4752</v>
      </c>
      <c r="B4753" s="64">
        <v>33376310.999285746</v>
      </c>
    </row>
    <row r="4754" spans="1:2" x14ac:dyDescent="0.25">
      <c r="A4754" s="65">
        <v>4753</v>
      </c>
      <c r="B4754" s="64">
        <v>28805661.170962557</v>
      </c>
    </row>
    <row r="4755" spans="1:2" x14ac:dyDescent="0.25">
      <c r="A4755" s="65">
        <v>4754</v>
      </c>
      <c r="B4755" s="64">
        <v>28751385.005665544</v>
      </c>
    </row>
    <row r="4756" spans="1:2" x14ac:dyDescent="0.25">
      <c r="A4756" s="65">
        <v>4755</v>
      </c>
      <c r="B4756" s="64">
        <v>29058668.822406765</v>
      </c>
    </row>
    <row r="4757" spans="1:2" x14ac:dyDescent="0.25">
      <c r="A4757" s="65">
        <v>4756</v>
      </c>
      <c r="B4757" s="64">
        <v>29570131.265895098</v>
      </c>
    </row>
    <row r="4758" spans="1:2" x14ac:dyDescent="0.25">
      <c r="A4758" s="65">
        <v>4757</v>
      </c>
      <c r="B4758" s="64">
        <v>29044020.102849398</v>
      </c>
    </row>
    <row r="4759" spans="1:2" x14ac:dyDescent="0.25">
      <c r="A4759" s="65">
        <v>4758</v>
      </c>
      <c r="B4759" s="64">
        <v>29815956.68932813</v>
      </c>
    </row>
    <row r="4760" spans="1:2" x14ac:dyDescent="0.25">
      <c r="A4760" s="65">
        <v>4759</v>
      </c>
      <c r="B4760" s="64">
        <v>29475329.288597263</v>
      </c>
    </row>
    <row r="4761" spans="1:2" x14ac:dyDescent="0.25">
      <c r="A4761" s="65">
        <v>4760</v>
      </c>
      <c r="B4761" s="64">
        <v>28881909.319995295</v>
      </c>
    </row>
    <row r="4762" spans="1:2" x14ac:dyDescent="0.25">
      <c r="A4762" s="65">
        <v>4761</v>
      </c>
      <c r="B4762" s="64">
        <v>28703009.759930693</v>
      </c>
    </row>
    <row r="4763" spans="1:2" x14ac:dyDescent="0.25">
      <c r="A4763" s="65">
        <v>4762</v>
      </c>
      <c r="B4763" s="64">
        <v>28717250.853248563</v>
      </c>
    </row>
    <row r="4764" spans="1:2" x14ac:dyDescent="0.25">
      <c r="A4764" s="65">
        <v>4763</v>
      </c>
      <c r="B4764" s="64">
        <v>29354196.351577956</v>
      </c>
    </row>
    <row r="4765" spans="1:2" x14ac:dyDescent="0.25">
      <c r="A4765" s="65">
        <v>4764</v>
      </c>
      <c r="B4765" s="64">
        <v>30041816.629223567</v>
      </c>
    </row>
    <row r="4766" spans="1:2" x14ac:dyDescent="0.25">
      <c r="A4766" s="65">
        <v>4765</v>
      </c>
      <c r="B4766" s="64">
        <v>31047888.60320371</v>
      </c>
    </row>
    <row r="4767" spans="1:2" x14ac:dyDescent="0.25">
      <c r="A4767" s="65">
        <v>4766</v>
      </c>
      <c r="B4767" s="64">
        <v>29318263.45756856</v>
      </c>
    </row>
    <row r="4768" spans="1:2" x14ac:dyDescent="0.25">
      <c r="A4768" s="65">
        <v>4767</v>
      </c>
      <c r="B4768" s="64">
        <v>29173073.390726924</v>
      </c>
    </row>
    <row r="4769" spans="1:2" x14ac:dyDescent="0.25">
      <c r="A4769" s="65">
        <v>4768</v>
      </c>
      <c r="B4769" s="64">
        <v>30499293.781255502</v>
      </c>
    </row>
    <row r="4770" spans="1:2" x14ac:dyDescent="0.25">
      <c r="A4770" s="65">
        <v>4769</v>
      </c>
      <c r="B4770" s="64">
        <v>29075353.791411955</v>
      </c>
    </row>
    <row r="4771" spans="1:2" x14ac:dyDescent="0.25">
      <c r="A4771" s="65">
        <v>4770</v>
      </c>
      <c r="B4771" s="64">
        <v>30212435.020128116</v>
      </c>
    </row>
    <row r="4772" spans="1:2" x14ac:dyDescent="0.25">
      <c r="A4772" s="65">
        <v>4771</v>
      </c>
      <c r="B4772" s="64">
        <v>28954480.764930632</v>
      </c>
    </row>
    <row r="4773" spans="1:2" x14ac:dyDescent="0.25">
      <c r="A4773" s="65">
        <v>4772</v>
      </c>
      <c r="B4773" s="64">
        <v>29160743.726119798</v>
      </c>
    </row>
    <row r="4774" spans="1:2" x14ac:dyDescent="0.25">
      <c r="A4774" s="65">
        <v>4773</v>
      </c>
      <c r="B4774" s="64">
        <v>29621197.816024091</v>
      </c>
    </row>
    <row r="4775" spans="1:2" x14ac:dyDescent="0.25">
      <c r="A4775" s="65">
        <v>4774</v>
      </c>
      <c r="B4775" s="64">
        <v>29254063.454262104</v>
      </c>
    </row>
    <row r="4776" spans="1:2" x14ac:dyDescent="0.25">
      <c r="A4776" s="65">
        <v>4775</v>
      </c>
      <c r="B4776" s="64">
        <v>30646435.193077378</v>
      </c>
    </row>
    <row r="4777" spans="1:2" x14ac:dyDescent="0.25">
      <c r="A4777" s="65">
        <v>4776</v>
      </c>
      <c r="B4777" s="64">
        <v>29305973.368482381</v>
      </c>
    </row>
    <row r="4778" spans="1:2" x14ac:dyDescent="0.25">
      <c r="A4778" s="65">
        <v>4777</v>
      </c>
      <c r="B4778" s="64">
        <v>28931235.645698868</v>
      </c>
    </row>
    <row r="4779" spans="1:2" x14ac:dyDescent="0.25">
      <c r="A4779" s="65">
        <v>4778</v>
      </c>
      <c r="B4779" s="64">
        <v>29124197.929582912</v>
      </c>
    </row>
    <row r="4780" spans="1:2" x14ac:dyDescent="0.25">
      <c r="A4780" s="65">
        <v>4779</v>
      </c>
      <c r="B4780" s="64">
        <v>28972582.461753301</v>
      </c>
    </row>
    <row r="4781" spans="1:2" x14ac:dyDescent="0.25">
      <c r="A4781" s="65">
        <v>4780</v>
      </c>
      <c r="B4781" s="64">
        <v>28680237.492425654</v>
      </c>
    </row>
    <row r="4782" spans="1:2" x14ac:dyDescent="0.25">
      <c r="A4782" s="65">
        <v>4781</v>
      </c>
      <c r="B4782" s="64">
        <v>28714954.682258315</v>
      </c>
    </row>
    <row r="4783" spans="1:2" x14ac:dyDescent="0.25">
      <c r="A4783" s="65">
        <v>4782</v>
      </c>
      <c r="B4783" s="64">
        <v>29318708.886093047</v>
      </c>
    </row>
    <row r="4784" spans="1:2" x14ac:dyDescent="0.25">
      <c r="A4784" s="65">
        <v>4783</v>
      </c>
      <c r="B4784" s="64">
        <v>28959343.906585217</v>
      </c>
    </row>
    <row r="4785" spans="1:2" x14ac:dyDescent="0.25">
      <c r="A4785" s="65">
        <v>4784</v>
      </c>
      <c r="B4785" s="64">
        <v>29418146.739064239</v>
      </c>
    </row>
    <row r="4786" spans="1:2" x14ac:dyDescent="0.25">
      <c r="A4786" s="65">
        <v>4785</v>
      </c>
      <c r="B4786" s="64">
        <v>30225939.622047253</v>
      </c>
    </row>
    <row r="4787" spans="1:2" x14ac:dyDescent="0.25">
      <c r="A4787" s="65">
        <v>4786</v>
      </c>
      <c r="B4787" s="64">
        <v>30390633.136492688</v>
      </c>
    </row>
    <row r="4788" spans="1:2" x14ac:dyDescent="0.25">
      <c r="A4788" s="65">
        <v>4787</v>
      </c>
      <c r="B4788" s="64">
        <v>29524302.484270271</v>
      </c>
    </row>
    <row r="4789" spans="1:2" x14ac:dyDescent="0.25">
      <c r="A4789" s="65">
        <v>4788</v>
      </c>
      <c r="B4789" s="64">
        <v>29231033.068811562</v>
      </c>
    </row>
    <row r="4790" spans="1:2" x14ac:dyDescent="0.25">
      <c r="A4790" s="65">
        <v>4789</v>
      </c>
      <c r="B4790" s="64">
        <v>28771659.735876694</v>
      </c>
    </row>
    <row r="4791" spans="1:2" x14ac:dyDescent="0.25">
      <c r="A4791" s="65">
        <v>4790</v>
      </c>
      <c r="B4791" s="64">
        <v>29391199.158526007</v>
      </c>
    </row>
    <row r="4792" spans="1:2" x14ac:dyDescent="0.25">
      <c r="A4792" s="65">
        <v>4791</v>
      </c>
      <c r="B4792" s="64">
        <v>28955929.091165412</v>
      </c>
    </row>
    <row r="4793" spans="1:2" x14ac:dyDescent="0.25">
      <c r="A4793" s="65">
        <v>4792</v>
      </c>
      <c r="B4793" s="64">
        <v>28870704.824554238</v>
      </c>
    </row>
    <row r="4794" spans="1:2" x14ac:dyDescent="0.25">
      <c r="A4794" s="65">
        <v>4793</v>
      </c>
      <c r="B4794" s="64">
        <v>29312078.182035536</v>
      </c>
    </row>
    <row r="4795" spans="1:2" x14ac:dyDescent="0.25">
      <c r="A4795" s="65">
        <v>4794</v>
      </c>
      <c r="B4795" s="64">
        <v>28918389.54303639</v>
      </c>
    </row>
    <row r="4796" spans="1:2" x14ac:dyDescent="0.25">
      <c r="A4796" s="65">
        <v>4795</v>
      </c>
      <c r="B4796" s="64">
        <v>30783344.811873499</v>
      </c>
    </row>
    <row r="4797" spans="1:2" x14ac:dyDescent="0.25">
      <c r="A4797" s="65">
        <v>4796</v>
      </c>
      <c r="B4797" s="64">
        <v>28666651.185166419</v>
      </c>
    </row>
    <row r="4798" spans="1:2" x14ac:dyDescent="0.25">
      <c r="A4798" s="65">
        <v>4797</v>
      </c>
      <c r="B4798" s="64">
        <v>29010029.382137597</v>
      </c>
    </row>
    <row r="4799" spans="1:2" x14ac:dyDescent="0.25">
      <c r="A4799" s="65">
        <v>4798</v>
      </c>
      <c r="B4799" s="64">
        <v>30297335.080698989</v>
      </c>
    </row>
    <row r="4800" spans="1:2" x14ac:dyDescent="0.25">
      <c r="A4800" s="65">
        <v>4799</v>
      </c>
      <c r="B4800" s="64">
        <v>33026555.955425564</v>
      </c>
    </row>
    <row r="4801" spans="1:2" x14ac:dyDescent="0.25">
      <c r="A4801" s="65">
        <v>4800</v>
      </c>
      <c r="B4801" s="64">
        <v>33170803.353927992</v>
      </c>
    </row>
    <row r="4802" spans="1:2" x14ac:dyDescent="0.25">
      <c r="A4802" s="65">
        <v>4801</v>
      </c>
      <c r="B4802" s="64">
        <v>28847576.333316017</v>
      </c>
    </row>
    <row r="4803" spans="1:2" x14ac:dyDescent="0.25">
      <c r="A4803" s="65">
        <v>4802</v>
      </c>
      <c r="B4803" s="64">
        <v>29485146.460690312</v>
      </c>
    </row>
    <row r="4804" spans="1:2" x14ac:dyDescent="0.25">
      <c r="A4804" s="65">
        <v>4803</v>
      </c>
      <c r="B4804" s="64">
        <v>28462709.24374631</v>
      </c>
    </row>
    <row r="4805" spans="1:2" x14ac:dyDescent="0.25">
      <c r="A4805" s="65">
        <v>4804</v>
      </c>
      <c r="B4805" s="64">
        <v>29341565.452858981</v>
      </c>
    </row>
    <row r="4806" spans="1:2" x14ac:dyDescent="0.25">
      <c r="A4806" s="65">
        <v>4805</v>
      </c>
      <c r="B4806" s="64">
        <v>28726588.139391795</v>
      </c>
    </row>
    <row r="4807" spans="1:2" x14ac:dyDescent="0.25">
      <c r="A4807" s="65">
        <v>4806</v>
      </c>
      <c r="B4807" s="64">
        <v>30084286.888611358</v>
      </c>
    </row>
    <row r="4808" spans="1:2" x14ac:dyDescent="0.25">
      <c r="A4808" s="65">
        <v>4807</v>
      </c>
      <c r="B4808" s="64">
        <v>30355729.54209945</v>
      </c>
    </row>
    <row r="4809" spans="1:2" x14ac:dyDescent="0.25">
      <c r="A4809" s="65">
        <v>4808</v>
      </c>
      <c r="B4809" s="64">
        <v>30237098.311721586</v>
      </c>
    </row>
    <row r="4810" spans="1:2" x14ac:dyDescent="0.25">
      <c r="A4810" s="65">
        <v>4809</v>
      </c>
      <c r="B4810" s="64">
        <v>30620278.928583439</v>
      </c>
    </row>
    <row r="4811" spans="1:2" x14ac:dyDescent="0.25">
      <c r="A4811" s="65">
        <v>4810</v>
      </c>
      <c r="B4811" s="64">
        <v>28555847.601438668</v>
      </c>
    </row>
    <row r="4812" spans="1:2" x14ac:dyDescent="0.25">
      <c r="A4812" s="65">
        <v>4811</v>
      </c>
      <c r="B4812" s="64">
        <v>28530717.879578736</v>
      </c>
    </row>
    <row r="4813" spans="1:2" x14ac:dyDescent="0.25">
      <c r="A4813" s="65">
        <v>4812</v>
      </c>
      <c r="B4813" s="64">
        <v>28475260.766502753</v>
      </c>
    </row>
    <row r="4814" spans="1:2" x14ac:dyDescent="0.25">
      <c r="A4814" s="65">
        <v>4813</v>
      </c>
      <c r="B4814" s="64">
        <v>28841323.610646583</v>
      </c>
    </row>
    <row r="4815" spans="1:2" x14ac:dyDescent="0.25">
      <c r="A4815" s="65">
        <v>4814</v>
      </c>
      <c r="B4815" s="64">
        <v>28510805.521232914</v>
      </c>
    </row>
    <row r="4816" spans="1:2" x14ac:dyDescent="0.25">
      <c r="A4816" s="65">
        <v>4815</v>
      </c>
      <c r="B4816" s="64">
        <v>28789621.064511463</v>
      </c>
    </row>
    <row r="4817" spans="1:2" x14ac:dyDescent="0.25">
      <c r="A4817" s="65">
        <v>4816</v>
      </c>
      <c r="B4817" s="64">
        <v>29722215.571685176</v>
      </c>
    </row>
    <row r="4818" spans="1:2" x14ac:dyDescent="0.25">
      <c r="A4818" s="65">
        <v>4817</v>
      </c>
      <c r="B4818" s="64">
        <v>28932927.09258109</v>
      </c>
    </row>
    <row r="4819" spans="1:2" x14ac:dyDescent="0.25">
      <c r="A4819" s="65">
        <v>4818</v>
      </c>
      <c r="B4819" s="64">
        <v>29351415.496359833</v>
      </c>
    </row>
    <row r="4820" spans="1:2" x14ac:dyDescent="0.25">
      <c r="A4820" s="65">
        <v>4819</v>
      </c>
      <c r="B4820" s="64">
        <v>30254806.771575999</v>
      </c>
    </row>
    <row r="4821" spans="1:2" x14ac:dyDescent="0.25">
      <c r="A4821" s="65">
        <v>4820</v>
      </c>
      <c r="B4821" s="64">
        <v>29588082.872764118</v>
      </c>
    </row>
    <row r="4822" spans="1:2" x14ac:dyDescent="0.25">
      <c r="A4822" s="65">
        <v>4821</v>
      </c>
      <c r="B4822" s="64">
        <v>28846443.638736263</v>
      </c>
    </row>
    <row r="4823" spans="1:2" x14ac:dyDescent="0.25">
      <c r="A4823" s="65">
        <v>4822</v>
      </c>
      <c r="B4823" s="64">
        <v>32809604.270859618</v>
      </c>
    </row>
    <row r="4824" spans="1:2" x14ac:dyDescent="0.25">
      <c r="A4824" s="65">
        <v>4823</v>
      </c>
      <c r="B4824" s="64">
        <v>29467484.066157416</v>
      </c>
    </row>
    <row r="4825" spans="1:2" x14ac:dyDescent="0.25">
      <c r="A4825" s="65">
        <v>4824</v>
      </c>
      <c r="B4825" s="64">
        <v>28611444.418027207</v>
      </c>
    </row>
    <row r="4826" spans="1:2" x14ac:dyDescent="0.25">
      <c r="A4826" s="65">
        <v>4825</v>
      </c>
      <c r="B4826" s="64">
        <v>28561363.55241945</v>
      </c>
    </row>
    <row r="4827" spans="1:2" x14ac:dyDescent="0.25">
      <c r="A4827" s="65">
        <v>4826</v>
      </c>
      <c r="B4827" s="64">
        <v>29554274.01411346</v>
      </c>
    </row>
    <row r="4828" spans="1:2" x14ac:dyDescent="0.25">
      <c r="A4828" s="65">
        <v>4827</v>
      </c>
      <c r="B4828" s="64">
        <v>28888997.588467602</v>
      </c>
    </row>
    <row r="4829" spans="1:2" x14ac:dyDescent="0.25">
      <c r="A4829" s="65">
        <v>4828</v>
      </c>
      <c r="B4829" s="64">
        <v>28644052.466851812</v>
      </c>
    </row>
    <row r="4830" spans="1:2" x14ac:dyDescent="0.25">
      <c r="A4830" s="65">
        <v>4829</v>
      </c>
      <c r="B4830" s="64">
        <v>28872567.412624788</v>
      </c>
    </row>
    <row r="4831" spans="1:2" x14ac:dyDescent="0.25">
      <c r="A4831" s="65">
        <v>4830</v>
      </c>
      <c r="B4831" s="64">
        <v>29640895.725865465</v>
      </c>
    </row>
    <row r="4832" spans="1:2" x14ac:dyDescent="0.25">
      <c r="A4832" s="65">
        <v>4831</v>
      </c>
      <c r="B4832" s="64">
        <v>29888216.616374977</v>
      </c>
    </row>
    <row r="4833" spans="1:2" x14ac:dyDescent="0.25">
      <c r="A4833" s="65">
        <v>4832</v>
      </c>
      <c r="B4833" s="64">
        <v>28519170.32364383</v>
      </c>
    </row>
    <row r="4834" spans="1:2" x14ac:dyDescent="0.25">
      <c r="A4834" s="65">
        <v>4833</v>
      </c>
      <c r="B4834" s="64">
        <v>28818175.137404408</v>
      </c>
    </row>
    <row r="4835" spans="1:2" x14ac:dyDescent="0.25">
      <c r="A4835" s="65">
        <v>4834</v>
      </c>
      <c r="B4835" s="64">
        <v>28696221.050588723</v>
      </c>
    </row>
    <row r="4836" spans="1:2" x14ac:dyDescent="0.25">
      <c r="A4836" s="65">
        <v>4835</v>
      </c>
      <c r="B4836" s="64">
        <v>28868021.060810562</v>
      </c>
    </row>
    <row r="4837" spans="1:2" x14ac:dyDescent="0.25">
      <c r="A4837" s="65">
        <v>4836</v>
      </c>
      <c r="B4837" s="64">
        <v>28795399.217563886</v>
      </c>
    </row>
    <row r="4838" spans="1:2" x14ac:dyDescent="0.25">
      <c r="A4838" s="65">
        <v>4837</v>
      </c>
      <c r="B4838" s="64">
        <v>28871334.618913088</v>
      </c>
    </row>
    <row r="4839" spans="1:2" x14ac:dyDescent="0.25">
      <c r="A4839" s="65">
        <v>4838</v>
      </c>
      <c r="B4839" s="64">
        <v>29198153.629159328</v>
      </c>
    </row>
    <row r="4840" spans="1:2" x14ac:dyDescent="0.25">
      <c r="A4840" s="65">
        <v>4839</v>
      </c>
      <c r="B4840" s="64">
        <v>28691017.81851662</v>
      </c>
    </row>
    <row r="4841" spans="1:2" x14ac:dyDescent="0.25">
      <c r="A4841" s="65">
        <v>4840</v>
      </c>
      <c r="B4841" s="64">
        <v>29049951.417149507</v>
      </c>
    </row>
    <row r="4842" spans="1:2" x14ac:dyDescent="0.25">
      <c r="A4842" s="65">
        <v>4841</v>
      </c>
      <c r="B4842" s="64">
        <v>29517831.194406912</v>
      </c>
    </row>
    <row r="4843" spans="1:2" x14ac:dyDescent="0.25">
      <c r="A4843" s="65">
        <v>4842</v>
      </c>
      <c r="B4843" s="64">
        <v>28814160.628014285</v>
      </c>
    </row>
    <row r="4844" spans="1:2" x14ac:dyDescent="0.25">
      <c r="A4844" s="65">
        <v>4843</v>
      </c>
      <c r="B4844" s="64">
        <v>28479176.452049244</v>
      </c>
    </row>
    <row r="4845" spans="1:2" x14ac:dyDescent="0.25">
      <c r="A4845" s="65">
        <v>4844</v>
      </c>
      <c r="B4845" s="64">
        <v>28791949.783797473</v>
      </c>
    </row>
    <row r="4846" spans="1:2" x14ac:dyDescent="0.25">
      <c r="A4846" s="65">
        <v>4845</v>
      </c>
      <c r="B4846" s="64">
        <v>28975156.912322599</v>
      </c>
    </row>
    <row r="4847" spans="1:2" x14ac:dyDescent="0.25">
      <c r="A4847" s="65">
        <v>4846</v>
      </c>
      <c r="B4847" s="64">
        <v>28614790.640700083</v>
      </c>
    </row>
    <row r="4848" spans="1:2" x14ac:dyDescent="0.25">
      <c r="A4848" s="65">
        <v>4847</v>
      </c>
      <c r="B4848" s="64">
        <v>29636464.037563264</v>
      </c>
    </row>
    <row r="4849" spans="1:2" x14ac:dyDescent="0.25">
      <c r="A4849" s="65">
        <v>4848</v>
      </c>
      <c r="B4849" s="64">
        <v>29329244.466244202</v>
      </c>
    </row>
    <row r="4850" spans="1:2" x14ac:dyDescent="0.25">
      <c r="A4850" s="65">
        <v>4849</v>
      </c>
      <c r="B4850" s="64">
        <v>29378038.298312604</v>
      </c>
    </row>
    <row r="4851" spans="1:2" x14ac:dyDescent="0.25">
      <c r="A4851" s="65">
        <v>4850</v>
      </c>
      <c r="B4851" s="64">
        <v>29727879.1472857</v>
      </c>
    </row>
    <row r="4852" spans="1:2" x14ac:dyDescent="0.25">
      <c r="A4852" s="65">
        <v>4851</v>
      </c>
      <c r="B4852" s="64">
        <v>29559176.853420693</v>
      </c>
    </row>
    <row r="4853" spans="1:2" x14ac:dyDescent="0.25">
      <c r="A4853" s="65">
        <v>4852</v>
      </c>
      <c r="B4853" s="64">
        <v>29680416.028486796</v>
      </c>
    </row>
    <row r="4854" spans="1:2" x14ac:dyDescent="0.25">
      <c r="A4854" s="65">
        <v>4853</v>
      </c>
      <c r="B4854" s="64">
        <v>29145365.601727348</v>
      </c>
    </row>
    <row r="4855" spans="1:2" x14ac:dyDescent="0.25">
      <c r="A4855" s="65">
        <v>4854</v>
      </c>
      <c r="B4855" s="64">
        <v>33849238.791884854</v>
      </c>
    </row>
    <row r="4856" spans="1:2" x14ac:dyDescent="0.25">
      <c r="A4856" s="65">
        <v>4855</v>
      </c>
      <c r="B4856" s="64">
        <v>28715431.444590863</v>
      </c>
    </row>
    <row r="4857" spans="1:2" x14ac:dyDescent="0.25">
      <c r="A4857" s="65">
        <v>4856</v>
      </c>
      <c r="B4857" s="64">
        <v>29076723.964958977</v>
      </c>
    </row>
    <row r="4858" spans="1:2" x14ac:dyDescent="0.25">
      <c r="A4858" s="65">
        <v>4857</v>
      </c>
      <c r="B4858" s="64">
        <v>30337045.682057515</v>
      </c>
    </row>
    <row r="4859" spans="1:2" x14ac:dyDescent="0.25">
      <c r="A4859" s="65">
        <v>4858</v>
      </c>
      <c r="B4859" s="64">
        <v>28698189.138757963</v>
      </c>
    </row>
    <row r="4860" spans="1:2" x14ac:dyDescent="0.25">
      <c r="A4860" s="65">
        <v>4859</v>
      </c>
      <c r="B4860" s="64">
        <v>29261496.765276346</v>
      </c>
    </row>
    <row r="4861" spans="1:2" x14ac:dyDescent="0.25">
      <c r="A4861" s="65">
        <v>4860</v>
      </c>
      <c r="B4861" s="64">
        <v>30022142.927600078</v>
      </c>
    </row>
    <row r="4862" spans="1:2" x14ac:dyDescent="0.25">
      <c r="A4862" s="65">
        <v>4861</v>
      </c>
      <c r="B4862" s="64">
        <v>30041402.890916698</v>
      </c>
    </row>
    <row r="4863" spans="1:2" x14ac:dyDescent="0.25">
      <c r="A4863" s="65">
        <v>4862</v>
      </c>
      <c r="B4863" s="64">
        <v>29682859.46063742</v>
      </c>
    </row>
    <row r="4864" spans="1:2" x14ac:dyDescent="0.25">
      <c r="A4864" s="65">
        <v>4863</v>
      </c>
      <c r="B4864" s="64">
        <v>29087154.931077149</v>
      </c>
    </row>
    <row r="4865" spans="1:2" x14ac:dyDescent="0.25">
      <c r="A4865" s="65">
        <v>4864</v>
      </c>
      <c r="B4865" s="64">
        <v>30288048.45174155</v>
      </c>
    </row>
    <row r="4866" spans="1:2" x14ac:dyDescent="0.25">
      <c r="A4866" s="65">
        <v>4865</v>
      </c>
      <c r="B4866" s="64">
        <v>28956734.756236289</v>
      </c>
    </row>
    <row r="4867" spans="1:2" x14ac:dyDescent="0.25">
      <c r="A4867" s="65">
        <v>4866</v>
      </c>
      <c r="B4867" s="64">
        <v>29220517.068525299</v>
      </c>
    </row>
    <row r="4868" spans="1:2" x14ac:dyDescent="0.25">
      <c r="A4868" s="65">
        <v>4867</v>
      </c>
      <c r="B4868" s="64">
        <v>28942053.690532938</v>
      </c>
    </row>
    <row r="4869" spans="1:2" x14ac:dyDescent="0.25">
      <c r="A4869" s="65">
        <v>4868</v>
      </c>
      <c r="B4869" s="64">
        <v>30233389.938102443</v>
      </c>
    </row>
    <row r="4870" spans="1:2" x14ac:dyDescent="0.25">
      <c r="A4870" s="65">
        <v>4869</v>
      </c>
      <c r="B4870" s="64">
        <v>29189484.91391816</v>
      </c>
    </row>
    <row r="4871" spans="1:2" x14ac:dyDescent="0.25">
      <c r="A4871" s="65">
        <v>4870</v>
      </c>
      <c r="B4871" s="64">
        <v>29565880.937129147</v>
      </c>
    </row>
    <row r="4872" spans="1:2" x14ac:dyDescent="0.25">
      <c r="A4872" s="65">
        <v>4871</v>
      </c>
      <c r="B4872" s="64">
        <v>28658460.387937635</v>
      </c>
    </row>
    <row r="4873" spans="1:2" x14ac:dyDescent="0.25">
      <c r="A4873" s="65">
        <v>4872</v>
      </c>
      <c r="B4873" s="64">
        <v>28696957.683750052</v>
      </c>
    </row>
    <row r="4874" spans="1:2" x14ac:dyDescent="0.25">
      <c r="A4874" s="65">
        <v>4873</v>
      </c>
      <c r="B4874" s="64">
        <v>29054904.628763471</v>
      </c>
    </row>
    <row r="4875" spans="1:2" x14ac:dyDescent="0.25">
      <c r="A4875" s="65">
        <v>4874</v>
      </c>
      <c r="B4875" s="64">
        <v>28830314.754064329</v>
      </c>
    </row>
    <row r="4876" spans="1:2" x14ac:dyDescent="0.25">
      <c r="A4876" s="65">
        <v>4875</v>
      </c>
      <c r="B4876" s="64">
        <v>29151252.811992694</v>
      </c>
    </row>
    <row r="4877" spans="1:2" x14ac:dyDescent="0.25">
      <c r="A4877" s="65">
        <v>4876</v>
      </c>
      <c r="B4877" s="64">
        <v>29053465.359430313</v>
      </c>
    </row>
    <row r="4878" spans="1:2" x14ac:dyDescent="0.25">
      <c r="A4878" s="65">
        <v>4877</v>
      </c>
      <c r="B4878" s="64">
        <v>28961562.798179593</v>
      </c>
    </row>
    <row r="4879" spans="1:2" x14ac:dyDescent="0.25">
      <c r="A4879" s="65">
        <v>4878</v>
      </c>
      <c r="B4879" s="64">
        <v>29166251.712516423</v>
      </c>
    </row>
    <row r="4880" spans="1:2" x14ac:dyDescent="0.25">
      <c r="A4880" s="65">
        <v>4879</v>
      </c>
      <c r="B4880" s="64">
        <v>28788906.053588018</v>
      </c>
    </row>
    <row r="4881" spans="1:2" x14ac:dyDescent="0.25">
      <c r="A4881" s="65">
        <v>4880</v>
      </c>
      <c r="B4881" s="64">
        <v>28518574.251777317</v>
      </c>
    </row>
    <row r="4882" spans="1:2" x14ac:dyDescent="0.25">
      <c r="A4882" s="65">
        <v>4881</v>
      </c>
      <c r="B4882" s="64">
        <v>28824965.912802085</v>
      </c>
    </row>
    <row r="4883" spans="1:2" x14ac:dyDescent="0.25">
      <c r="A4883" s="65">
        <v>4882</v>
      </c>
      <c r="B4883" s="64">
        <v>28751286.871851377</v>
      </c>
    </row>
    <row r="4884" spans="1:2" x14ac:dyDescent="0.25">
      <c r="A4884" s="65">
        <v>4883</v>
      </c>
      <c r="B4884" s="64">
        <v>31168891.177101832</v>
      </c>
    </row>
    <row r="4885" spans="1:2" x14ac:dyDescent="0.25">
      <c r="A4885" s="65">
        <v>4884</v>
      </c>
      <c r="B4885" s="64">
        <v>33343887.343258392</v>
      </c>
    </row>
    <row r="4886" spans="1:2" x14ac:dyDescent="0.25">
      <c r="A4886" s="65">
        <v>4885</v>
      </c>
      <c r="B4886" s="64">
        <v>28931594.927031245</v>
      </c>
    </row>
    <row r="4887" spans="1:2" x14ac:dyDescent="0.25">
      <c r="A4887" s="65">
        <v>4886</v>
      </c>
      <c r="B4887" s="64">
        <v>28463370.069693483</v>
      </c>
    </row>
    <row r="4888" spans="1:2" x14ac:dyDescent="0.25">
      <c r="A4888" s="65">
        <v>4887</v>
      </c>
      <c r="B4888" s="64">
        <v>29321956.255024746</v>
      </c>
    </row>
    <row r="4889" spans="1:2" x14ac:dyDescent="0.25">
      <c r="A4889" s="65">
        <v>4888</v>
      </c>
      <c r="B4889" s="64">
        <v>30032735.001355704</v>
      </c>
    </row>
    <row r="4890" spans="1:2" x14ac:dyDescent="0.25">
      <c r="A4890" s="65">
        <v>4889</v>
      </c>
      <c r="B4890" s="64">
        <v>29621556.324465979</v>
      </c>
    </row>
    <row r="4891" spans="1:2" x14ac:dyDescent="0.25">
      <c r="A4891" s="65">
        <v>4890</v>
      </c>
      <c r="B4891" s="64">
        <v>29602671.317669783</v>
      </c>
    </row>
    <row r="4892" spans="1:2" x14ac:dyDescent="0.25">
      <c r="A4892" s="65">
        <v>4891</v>
      </c>
      <c r="B4892" s="64">
        <v>28804884.702943999</v>
      </c>
    </row>
    <row r="4893" spans="1:2" x14ac:dyDescent="0.25">
      <c r="A4893" s="65">
        <v>4892</v>
      </c>
      <c r="B4893" s="64">
        <v>29189392.680893943</v>
      </c>
    </row>
    <row r="4894" spans="1:2" x14ac:dyDescent="0.25">
      <c r="A4894" s="65">
        <v>4893</v>
      </c>
      <c r="B4894" s="64">
        <v>29489326.473451089</v>
      </c>
    </row>
    <row r="4895" spans="1:2" x14ac:dyDescent="0.25">
      <c r="A4895" s="65">
        <v>4894</v>
      </c>
      <c r="B4895" s="64">
        <v>30258796.231780428</v>
      </c>
    </row>
    <row r="4896" spans="1:2" x14ac:dyDescent="0.25">
      <c r="A4896" s="65">
        <v>4895</v>
      </c>
      <c r="B4896" s="64">
        <v>28898063.214824297</v>
      </c>
    </row>
    <row r="4897" spans="1:2" x14ac:dyDescent="0.25">
      <c r="A4897" s="65">
        <v>4896</v>
      </c>
      <c r="B4897" s="64">
        <v>29270425.84739076</v>
      </c>
    </row>
    <row r="4898" spans="1:2" x14ac:dyDescent="0.25">
      <c r="A4898" s="65">
        <v>4897</v>
      </c>
      <c r="B4898" s="64">
        <v>29140040.260076735</v>
      </c>
    </row>
    <row r="4899" spans="1:2" x14ac:dyDescent="0.25">
      <c r="A4899" s="65">
        <v>4898</v>
      </c>
      <c r="B4899" s="64">
        <v>28624042.103164446</v>
      </c>
    </row>
    <row r="4900" spans="1:2" x14ac:dyDescent="0.25">
      <c r="A4900" s="65">
        <v>4899</v>
      </c>
      <c r="B4900" s="64">
        <v>29799713.040184926</v>
      </c>
    </row>
    <row r="4901" spans="1:2" x14ac:dyDescent="0.25">
      <c r="A4901" s="65">
        <v>4900</v>
      </c>
      <c r="B4901" s="64">
        <v>28731573.007133178</v>
      </c>
    </row>
    <row r="4902" spans="1:2" x14ac:dyDescent="0.25">
      <c r="A4902" s="65">
        <v>4901</v>
      </c>
      <c r="B4902" s="64">
        <v>28674691.639582388</v>
      </c>
    </row>
    <row r="4903" spans="1:2" x14ac:dyDescent="0.25">
      <c r="A4903" s="65">
        <v>4902</v>
      </c>
      <c r="B4903" s="64">
        <v>29572312.038714264</v>
      </c>
    </row>
    <row r="4904" spans="1:2" x14ac:dyDescent="0.25">
      <c r="A4904" s="65">
        <v>4903</v>
      </c>
      <c r="B4904" s="64">
        <v>30115535.390738983</v>
      </c>
    </row>
    <row r="4905" spans="1:2" x14ac:dyDescent="0.25">
      <c r="A4905" s="65">
        <v>4904</v>
      </c>
      <c r="B4905" s="64">
        <v>30249203.161646977</v>
      </c>
    </row>
    <row r="4906" spans="1:2" x14ac:dyDescent="0.25">
      <c r="A4906" s="65">
        <v>4905</v>
      </c>
      <c r="B4906" s="64">
        <v>29755019.662792612</v>
      </c>
    </row>
    <row r="4907" spans="1:2" x14ac:dyDescent="0.25">
      <c r="A4907" s="65">
        <v>4906</v>
      </c>
      <c r="B4907" s="64">
        <v>30526792.245670393</v>
      </c>
    </row>
    <row r="4908" spans="1:2" x14ac:dyDescent="0.25">
      <c r="A4908" s="65">
        <v>4907</v>
      </c>
      <c r="B4908" s="64">
        <v>28870976.620669685</v>
      </c>
    </row>
    <row r="4909" spans="1:2" x14ac:dyDescent="0.25">
      <c r="A4909" s="65">
        <v>4908</v>
      </c>
      <c r="B4909" s="64">
        <v>29701555.556154385</v>
      </c>
    </row>
    <row r="4910" spans="1:2" x14ac:dyDescent="0.25">
      <c r="A4910" s="65">
        <v>4909</v>
      </c>
      <c r="B4910" s="64">
        <v>28959255.966299579</v>
      </c>
    </row>
    <row r="4911" spans="1:2" x14ac:dyDescent="0.25">
      <c r="A4911" s="65">
        <v>4910</v>
      </c>
      <c r="B4911" s="64">
        <v>28682115.316632863</v>
      </c>
    </row>
    <row r="4912" spans="1:2" x14ac:dyDescent="0.25">
      <c r="A4912" s="65">
        <v>4911</v>
      </c>
      <c r="B4912" s="64">
        <v>30406816.361967884</v>
      </c>
    </row>
    <row r="4913" spans="1:2" x14ac:dyDescent="0.25">
      <c r="A4913" s="65">
        <v>4912</v>
      </c>
      <c r="B4913" s="64">
        <v>28698444.169782732</v>
      </c>
    </row>
    <row r="4914" spans="1:2" x14ac:dyDescent="0.25">
      <c r="A4914" s="65">
        <v>4913</v>
      </c>
      <c r="B4914" s="64">
        <v>29264074.1132612</v>
      </c>
    </row>
    <row r="4915" spans="1:2" x14ac:dyDescent="0.25">
      <c r="A4915" s="65">
        <v>4914</v>
      </c>
      <c r="B4915" s="64">
        <v>30944083.350578669</v>
      </c>
    </row>
    <row r="4916" spans="1:2" x14ac:dyDescent="0.25">
      <c r="A4916" s="65">
        <v>4915</v>
      </c>
      <c r="B4916" s="64">
        <v>28749473.911002673</v>
      </c>
    </row>
    <row r="4917" spans="1:2" x14ac:dyDescent="0.25">
      <c r="A4917" s="65">
        <v>4916</v>
      </c>
      <c r="B4917" s="64">
        <v>29844177.019586936</v>
      </c>
    </row>
    <row r="4918" spans="1:2" x14ac:dyDescent="0.25">
      <c r="A4918" s="65">
        <v>4917</v>
      </c>
      <c r="B4918" s="64">
        <v>28960665.257984463</v>
      </c>
    </row>
    <row r="4919" spans="1:2" x14ac:dyDescent="0.25">
      <c r="A4919" s="65">
        <v>4918</v>
      </c>
      <c r="B4919" s="64">
        <v>29762192.715212028</v>
      </c>
    </row>
    <row r="4920" spans="1:2" x14ac:dyDescent="0.25">
      <c r="A4920" s="65">
        <v>4919</v>
      </c>
      <c r="B4920" s="64">
        <v>28562329.734429613</v>
      </c>
    </row>
    <row r="4921" spans="1:2" x14ac:dyDescent="0.25">
      <c r="A4921" s="65">
        <v>4920</v>
      </c>
      <c r="B4921" s="64">
        <v>29396473.222591288</v>
      </c>
    </row>
    <row r="4922" spans="1:2" x14ac:dyDescent="0.25">
      <c r="A4922" s="65">
        <v>4921</v>
      </c>
      <c r="B4922" s="64">
        <v>29351721.473528903</v>
      </c>
    </row>
    <row r="4923" spans="1:2" x14ac:dyDescent="0.25">
      <c r="A4923" s="65">
        <v>4922</v>
      </c>
      <c r="B4923" s="64">
        <v>29868949.403873369</v>
      </c>
    </row>
    <row r="4924" spans="1:2" x14ac:dyDescent="0.25">
      <c r="A4924" s="65">
        <v>4923</v>
      </c>
      <c r="B4924" s="64">
        <v>29212377.069871582</v>
      </c>
    </row>
    <row r="4925" spans="1:2" x14ac:dyDescent="0.25">
      <c r="A4925" s="65">
        <v>4924</v>
      </c>
      <c r="B4925" s="64">
        <v>28858464.394154865</v>
      </c>
    </row>
    <row r="4926" spans="1:2" x14ac:dyDescent="0.25">
      <c r="A4926" s="65">
        <v>4925</v>
      </c>
      <c r="B4926" s="64">
        <v>28812456.843079366</v>
      </c>
    </row>
    <row r="4927" spans="1:2" x14ac:dyDescent="0.25">
      <c r="A4927" s="65">
        <v>4926</v>
      </c>
      <c r="B4927" s="64">
        <v>28800147.381783083</v>
      </c>
    </row>
    <row r="4928" spans="1:2" x14ac:dyDescent="0.25">
      <c r="A4928" s="65">
        <v>4927</v>
      </c>
      <c r="B4928" s="64">
        <v>28879546.410417397</v>
      </c>
    </row>
    <row r="4929" spans="1:2" x14ac:dyDescent="0.25">
      <c r="A4929" s="65">
        <v>4928</v>
      </c>
      <c r="B4929" s="64">
        <v>29292454.311077289</v>
      </c>
    </row>
    <row r="4930" spans="1:2" x14ac:dyDescent="0.25">
      <c r="A4930" s="65">
        <v>4929</v>
      </c>
      <c r="B4930" s="64">
        <v>29588537.008819122</v>
      </c>
    </row>
    <row r="4931" spans="1:2" x14ac:dyDescent="0.25">
      <c r="A4931" s="65">
        <v>4930</v>
      </c>
      <c r="B4931" s="64">
        <v>29106013.805592824</v>
      </c>
    </row>
    <row r="4932" spans="1:2" x14ac:dyDescent="0.25">
      <c r="A4932" s="65">
        <v>4931</v>
      </c>
      <c r="B4932" s="64">
        <v>29189001.207834952</v>
      </c>
    </row>
    <row r="4933" spans="1:2" x14ac:dyDescent="0.25">
      <c r="A4933" s="65">
        <v>4932</v>
      </c>
      <c r="B4933" s="64">
        <v>30158235.870469745</v>
      </c>
    </row>
    <row r="4934" spans="1:2" x14ac:dyDescent="0.25">
      <c r="A4934" s="65">
        <v>4933</v>
      </c>
      <c r="B4934" s="64">
        <v>33758567.408175737</v>
      </c>
    </row>
    <row r="4935" spans="1:2" x14ac:dyDescent="0.25">
      <c r="A4935" s="65">
        <v>4934</v>
      </c>
      <c r="B4935" s="64">
        <v>29072434.767919119</v>
      </c>
    </row>
    <row r="4936" spans="1:2" x14ac:dyDescent="0.25">
      <c r="A4936" s="65">
        <v>4935</v>
      </c>
      <c r="B4936" s="64">
        <v>29331167.611700725</v>
      </c>
    </row>
    <row r="4937" spans="1:2" x14ac:dyDescent="0.25">
      <c r="A4937" s="65">
        <v>4936</v>
      </c>
      <c r="B4937" s="64">
        <v>29000161.869034093</v>
      </c>
    </row>
    <row r="4938" spans="1:2" x14ac:dyDescent="0.25">
      <c r="A4938" s="65">
        <v>4937</v>
      </c>
      <c r="B4938" s="64">
        <v>30704102.139952328</v>
      </c>
    </row>
    <row r="4939" spans="1:2" x14ac:dyDescent="0.25">
      <c r="A4939" s="65">
        <v>4938</v>
      </c>
      <c r="B4939" s="64">
        <v>29200065.466145389</v>
      </c>
    </row>
    <row r="4940" spans="1:2" x14ac:dyDescent="0.25">
      <c r="A4940" s="65">
        <v>4939</v>
      </c>
      <c r="B4940" s="64">
        <v>28861562.987800729</v>
      </c>
    </row>
    <row r="4941" spans="1:2" x14ac:dyDescent="0.25">
      <c r="A4941" s="65">
        <v>4940</v>
      </c>
      <c r="B4941" s="64">
        <v>30051681.617959704</v>
      </c>
    </row>
    <row r="4942" spans="1:2" x14ac:dyDescent="0.25">
      <c r="A4942" s="65">
        <v>4941</v>
      </c>
      <c r="B4942" s="64">
        <v>28862806.842856467</v>
      </c>
    </row>
    <row r="4943" spans="1:2" x14ac:dyDescent="0.25">
      <c r="A4943" s="65">
        <v>4942</v>
      </c>
      <c r="B4943" s="64">
        <v>28915369.18378162</v>
      </c>
    </row>
    <row r="4944" spans="1:2" x14ac:dyDescent="0.25">
      <c r="A4944" s="65">
        <v>4943</v>
      </c>
      <c r="B4944" s="64">
        <v>29476337.805006918</v>
      </c>
    </row>
    <row r="4945" spans="1:2" x14ac:dyDescent="0.25">
      <c r="A4945" s="65">
        <v>4944</v>
      </c>
      <c r="B4945" s="64">
        <v>29314586.770867489</v>
      </c>
    </row>
    <row r="4946" spans="1:2" x14ac:dyDescent="0.25">
      <c r="A4946" s="65">
        <v>4945</v>
      </c>
      <c r="B4946" s="64">
        <v>29333295.565287262</v>
      </c>
    </row>
    <row r="4947" spans="1:2" x14ac:dyDescent="0.25">
      <c r="A4947" s="65">
        <v>4946</v>
      </c>
      <c r="B4947" s="64">
        <v>29118100.56366061</v>
      </c>
    </row>
    <row r="4948" spans="1:2" x14ac:dyDescent="0.25">
      <c r="A4948" s="65">
        <v>4947</v>
      </c>
      <c r="B4948" s="64">
        <v>29334135.235674448</v>
      </c>
    </row>
    <row r="4949" spans="1:2" x14ac:dyDescent="0.25">
      <c r="A4949" s="65">
        <v>4948</v>
      </c>
      <c r="B4949" s="64">
        <v>29125740.773747958</v>
      </c>
    </row>
    <row r="4950" spans="1:2" x14ac:dyDescent="0.25">
      <c r="A4950" s="65">
        <v>4949</v>
      </c>
      <c r="B4950" s="64">
        <v>31605848.41094102</v>
      </c>
    </row>
    <row r="4951" spans="1:2" x14ac:dyDescent="0.25">
      <c r="A4951" s="65">
        <v>4950</v>
      </c>
      <c r="B4951" s="64">
        <v>28737798.717517048</v>
      </c>
    </row>
    <row r="4952" spans="1:2" x14ac:dyDescent="0.25">
      <c r="A4952" s="65">
        <v>4951</v>
      </c>
      <c r="B4952" s="64">
        <v>30302370.684856929</v>
      </c>
    </row>
    <row r="4953" spans="1:2" x14ac:dyDescent="0.25">
      <c r="A4953" s="65">
        <v>4952</v>
      </c>
      <c r="B4953" s="64">
        <v>29894341.907070819</v>
      </c>
    </row>
    <row r="4954" spans="1:2" x14ac:dyDescent="0.25">
      <c r="A4954" s="65">
        <v>4953</v>
      </c>
      <c r="B4954" s="64">
        <v>31789392.820186436</v>
      </c>
    </row>
    <row r="4955" spans="1:2" x14ac:dyDescent="0.25">
      <c r="A4955" s="65">
        <v>4954</v>
      </c>
      <c r="B4955" s="64">
        <v>28541294.051513776</v>
      </c>
    </row>
    <row r="4956" spans="1:2" x14ac:dyDescent="0.25">
      <c r="A4956" s="65">
        <v>4955</v>
      </c>
      <c r="B4956" s="64">
        <v>28893016.051041696</v>
      </c>
    </row>
    <row r="4957" spans="1:2" x14ac:dyDescent="0.25">
      <c r="A4957" s="65">
        <v>4956</v>
      </c>
      <c r="B4957" s="64">
        <v>33335434.834488731</v>
      </c>
    </row>
    <row r="4958" spans="1:2" x14ac:dyDescent="0.25">
      <c r="A4958" s="65">
        <v>4957</v>
      </c>
      <c r="B4958" s="64">
        <v>30057301.218124066</v>
      </c>
    </row>
    <row r="4959" spans="1:2" x14ac:dyDescent="0.25">
      <c r="A4959" s="65">
        <v>4958</v>
      </c>
      <c r="B4959" s="64">
        <v>29684060.367431629</v>
      </c>
    </row>
    <row r="4960" spans="1:2" x14ac:dyDescent="0.25">
      <c r="A4960" s="65">
        <v>4959</v>
      </c>
      <c r="B4960" s="64">
        <v>29999008.832194719</v>
      </c>
    </row>
    <row r="4961" spans="1:2" x14ac:dyDescent="0.25">
      <c r="A4961" s="65">
        <v>4960</v>
      </c>
      <c r="B4961" s="64">
        <v>30155973.645979714</v>
      </c>
    </row>
    <row r="4962" spans="1:2" x14ac:dyDescent="0.25">
      <c r="A4962" s="65">
        <v>4961</v>
      </c>
      <c r="B4962" s="64">
        <v>29265341.499374799</v>
      </c>
    </row>
    <row r="4963" spans="1:2" x14ac:dyDescent="0.25">
      <c r="A4963" s="65">
        <v>4962</v>
      </c>
      <c r="B4963" s="64">
        <v>29041570.140545055</v>
      </c>
    </row>
    <row r="4964" spans="1:2" x14ac:dyDescent="0.25">
      <c r="A4964" s="65">
        <v>4963</v>
      </c>
      <c r="B4964" s="64">
        <v>29230553.581557196</v>
      </c>
    </row>
    <row r="4965" spans="1:2" x14ac:dyDescent="0.25">
      <c r="A4965" s="65">
        <v>4964</v>
      </c>
      <c r="B4965" s="64">
        <v>29216823.347546261</v>
      </c>
    </row>
    <row r="4966" spans="1:2" x14ac:dyDescent="0.25">
      <c r="A4966" s="65">
        <v>4965</v>
      </c>
      <c r="B4966" s="64">
        <v>29748666.037762389</v>
      </c>
    </row>
    <row r="4967" spans="1:2" x14ac:dyDescent="0.25">
      <c r="A4967" s="65">
        <v>4966</v>
      </c>
      <c r="B4967" s="64">
        <v>29202513.837179799</v>
      </c>
    </row>
    <row r="4968" spans="1:2" x14ac:dyDescent="0.25">
      <c r="A4968" s="65">
        <v>4967</v>
      </c>
      <c r="B4968" s="64">
        <v>30425220.236205656</v>
      </c>
    </row>
    <row r="4969" spans="1:2" x14ac:dyDescent="0.25">
      <c r="A4969" s="65">
        <v>4968</v>
      </c>
      <c r="B4969" s="64">
        <v>28958723.987756271</v>
      </c>
    </row>
    <row r="4970" spans="1:2" x14ac:dyDescent="0.25">
      <c r="A4970" s="65">
        <v>4969</v>
      </c>
      <c r="B4970" s="64">
        <v>29856878.275373485</v>
      </c>
    </row>
    <row r="4971" spans="1:2" x14ac:dyDescent="0.25">
      <c r="A4971" s="65">
        <v>4970</v>
      </c>
      <c r="B4971" s="64">
        <v>29145554.168047518</v>
      </c>
    </row>
    <row r="4972" spans="1:2" x14ac:dyDescent="0.25">
      <c r="A4972" s="65">
        <v>4971</v>
      </c>
      <c r="B4972" s="64">
        <v>32545276.575607218</v>
      </c>
    </row>
    <row r="4973" spans="1:2" x14ac:dyDescent="0.25">
      <c r="A4973" s="65">
        <v>4972</v>
      </c>
      <c r="B4973" s="64">
        <v>28733232.295136135</v>
      </c>
    </row>
    <row r="4974" spans="1:2" x14ac:dyDescent="0.25">
      <c r="A4974" s="65">
        <v>4973</v>
      </c>
      <c r="B4974" s="64">
        <v>29744718.071904182</v>
      </c>
    </row>
    <row r="4975" spans="1:2" x14ac:dyDescent="0.25">
      <c r="A4975" s="65">
        <v>4974</v>
      </c>
      <c r="B4975" s="64">
        <v>30267609.32898692</v>
      </c>
    </row>
    <row r="4976" spans="1:2" x14ac:dyDescent="0.25">
      <c r="A4976" s="65">
        <v>4975</v>
      </c>
      <c r="B4976" s="64">
        <v>28988596.07246023</v>
      </c>
    </row>
    <row r="4977" spans="1:2" x14ac:dyDescent="0.25">
      <c r="A4977" s="65">
        <v>4976</v>
      </c>
      <c r="B4977" s="64">
        <v>28787911.006623589</v>
      </c>
    </row>
    <row r="4978" spans="1:2" x14ac:dyDescent="0.25">
      <c r="A4978" s="65">
        <v>4977</v>
      </c>
      <c r="B4978" s="64">
        <v>28873884.692527764</v>
      </c>
    </row>
    <row r="4979" spans="1:2" x14ac:dyDescent="0.25">
      <c r="A4979" s="65">
        <v>4978</v>
      </c>
      <c r="B4979" s="64">
        <v>28337565.552071121</v>
      </c>
    </row>
    <row r="4980" spans="1:2" x14ac:dyDescent="0.25">
      <c r="A4980" s="65">
        <v>4979</v>
      </c>
      <c r="B4980" s="64">
        <v>29023297.449171785</v>
      </c>
    </row>
    <row r="4981" spans="1:2" x14ac:dyDescent="0.25">
      <c r="A4981" s="65">
        <v>4980</v>
      </c>
      <c r="B4981" s="64">
        <v>28875908.549166065</v>
      </c>
    </row>
    <row r="4982" spans="1:2" x14ac:dyDescent="0.25">
      <c r="A4982" s="65">
        <v>4981</v>
      </c>
      <c r="B4982" s="64">
        <v>29590199.497028649</v>
      </c>
    </row>
    <row r="4983" spans="1:2" x14ac:dyDescent="0.25">
      <c r="A4983" s="65">
        <v>4982</v>
      </c>
      <c r="B4983" s="64">
        <v>28524519.971904259</v>
      </c>
    </row>
    <row r="4984" spans="1:2" x14ac:dyDescent="0.25">
      <c r="A4984" s="65">
        <v>4983</v>
      </c>
      <c r="B4984" s="64">
        <v>29170833.231972359</v>
      </c>
    </row>
    <row r="4985" spans="1:2" x14ac:dyDescent="0.25">
      <c r="A4985" s="65">
        <v>4984</v>
      </c>
      <c r="B4985" s="64">
        <v>28356438.82792354</v>
      </c>
    </row>
    <row r="4986" spans="1:2" x14ac:dyDescent="0.25">
      <c r="A4986" s="65">
        <v>4985</v>
      </c>
      <c r="B4986" s="64">
        <v>28883330.05969774</v>
      </c>
    </row>
    <row r="4987" spans="1:2" x14ac:dyDescent="0.25">
      <c r="A4987" s="65">
        <v>4986</v>
      </c>
      <c r="B4987" s="64">
        <v>28989142.645177957</v>
      </c>
    </row>
    <row r="4988" spans="1:2" x14ac:dyDescent="0.25">
      <c r="A4988" s="65">
        <v>4987</v>
      </c>
      <c r="B4988" s="64">
        <v>29749522.698983733</v>
      </c>
    </row>
    <row r="4989" spans="1:2" x14ac:dyDescent="0.25">
      <c r="A4989" s="65">
        <v>4988</v>
      </c>
      <c r="B4989" s="64">
        <v>29671695.601963188</v>
      </c>
    </row>
    <row r="4990" spans="1:2" x14ac:dyDescent="0.25">
      <c r="A4990" s="65">
        <v>4989</v>
      </c>
      <c r="B4990" s="64">
        <v>28887808.320938323</v>
      </c>
    </row>
    <row r="4991" spans="1:2" x14ac:dyDescent="0.25">
      <c r="A4991" s="65">
        <v>4990</v>
      </c>
      <c r="B4991" s="64">
        <v>28723658.255211201</v>
      </c>
    </row>
    <row r="4992" spans="1:2" x14ac:dyDescent="0.25">
      <c r="A4992" s="65">
        <v>4991</v>
      </c>
      <c r="B4992" s="64">
        <v>29398561.431674689</v>
      </c>
    </row>
    <row r="4993" spans="1:2" x14ac:dyDescent="0.25">
      <c r="A4993" s="65">
        <v>4992</v>
      </c>
      <c r="B4993" s="64">
        <v>29181004.568734415</v>
      </c>
    </row>
    <row r="4994" spans="1:2" x14ac:dyDescent="0.25">
      <c r="A4994" s="65">
        <v>4993</v>
      </c>
      <c r="B4994" s="64">
        <v>29400065.664648805</v>
      </c>
    </row>
    <row r="4995" spans="1:2" x14ac:dyDescent="0.25">
      <c r="A4995" s="65">
        <v>4994</v>
      </c>
      <c r="B4995" s="64">
        <v>29019651.391941983</v>
      </c>
    </row>
    <row r="4996" spans="1:2" x14ac:dyDescent="0.25">
      <c r="A4996" s="65">
        <v>4995</v>
      </c>
      <c r="B4996" s="64">
        <v>28750130.135367274</v>
      </c>
    </row>
    <row r="4997" spans="1:2" x14ac:dyDescent="0.25">
      <c r="A4997" s="65">
        <v>4996</v>
      </c>
      <c r="B4997" s="64">
        <v>28659510.339794043</v>
      </c>
    </row>
    <row r="4998" spans="1:2" x14ac:dyDescent="0.25">
      <c r="A4998" s="65">
        <v>4997</v>
      </c>
      <c r="B4998" s="64">
        <v>30064904.287201136</v>
      </c>
    </row>
    <row r="4999" spans="1:2" x14ac:dyDescent="0.25">
      <c r="A4999" s="65">
        <v>4998</v>
      </c>
      <c r="B4999" s="64">
        <v>29519641.317057896</v>
      </c>
    </row>
    <row r="5000" spans="1:2" x14ac:dyDescent="0.25">
      <c r="A5000" s="65">
        <v>4999</v>
      </c>
      <c r="B5000" s="64">
        <v>29459924.842213694</v>
      </c>
    </row>
    <row r="5001" spans="1:2" x14ac:dyDescent="0.25">
      <c r="A5001" s="65">
        <v>5000</v>
      </c>
      <c r="B5001" s="64">
        <v>29548278.092805155</v>
      </c>
    </row>
    <row r="5002" spans="1:2" x14ac:dyDescent="0.25">
      <c r="A5002" s="65">
        <v>5001</v>
      </c>
      <c r="B5002" s="64">
        <v>28461585.740827348</v>
      </c>
    </row>
    <row r="5003" spans="1:2" x14ac:dyDescent="0.25">
      <c r="A5003" s="65">
        <v>5002</v>
      </c>
      <c r="B5003" s="64">
        <v>28595965.921115365</v>
      </c>
    </row>
    <row r="5004" spans="1:2" x14ac:dyDescent="0.25">
      <c r="A5004" s="65">
        <v>5003</v>
      </c>
      <c r="B5004" s="64">
        <v>30731583.76743196</v>
      </c>
    </row>
    <row r="5005" spans="1:2" x14ac:dyDescent="0.25">
      <c r="A5005" s="65">
        <v>5004</v>
      </c>
      <c r="B5005" s="64">
        <v>30457307.655657876</v>
      </c>
    </row>
    <row r="5006" spans="1:2" x14ac:dyDescent="0.25">
      <c r="A5006" s="65">
        <v>5005</v>
      </c>
      <c r="B5006" s="64">
        <v>29082145.518282864</v>
      </c>
    </row>
    <row r="5007" spans="1:2" x14ac:dyDescent="0.25">
      <c r="A5007" s="65">
        <v>5006</v>
      </c>
      <c r="B5007" s="64">
        <v>29231990.189870894</v>
      </c>
    </row>
    <row r="5008" spans="1:2" x14ac:dyDescent="0.25">
      <c r="A5008" s="65">
        <v>5007</v>
      </c>
      <c r="B5008" s="64">
        <v>28734406.111012455</v>
      </c>
    </row>
    <row r="5009" spans="1:2" x14ac:dyDescent="0.25">
      <c r="A5009" s="65">
        <v>5008</v>
      </c>
      <c r="B5009" s="64">
        <v>28622327.41625933</v>
      </c>
    </row>
    <row r="5010" spans="1:2" x14ac:dyDescent="0.25">
      <c r="A5010" s="65">
        <v>5009</v>
      </c>
      <c r="B5010" s="64">
        <v>28663013.30077029</v>
      </c>
    </row>
    <row r="5011" spans="1:2" x14ac:dyDescent="0.25">
      <c r="A5011" s="65">
        <v>5010</v>
      </c>
      <c r="B5011" s="64">
        <v>28889275.291523777</v>
      </c>
    </row>
    <row r="5012" spans="1:2" x14ac:dyDescent="0.25">
      <c r="A5012" s="65">
        <v>5011</v>
      </c>
      <c r="B5012" s="64">
        <v>33258382.396679159</v>
      </c>
    </row>
    <row r="5013" spans="1:2" x14ac:dyDescent="0.25">
      <c r="A5013" s="65">
        <v>5012</v>
      </c>
      <c r="B5013" s="64">
        <v>28923014.253061119</v>
      </c>
    </row>
    <row r="5014" spans="1:2" x14ac:dyDescent="0.25">
      <c r="A5014" s="65">
        <v>5013</v>
      </c>
      <c r="B5014" s="64">
        <v>28772132.383619551</v>
      </c>
    </row>
    <row r="5015" spans="1:2" x14ac:dyDescent="0.25">
      <c r="A5015" s="65">
        <v>5014</v>
      </c>
      <c r="B5015" s="64">
        <v>28701599.716922309</v>
      </c>
    </row>
    <row r="5016" spans="1:2" x14ac:dyDescent="0.25">
      <c r="A5016" s="65">
        <v>5015</v>
      </c>
      <c r="B5016" s="64">
        <v>28532667.862117946</v>
      </c>
    </row>
    <row r="5017" spans="1:2" x14ac:dyDescent="0.25">
      <c r="A5017" s="65">
        <v>5016</v>
      </c>
      <c r="B5017" s="64">
        <v>30049522.203284223</v>
      </c>
    </row>
    <row r="5018" spans="1:2" x14ac:dyDescent="0.25">
      <c r="A5018" s="65">
        <v>5017</v>
      </c>
      <c r="B5018" s="64">
        <v>33465295.211034287</v>
      </c>
    </row>
    <row r="5019" spans="1:2" x14ac:dyDescent="0.25">
      <c r="A5019" s="65">
        <v>5018</v>
      </c>
      <c r="B5019" s="64">
        <v>29653209.233385086</v>
      </c>
    </row>
    <row r="5020" spans="1:2" x14ac:dyDescent="0.25">
      <c r="A5020" s="65">
        <v>5019</v>
      </c>
      <c r="B5020" s="64">
        <v>28726733.172961354</v>
      </c>
    </row>
    <row r="5021" spans="1:2" x14ac:dyDescent="0.25">
      <c r="A5021" s="65">
        <v>5020</v>
      </c>
      <c r="B5021" s="64">
        <v>28936313.608276822</v>
      </c>
    </row>
    <row r="5022" spans="1:2" x14ac:dyDescent="0.25">
      <c r="A5022" s="65">
        <v>5021</v>
      </c>
      <c r="B5022" s="64">
        <v>30558226.252418794</v>
      </c>
    </row>
    <row r="5023" spans="1:2" x14ac:dyDescent="0.25">
      <c r="A5023" s="65">
        <v>5022</v>
      </c>
      <c r="B5023" s="64">
        <v>30001762.902911961</v>
      </c>
    </row>
    <row r="5024" spans="1:2" x14ac:dyDescent="0.25">
      <c r="A5024" s="65">
        <v>5023</v>
      </c>
      <c r="B5024" s="64">
        <v>29278669.651172142</v>
      </c>
    </row>
    <row r="5025" spans="1:2" x14ac:dyDescent="0.25">
      <c r="A5025" s="65">
        <v>5024</v>
      </c>
      <c r="B5025" s="64">
        <v>28570461.994461339</v>
      </c>
    </row>
    <row r="5026" spans="1:2" x14ac:dyDescent="0.25">
      <c r="A5026" s="65">
        <v>5025</v>
      </c>
      <c r="B5026" s="64">
        <v>28881811.376314078</v>
      </c>
    </row>
    <row r="5027" spans="1:2" x14ac:dyDescent="0.25">
      <c r="A5027" s="65">
        <v>5026</v>
      </c>
      <c r="B5027" s="64">
        <v>28885047.800506994</v>
      </c>
    </row>
    <row r="5028" spans="1:2" x14ac:dyDescent="0.25">
      <c r="A5028" s="65">
        <v>5027</v>
      </c>
      <c r="B5028" s="64">
        <v>29549377.920896016</v>
      </c>
    </row>
    <row r="5029" spans="1:2" x14ac:dyDescent="0.25">
      <c r="A5029" s="65">
        <v>5028</v>
      </c>
      <c r="B5029" s="64">
        <v>28541871.541251406</v>
      </c>
    </row>
    <row r="5030" spans="1:2" x14ac:dyDescent="0.25">
      <c r="A5030" s="65">
        <v>5029</v>
      </c>
      <c r="B5030" s="64">
        <v>29408319.241746876</v>
      </c>
    </row>
    <row r="5031" spans="1:2" x14ac:dyDescent="0.25">
      <c r="A5031" s="65">
        <v>5030</v>
      </c>
      <c r="B5031" s="64">
        <v>29945565.055009782</v>
      </c>
    </row>
    <row r="5032" spans="1:2" x14ac:dyDescent="0.25">
      <c r="A5032" s="65">
        <v>5031</v>
      </c>
      <c r="B5032" s="64">
        <v>29818301.970197909</v>
      </c>
    </row>
    <row r="5033" spans="1:2" x14ac:dyDescent="0.25">
      <c r="A5033" s="65">
        <v>5032</v>
      </c>
      <c r="B5033" s="64">
        <v>29290363.723736193</v>
      </c>
    </row>
    <row r="5034" spans="1:2" x14ac:dyDescent="0.25">
      <c r="A5034" s="65">
        <v>5033</v>
      </c>
      <c r="B5034" s="64">
        <v>29781067.351285309</v>
      </c>
    </row>
    <row r="5035" spans="1:2" x14ac:dyDescent="0.25">
      <c r="A5035" s="65">
        <v>5034</v>
      </c>
      <c r="B5035" s="64">
        <v>29034445.106876384</v>
      </c>
    </row>
    <row r="5036" spans="1:2" x14ac:dyDescent="0.25">
      <c r="A5036" s="65">
        <v>5035</v>
      </c>
      <c r="B5036" s="64">
        <v>29639095.36019589</v>
      </c>
    </row>
    <row r="5037" spans="1:2" x14ac:dyDescent="0.25">
      <c r="A5037" s="65">
        <v>5036</v>
      </c>
      <c r="B5037" s="64">
        <v>28881937.747757148</v>
      </c>
    </row>
    <row r="5038" spans="1:2" x14ac:dyDescent="0.25">
      <c r="A5038" s="65">
        <v>5037</v>
      </c>
      <c r="B5038" s="64">
        <v>29030983.385386616</v>
      </c>
    </row>
    <row r="5039" spans="1:2" x14ac:dyDescent="0.25">
      <c r="A5039" s="65">
        <v>5038</v>
      </c>
      <c r="B5039" s="64">
        <v>29275419.970339954</v>
      </c>
    </row>
    <row r="5040" spans="1:2" x14ac:dyDescent="0.25">
      <c r="A5040" s="65">
        <v>5039</v>
      </c>
      <c r="B5040" s="64">
        <v>28815303.504701208</v>
      </c>
    </row>
    <row r="5041" spans="1:2" x14ac:dyDescent="0.25">
      <c r="A5041" s="65">
        <v>5040</v>
      </c>
      <c r="B5041" s="64">
        <v>29251341.877666451</v>
      </c>
    </row>
    <row r="5042" spans="1:2" x14ac:dyDescent="0.25">
      <c r="A5042" s="65">
        <v>5041</v>
      </c>
      <c r="B5042" s="64">
        <v>28907241.256864507</v>
      </c>
    </row>
    <row r="5043" spans="1:2" x14ac:dyDescent="0.25">
      <c r="A5043" s="65">
        <v>5042</v>
      </c>
      <c r="B5043" s="64">
        <v>28905729.244274281</v>
      </c>
    </row>
    <row r="5044" spans="1:2" x14ac:dyDescent="0.25">
      <c r="A5044" s="65">
        <v>5043</v>
      </c>
      <c r="B5044" s="64">
        <v>29502975.248876102</v>
      </c>
    </row>
    <row r="5045" spans="1:2" x14ac:dyDescent="0.25">
      <c r="A5045" s="65">
        <v>5044</v>
      </c>
      <c r="B5045" s="64">
        <v>28597270.061196972</v>
      </c>
    </row>
    <row r="5046" spans="1:2" x14ac:dyDescent="0.25">
      <c r="A5046" s="65">
        <v>5045</v>
      </c>
      <c r="B5046" s="64">
        <v>29970174.807885181</v>
      </c>
    </row>
    <row r="5047" spans="1:2" x14ac:dyDescent="0.25">
      <c r="A5047" s="65">
        <v>5046</v>
      </c>
      <c r="B5047" s="64">
        <v>28526018.367917709</v>
      </c>
    </row>
    <row r="5048" spans="1:2" x14ac:dyDescent="0.25">
      <c r="A5048" s="65">
        <v>5047</v>
      </c>
      <c r="B5048" s="64">
        <v>30353248.806679811</v>
      </c>
    </row>
    <row r="5049" spans="1:2" x14ac:dyDescent="0.25">
      <c r="A5049" s="65">
        <v>5048</v>
      </c>
      <c r="B5049" s="64">
        <v>28854609.759379856</v>
      </c>
    </row>
    <row r="5050" spans="1:2" x14ac:dyDescent="0.25">
      <c r="A5050" s="65">
        <v>5049</v>
      </c>
      <c r="B5050" s="64">
        <v>28901927.700314827</v>
      </c>
    </row>
    <row r="5051" spans="1:2" x14ac:dyDescent="0.25">
      <c r="A5051" s="65">
        <v>5050</v>
      </c>
      <c r="B5051" s="64">
        <v>28520370.83851764</v>
      </c>
    </row>
    <row r="5052" spans="1:2" x14ac:dyDescent="0.25">
      <c r="A5052" s="65">
        <v>5051</v>
      </c>
      <c r="B5052" s="64">
        <v>29655123.530355133</v>
      </c>
    </row>
    <row r="5053" spans="1:2" x14ac:dyDescent="0.25">
      <c r="A5053" s="65">
        <v>5052</v>
      </c>
      <c r="B5053" s="64">
        <v>28839690.199485686</v>
      </c>
    </row>
    <row r="5054" spans="1:2" x14ac:dyDescent="0.25">
      <c r="A5054" s="65">
        <v>5053</v>
      </c>
      <c r="B5054" s="64">
        <v>29988873.581714336</v>
      </c>
    </row>
    <row r="5055" spans="1:2" x14ac:dyDescent="0.25">
      <c r="A5055" s="65">
        <v>5054</v>
      </c>
      <c r="B5055" s="64">
        <v>29136695.224561159</v>
      </c>
    </row>
    <row r="5056" spans="1:2" x14ac:dyDescent="0.25">
      <c r="A5056" s="65">
        <v>5055</v>
      </c>
      <c r="B5056" s="64">
        <v>28646469.093460158</v>
      </c>
    </row>
    <row r="5057" spans="1:2" x14ac:dyDescent="0.25">
      <c r="A5057" s="65">
        <v>5056</v>
      </c>
      <c r="B5057" s="64">
        <v>29562483.13045593</v>
      </c>
    </row>
    <row r="5058" spans="1:2" x14ac:dyDescent="0.25">
      <c r="A5058" s="65">
        <v>5057</v>
      </c>
      <c r="B5058" s="64">
        <v>28843144.275957949</v>
      </c>
    </row>
    <row r="5059" spans="1:2" x14ac:dyDescent="0.25">
      <c r="A5059" s="65">
        <v>5058</v>
      </c>
      <c r="B5059" s="64">
        <v>29435396.448763527</v>
      </c>
    </row>
    <row r="5060" spans="1:2" x14ac:dyDescent="0.25">
      <c r="A5060" s="65">
        <v>5059</v>
      </c>
      <c r="B5060" s="64">
        <v>29347283.24257772</v>
      </c>
    </row>
    <row r="5061" spans="1:2" x14ac:dyDescent="0.25">
      <c r="A5061" s="65">
        <v>5060</v>
      </c>
      <c r="B5061" s="64">
        <v>28625666.635211512</v>
      </c>
    </row>
    <row r="5062" spans="1:2" x14ac:dyDescent="0.25">
      <c r="A5062" s="65">
        <v>5061</v>
      </c>
      <c r="B5062" s="64">
        <v>30709395.372065529</v>
      </c>
    </row>
    <row r="5063" spans="1:2" x14ac:dyDescent="0.25">
      <c r="A5063" s="65">
        <v>5062</v>
      </c>
      <c r="B5063" s="64">
        <v>28873607.586638756</v>
      </c>
    </row>
    <row r="5064" spans="1:2" x14ac:dyDescent="0.25">
      <c r="A5064" s="65">
        <v>5063</v>
      </c>
      <c r="B5064" s="64">
        <v>29394373.373055298</v>
      </c>
    </row>
    <row r="5065" spans="1:2" x14ac:dyDescent="0.25">
      <c r="A5065" s="65">
        <v>5064</v>
      </c>
      <c r="B5065" s="64">
        <v>29279503.115255468</v>
      </c>
    </row>
    <row r="5066" spans="1:2" x14ac:dyDescent="0.25">
      <c r="A5066" s="65">
        <v>5065</v>
      </c>
      <c r="B5066" s="64">
        <v>29497235.700666029</v>
      </c>
    </row>
    <row r="5067" spans="1:2" x14ac:dyDescent="0.25">
      <c r="A5067" s="65">
        <v>5066</v>
      </c>
      <c r="B5067" s="64">
        <v>28812963.08788712</v>
      </c>
    </row>
    <row r="5068" spans="1:2" x14ac:dyDescent="0.25">
      <c r="A5068" s="65">
        <v>5067</v>
      </c>
      <c r="B5068" s="64">
        <v>28563247.556818996</v>
      </c>
    </row>
    <row r="5069" spans="1:2" x14ac:dyDescent="0.25">
      <c r="A5069" s="65">
        <v>5068</v>
      </c>
      <c r="B5069" s="64">
        <v>29067180.813195579</v>
      </c>
    </row>
    <row r="5070" spans="1:2" x14ac:dyDescent="0.25">
      <c r="A5070" s="65">
        <v>5069</v>
      </c>
      <c r="B5070" s="64">
        <v>29121933.272298537</v>
      </c>
    </row>
    <row r="5071" spans="1:2" x14ac:dyDescent="0.25">
      <c r="A5071" s="65">
        <v>5070</v>
      </c>
      <c r="B5071" s="64">
        <v>28510690.531151399</v>
      </c>
    </row>
    <row r="5072" spans="1:2" x14ac:dyDescent="0.25">
      <c r="A5072" s="65">
        <v>5071</v>
      </c>
      <c r="B5072" s="64">
        <v>29167809.479865309</v>
      </c>
    </row>
    <row r="5073" spans="1:2" x14ac:dyDescent="0.25">
      <c r="A5073" s="65">
        <v>5072</v>
      </c>
      <c r="B5073" s="64">
        <v>29040850.279848084</v>
      </c>
    </row>
    <row r="5074" spans="1:2" x14ac:dyDescent="0.25">
      <c r="A5074" s="65">
        <v>5073</v>
      </c>
      <c r="B5074" s="64">
        <v>28919502.655772064</v>
      </c>
    </row>
    <row r="5075" spans="1:2" x14ac:dyDescent="0.25">
      <c r="A5075" s="65">
        <v>5074</v>
      </c>
      <c r="B5075" s="64">
        <v>29165501.076888084</v>
      </c>
    </row>
    <row r="5076" spans="1:2" x14ac:dyDescent="0.25">
      <c r="A5076" s="65">
        <v>5075</v>
      </c>
      <c r="B5076" s="64">
        <v>30800015.882915735</v>
      </c>
    </row>
    <row r="5077" spans="1:2" x14ac:dyDescent="0.25">
      <c r="A5077" s="65">
        <v>5076</v>
      </c>
      <c r="B5077" s="64">
        <v>28490875.488779742</v>
      </c>
    </row>
    <row r="5078" spans="1:2" x14ac:dyDescent="0.25">
      <c r="A5078" s="65">
        <v>5077</v>
      </c>
      <c r="B5078" s="64">
        <v>28554548.027760554</v>
      </c>
    </row>
    <row r="5079" spans="1:2" x14ac:dyDescent="0.25">
      <c r="A5079" s="65">
        <v>5078</v>
      </c>
      <c r="B5079" s="64">
        <v>30261633.913895622</v>
      </c>
    </row>
    <row r="5080" spans="1:2" x14ac:dyDescent="0.25">
      <c r="A5080" s="65">
        <v>5079</v>
      </c>
      <c r="B5080" s="64">
        <v>29260444.944267824</v>
      </c>
    </row>
    <row r="5081" spans="1:2" x14ac:dyDescent="0.25">
      <c r="A5081" s="65">
        <v>5080</v>
      </c>
      <c r="B5081" s="64">
        <v>30798596.733107995</v>
      </c>
    </row>
    <row r="5082" spans="1:2" x14ac:dyDescent="0.25">
      <c r="A5082" s="65">
        <v>5081</v>
      </c>
      <c r="B5082" s="64">
        <v>29337876.269431636</v>
      </c>
    </row>
    <row r="5083" spans="1:2" x14ac:dyDescent="0.25">
      <c r="A5083" s="65">
        <v>5082</v>
      </c>
      <c r="B5083" s="64">
        <v>28958197.204841785</v>
      </c>
    </row>
    <row r="5084" spans="1:2" x14ac:dyDescent="0.25">
      <c r="A5084" s="65">
        <v>5083</v>
      </c>
      <c r="B5084" s="64">
        <v>28903760.700724695</v>
      </c>
    </row>
    <row r="5085" spans="1:2" x14ac:dyDescent="0.25">
      <c r="A5085" s="65">
        <v>5084</v>
      </c>
      <c r="B5085" s="64">
        <v>28794623.282873463</v>
      </c>
    </row>
    <row r="5086" spans="1:2" x14ac:dyDescent="0.25">
      <c r="A5086" s="65">
        <v>5085</v>
      </c>
      <c r="B5086" s="64">
        <v>28870549.66645408</v>
      </c>
    </row>
    <row r="5087" spans="1:2" x14ac:dyDescent="0.25">
      <c r="A5087" s="65">
        <v>5086</v>
      </c>
      <c r="B5087" s="64">
        <v>30158763.823704913</v>
      </c>
    </row>
    <row r="5088" spans="1:2" x14ac:dyDescent="0.25">
      <c r="A5088" s="65">
        <v>5087</v>
      </c>
      <c r="B5088" s="64">
        <v>28478355.708623152</v>
      </c>
    </row>
    <row r="5089" spans="1:2" x14ac:dyDescent="0.25">
      <c r="A5089" s="65">
        <v>5088</v>
      </c>
      <c r="B5089" s="64">
        <v>29187941.248164963</v>
      </c>
    </row>
    <row r="5090" spans="1:2" x14ac:dyDescent="0.25">
      <c r="A5090" s="65">
        <v>5089</v>
      </c>
      <c r="B5090" s="64">
        <v>28772480.327419978</v>
      </c>
    </row>
    <row r="5091" spans="1:2" x14ac:dyDescent="0.25">
      <c r="A5091" s="65">
        <v>5090</v>
      </c>
      <c r="B5091" s="64">
        <v>29105387.467625141</v>
      </c>
    </row>
    <row r="5092" spans="1:2" x14ac:dyDescent="0.25">
      <c r="A5092" s="65">
        <v>5091</v>
      </c>
      <c r="B5092" s="64">
        <v>29353890.693131391</v>
      </c>
    </row>
    <row r="5093" spans="1:2" x14ac:dyDescent="0.25">
      <c r="A5093" s="65">
        <v>5092</v>
      </c>
      <c r="B5093" s="64">
        <v>29777866.01278526</v>
      </c>
    </row>
    <row r="5094" spans="1:2" x14ac:dyDescent="0.25">
      <c r="A5094" s="65">
        <v>5093</v>
      </c>
      <c r="B5094" s="64">
        <v>29177922.43329734</v>
      </c>
    </row>
    <row r="5095" spans="1:2" x14ac:dyDescent="0.25">
      <c r="A5095" s="65">
        <v>5094</v>
      </c>
      <c r="B5095" s="64">
        <v>29200323.97168887</v>
      </c>
    </row>
    <row r="5096" spans="1:2" x14ac:dyDescent="0.25">
      <c r="A5096" s="65">
        <v>5095</v>
      </c>
      <c r="B5096" s="64">
        <v>29323115.377966173</v>
      </c>
    </row>
    <row r="5097" spans="1:2" x14ac:dyDescent="0.25">
      <c r="A5097" s="65">
        <v>5096</v>
      </c>
      <c r="B5097" s="64">
        <v>31500173.75268811</v>
      </c>
    </row>
    <row r="5098" spans="1:2" x14ac:dyDescent="0.25">
      <c r="A5098" s="65">
        <v>5097</v>
      </c>
      <c r="B5098" s="64">
        <v>28850406.959100578</v>
      </c>
    </row>
    <row r="5099" spans="1:2" x14ac:dyDescent="0.25">
      <c r="A5099" s="65">
        <v>5098</v>
      </c>
      <c r="B5099" s="64">
        <v>29966419.752671599</v>
      </c>
    </row>
    <row r="5100" spans="1:2" x14ac:dyDescent="0.25">
      <c r="A5100" s="65">
        <v>5099</v>
      </c>
      <c r="B5100" s="64">
        <v>29457635.513713937</v>
      </c>
    </row>
    <row r="5101" spans="1:2" x14ac:dyDescent="0.25">
      <c r="A5101" s="65">
        <v>5100</v>
      </c>
      <c r="B5101" s="64">
        <v>28656841.358886756</v>
      </c>
    </row>
    <row r="5102" spans="1:2" x14ac:dyDescent="0.25">
      <c r="A5102" s="65">
        <v>5101</v>
      </c>
      <c r="B5102" s="64">
        <v>28910428.811717469</v>
      </c>
    </row>
    <row r="5103" spans="1:2" x14ac:dyDescent="0.25">
      <c r="A5103" s="65">
        <v>5102</v>
      </c>
      <c r="B5103" s="64">
        <v>29351580.178829227</v>
      </c>
    </row>
    <row r="5104" spans="1:2" x14ac:dyDescent="0.25">
      <c r="A5104" s="65">
        <v>5103</v>
      </c>
      <c r="B5104" s="64">
        <v>28687043.106538251</v>
      </c>
    </row>
    <row r="5105" spans="1:2" x14ac:dyDescent="0.25">
      <c r="A5105" s="65">
        <v>5104</v>
      </c>
      <c r="B5105" s="64">
        <v>29661756.805115603</v>
      </c>
    </row>
    <row r="5106" spans="1:2" x14ac:dyDescent="0.25">
      <c r="A5106" s="65">
        <v>5105</v>
      </c>
      <c r="B5106" s="64">
        <v>29814632.391755771</v>
      </c>
    </row>
    <row r="5107" spans="1:2" x14ac:dyDescent="0.25">
      <c r="A5107" s="65">
        <v>5106</v>
      </c>
      <c r="B5107" s="64">
        <v>29831717.945735227</v>
      </c>
    </row>
    <row r="5108" spans="1:2" x14ac:dyDescent="0.25">
      <c r="A5108" s="65">
        <v>5107</v>
      </c>
      <c r="B5108" s="64">
        <v>28945736.946100309</v>
      </c>
    </row>
    <row r="5109" spans="1:2" x14ac:dyDescent="0.25">
      <c r="A5109" s="65">
        <v>5108</v>
      </c>
      <c r="B5109" s="64">
        <v>30005869.827561688</v>
      </c>
    </row>
    <row r="5110" spans="1:2" x14ac:dyDescent="0.25">
      <c r="A5110" s="65">
        <v>5109</v>
      </c>
      <c r="B5110" s="64">
        <v>29112224.938455537</v>
      </c>
    </row>
    <row r="5111" spans="1:2" x14ac:dyDescent="0.25">
      <c r="A5111" s="65">
        <v>5110</v>
      </c>
      <c r="B5111" s="64">
        <v>28850462.657346148</v>
      </c>
    </row>
    <row r="5112" spans="1:2" x14ac:dyDescent="0.25">
      <c r="A5112" s="65">
        <v>5111</v>
      </c>
      <c r="B5112" s="64">
        <v>28681280.41677168</v>
      </c>
    </row>
    <row r="5113" spans="1:2" x14ac:dyDescent="0.25">
      <c r="A5113" s="65">
        <v>5112</v>
      </c>
      <c r="B5113" s="64">
        <v>28702715.262801774</v>
      </c>
    </row>
    <row r="5114" spans="1:2" x14ac:dyDescent="0.25">
      <c r="A5114" s="65">
        <v>5113</v>
      </c>
      <c r="B5114" s="64">
        <v>29023155.112567291</v>
      </c>
    </row>
    <row r="5115" spans="1:2" x14ac:dyDescent="0.25">
      <c r="A5115" s="65">
        <v>5114</v>
      </c>
      <c r="B5115" s="64">
        <v>29860691.29683654</v>
      </c>
    </row>
    <row r="5116" spans="1:2" x14ac:dyDescent="0.25">
      <c r="A5116" s="65">
        <v>5115</v>
      </c>
      <c r="B5116" s="64">
        <v>29033748.796668459</v>
      </c>
    </row>
    <row r="5117" spans="1:2" x14ac:dyDescent="0.25">
      <c r="A5117" s="65">
        <v>5116</v>
      </c>
      <c r="B5117" s="64">
        <v>29414520.927927822</v>
      </c>
    </row>
    <row r="5118" spans="1:2" x14ac:dyDescent="0.25">
      <c r="A5118" s="65">
        <v>5117</v>
      </c>
      <c r="B5118" s="64">
        <v>29321662.828870371</v>
      </c>
    </row>
    <row r="5119" spans="1:2" x14ac:dyDescent="0.25">
      <c r="A5119" s="65">
        <v>5118</v>
      </c>
      <c r="B5119" s="64">
        <v>28776917.665801819</v>
      </c>
    </row>
    <row r="5120" spans="1:2" x14ac:dyDescent="0.25">
      <c r="A5120" s="65">
        <v>5119</v>
      </c>
      <c r="B5120" s="64">
        <v>29089231.175863042</v>
      </c>
    </row>
    <row r="5121" spans="1:2" x14ac:dyDescent="0.25">
      <c r="A5121" s="65">
        <v>5120</v>
      </c>
      <c r="B5121" s="64">
        <v>29177639.32744772</v>
      </c>
    </row>
    <row r="5122" spans="1:2" x14ac:dyDescent="0.25">
      <c r="A5122" s="65">
        <v>5121</v>
      </c>
      <c r="B5122" s="64">
        <v>28694081.82063986</v>
      </c>
    </row>
    <row r="5123" spans="1:2" x14ac:dyDescent="0.25">
      <c r="A5123" s="65">
        <v>5122</v>
      </c>
      <c r="B5123" s="64">
        <v>28605321.001547057</v>
      </c>
    </row>
    <row r="5124" spans="1:2" x14ac:dyDescent="0.25">
      <c r="A5124" s="65">
        <v>5123</v>
      </c>
      <c r="B5124" s="64">
        <v>29750768.755173951</v>
      </c>
    </row>
    <row r="5125" spans="1:2" x14ac:dyDescent="0.25">
      <c r="A5125" s="65">
        <v>5124</v>
      </c>
      <c r="B5125" s="64">
        <v>29935317.64849836</v>
      </c>
    </row>
    <row r="5126" spans="1:2" x14ac:dyDescent="0.25">
      <c r="A5126" s="65">
        <v>5125</v>
      </c>
      <c r="B5126" s="64">
        <v>30102137.82106714</v>
      </c>
    </row>
    <row r="5127" spans="1:2" x14ac:dyDescent="0.25">
      <c r="A5127" s="65">
        <v>5126</v>
      </c>
      <c r="B5127" s="64">
        <v>29039131.967578419</v>
      </c>
    </row>
    <row r="5128" spans="1:2" x14ac:dyDescent="0.25">
      <c r="A5128" s="65">
        <v>5127</v>
      </c>
      <c r="B5128" s="64">
        <v>29021200.730211347</v>
      </c>
    </row>
    <row r="5129" spans="1:2" x14ac:dyDescent="0.25">
      <c r="A5129" s="65">
        <v>5128</v>
      </c>
      <c r="B5129" s="64">
        <v>29449462.73915359</v>
      </c>
    </row>
    <row r="5130" spans="1:2" x14ac:dyDescent="0.25">
      <c r="A5130" s="65">
        <v>5129</v>
      </c>
      <c r="B5130" s="64">
        <v>28988426.215179194</v>
      </c>
    </row>
    <row r="5131" spans="1:2" x14ac:dyDescent="0.25">
      <c r="A5131" s="65">
        <v>5130</v>
      </c>
      <c r="B5131" s="64">
        <v>29122664.420152362</v>
      </c>
    </row>
    <row r="5132" spans="1:2" x14ac:dyDescent="0.25">
      <c r="A5132" s="65">
        <v>5131</v>
      </c>
      <c r="B5132" s="64">
        <v>28843350.733265698</v>
      </c>
    </row>
    <row r="5133" spans="1:2" x14ac:dyDescent="0.25">
      <c r="A5133" s="65">
        <v>5132</v>
      </c>
      <c r="B5133" s="64">
        <v>29972806.918042559</v>
      </c>
    </row>
    <row r="5134" spans="1:2" x14ac:dyDescent="0.25">
      <c r="A5134" s="65">
        <v>5133</v>
      </c>
      <c r="B5134" s="64">
        <v>29610163.529795159</v>
      </c>
    </row>
    <row r="5135" spans="1:2" x14ac:dyDescent="0.25">
      <c r="A5135" s="65">
        <v>5134</v>
      </c>
      <c r="B5135" s="64">
        <v>29616470.726755168</v>
      </c>
    </row>
    <row r="5136" spans="1:2" x14ac:dyDescent="0.25">
      <c r="A5136" s="65">
        <v>5135</v>
      </c>
      <c r="B5136" s="64">
        <v>28762977.977288816</v>
      </c>
    </row>
    <row r="5137" spans="1:2" x14ac:dyDescent="0.25">
      <c r="A5137" s="65">
        <v>5136</v>
      </c>
      <c r="B5137" s="64">
        <v>29054704.838365555</v>
      </c>
    </row>
    <row r="5138" spans="1:2" x14ac:dyDescent="0.25">
      <c r="A5138" s="65">
        <v>5137</v>
      </c>
      <c r="B5138" s="64">
        <v>29890532.490317184</v>
      </c>
    </row>
    <row r="5139" spans="1:2" x14ac:dyDescent="0.25">
      <c r="A5139" s="65">
        <v>5138</v>
      </c>
      <c r="B5139" s="64">
        <v>28783863.811535291</v>
      </c>
    </row>
    <row r="5140" spans="1:2" x14ac:dyDescent="0.25">
      <c r="A5140" s="65">
        <v>5139</v>
      </c>
      <c r="B5140" s="64">
        <v>29897940.32643564</v>
      </c>
    </row>
    <row r="5141" spans="1:2" x14ac:dyDescent="0.25">
      <c r="A5141" s="65">
        <v>5140</v>
      </c>
      <c r="B5141" s="64">
        <v>29670597.27768784</v>
      </c>
    </row>
    <row r="5142" spans="1:2" x14ac:dyDescent="0.25">
      <c r="A5142" s="65">
        <v>5141</v>
      </c>
      <c r="B5142" s="64">
        <v>28841738.410039216</v>
      </c>
    </row>
    <row r="5143" spans="1:2" x14ac:dyDescent="0.25">
      <c r="A5143" s="65">
        <v>5142</v>
      </c>
      <c r="B5143" s="64">
        <v>28766012.672879416</v>
      </c>
    </row>
    <row r="5144" spans="1:2" x14ac:dyDescent="0.25">
      <c r="A5144" s="65">
        <v>5143</v>
      </c>
      <c r="B5144" s="64">
        <v>29134536.245173596</v>
      </c>
    </row>
    <row r="5145" spans="1:2" x14ac:dyDescent="0.25">
      <c r="A5145" s="65">
        <v>5144</v>
      </c>
      <c r="B5145" s="64">
        <v>30272280.867959898</v>
      </c>
    </row>
    <row r="5146" spans="1:2" x14ac:dyDescent="0.25">
      <c r="A5146" s="65">
        <v>5145</v>
      </c>
      <c r="B5146" s="64">
        <v>30202778.193884417</v>
      </c>
    </row>
    <row r="5147" spans="1:2" x14ac:dyDescent="0.25">
      <c r="A5147" s="65">
        <v>5146</v>
      </c>
      <c r="B5147" s="64">
        <v>28909695.924320452</v>
      </c>
    </row>
    <row r="5148" spans="1:2" x14ac:dyDescent="0.25">
      <c r="A5148" s="65">
        <v>5147</v>
      </c>
      <c r="B5148" s="64">
        <v>30929603.43226872</v>
      </c>
    </row>
    <row r="5149" spans="1:2" x14ac:dyDescent="0.25">
      <c r="A5149" s="65">
        <v>5148</v>
      </c>
      <c r="B5149" s="64">
        <v>29124943.217386179</v>
      </c>
    </row>
    <row r="5150" spans="1:2" x14ac:dyDescent="0.25">
      <c r="A5150" s="65">
        <v>5149</v>
      </c>
      <c r="B5150" s="64">
        <v>30918041.953743678</v>
      </c>
    </row>
    <row r="5151" spans="1:2" x14ac:dyDescent="0.25">
      <c r="A5151" s="65">
        <v>5150</v>
      </c>
      <c r="B5151" s="64">
        <v>28430937.136554293</v>
      </c>
    </row>
    <row r="5152" spans="1:2" x14ac:dyDescent="0.25">
      <c r="A5152" s="65">
        <v>5151</v>
      </c>
      <c r="B5152" s="64">
        <v>28797352.287271265</v>
      </c>
    </row>
    <row r="5153" spans="1:2" x14ac:dyDescent="0.25">
      <c r="A5153" s="65">
        <v>5152</v>
      </c>
      <c r="B5153" s="64">
        <v>28940984.866818704</v>
      </c>
    </row>
    <row r="5154" spans="1:2" x14ac:dyDescent="0.25">
      <c r="A5154" s="65">
        <v>5153</v>
      </c>
      <c r="B5154" s="64">
        <v>30548996.555777114</v>
      </c>
    </row>
    <row r="5155" spans="1:2" x14ac:dyDescent="0.25">
      <c r="A5155" s="65">
        <v>5154</v>
      </c>
      <c r="B5155" s="64">
        <v>29735770.904548045</v>
      </c>
    </row>
    <row r="5156" spans="1:2" x14ac:dyDescent="0.25">
      <c r="A5156" s="65">
        <v>5155</v>
      </c>
      <c r="B5156" s="64">
        <v>28988969.366253439</v>
      </c>
    </row>
    <row r="5157" spans="1:2" x14ac:dyDescent="0.25">
      <c r="A5157" s="65">
        <v>5156</v>
      </c>
      <c r="B5157" s="64">
        <v>29193736.467361305</v>
      </c>
    </row>
    <row r="5158" spans="1:2" x14ac:dyDescent="0.25">
      <c r="A5158" s="65">
        <v>5157</v>
      </c>
      <c r="B5158" s="64">
        <v>29032863.002912808</v>
      </c>
    </row>
    <row r="5159" spans="1:2" x14ac:dyDescent="0.25">
      <c r="A5159" s="65">
        <v>5158</v>
      </c>
      <c r="B5159" s="64">
        <v>29361227.278721374</v>
      </c>
    </row>
    <row r="5160" spans="1:2" x14ac:dyDescent="0.25">
      <c r="A5160" s="65">
        <v>5159</v>
      </c>
      <c r="B5160" s="64">
        <v>29406299.652556166</v>
      </c>
    </row>
    <row r="5161" spans="1:2" x14ac:dyDescent="0.25">
      <c r="A5161" s="65">
        <v>5160</v>
      </c>
      <c r="B5161" s="64">
        <v>28677450.450614057</v>
      </c>
    </row>
    <row r="5162" spans="1:2" x14ac:dyDescent="0.25">
      <c r="A5162" s="65">
        <v>5161</v>
      </c>
      <c r="B5162" s="64">
        <v>28460865.424972393</v>
      </c>
    </row>
    <row r="5163" spans="1:2" x14ac:dyDescent="0.25">
      <c r="A5163" s="65">
        <v>5162</v>
      </c>
      <c r="B5163" s="64">
        <v>33638980.370880395</v>
      </c>
    </row>
    <row r="5164" spans="1:2" x14ac:dyDescent="0.25">
      <c r="A5164" s="65">
        <v>5163</v>
      </c>
      <c r="B5164" s="64">
        <v>30550585.787119728</v>
      </c>
    </row>
    <row r="5165" spans="1:2" x14ac:dyDescent="0.25">
      <c r="A5165" s="65">
        <v>5164</v>
      </c>
      <c r="B5165" s="64">
        <v>28839241.34964399</v>
      </c>
    </row>
    <row r="5166" spans="1:2" x14ac:dyDescent="0.25">
      <c r="A5166" s="65">
        <v>5165</v>
      </c>
      <c r="B5166" s="64">
        <v>30873945.076921064</v>
      </c>
    </row>
    <row r="5167" spans="1:2" x14ac:dyDescent="0.25">
      <c r="A5167" s="65">
        <v>5166</v>
      </c>
      <c r="B5167" s="64">
        <v>29574835.49216409</v>
      </c>
    </row>
    <row r="5168" spans="1:2" x14ac:dyDescent="0.25">
      <c r="A5168" s="65">
        <v>5167</v>
      </c>
      <c r="B5168" s="64">
        <v>29742444.109922573</v>
      </c>
    </row>
    <row r="5169" spans="1:2" x14ac:dyDescent="0.25">
      <c r="A5169" s="65">
        <v>5168</v>
      </c>
      <c r="B5169" s="64">
        <v>28878836.875301015</v>
      </c>
    </row>
    <row r="5170" spans="1:2" x14ac:dyDescent="0.25">
      <c r="A5170" s="65">
        <v>5169</v>
      </c>
      <c r="B5170" s="64">
        <v>30214694.368266001</v>
      </c>
    </row>
    <row r="5171" spans="1:2" x14ac:dyDescent="0.25">
      <c r="A5171" s="65">
        <v>5170</v>
      </c>
      <c r="B5171" s="64">
        <v>29691781.607766118</v>
      </c>
    </row>
    <row r="5172" spans="1:2" x14ac:dyDescent="0.25">
      <c r="A5172" s="65">
        <v>5171</v>
      </c>
      <c r="B5172" s="64">
        <v>29155820.220731765</v>
      </c>
    </row>
    <row r="5173" spans="1:2" x14ac:dyDescent="0.25">
      <c r="A5173" s="65">
        <v>5172</v>
      </c>
      <c r="B5173" s="64">
        <v>32524167.158525951</v>
      </c>
    </row>
    <row r="5174" spans="1:2" x14ac:dyDescent="0.25">
      <c r="A5174" s="65">
        <v>5173</v>
      </c>
      <c r="B5174" s="64">
        <v>28621476.35977501</v>
      </c>
    </row>
    <row r="5175" spans="1:2" x14ac:dyDescent="0.25">
      <c r="A5175" s="65">
        <v>5174</v>
      </c>
      <c r="B5175" s="64">
        <v>28794283.829723086</v>
      </c>
    </row>
    <row r="5176" spans="1:2" x14ac:dyDescent="0.25">
      <c r="A5176" s="65">
        <v>5175</v>
      </c>
      <c r="B5176" s="64">
        <v>29305327.348788962</v>
      </c>
    </row>
    <row r="5177" spans="1:2" x14ac:dyDescent="0.25">
      <c r="A5177" s="65">
        <v>5176</v>
      </c>
      <c r="B5177" s="64">
        <v>30296639.53277899</v>
      </c>
    </row>
    <row r="5178" spans="1:2" x14ac:dyDescent="0.25">
      <c r="A5178" s="65">
        <v>5177</v>
      </c>
      <c r="B5178" s="64">
        <v>29285132.856275745</v>
      </c>
    </row>
    <row r="5179" spans="1:2" x14ac:dyDescent="0.25">
      <c r="A5179" s="65">
        <v>5178</v>
      </c>
      <c r="B5179" s="64">
        <v>29865740.206616525</v>
      </c>
    </row>
    <row r="5180" spans="1:2" x14ac:dyDescent="0.25">
      <c r="A5180" s="65">
        <v>5179</v>
      </c>
      <c r="B5180" s="64">
        <v>29252197.371218942</v>
      </c>
    </row>
    <row r="5181" spans="1:2" x14ac:dyDescent="0.25">
      <c r="A5181" s="65">
        <v>5180</v>
      </c>
      <c r="B5181" s="64">
        <v>29691374.974470042</v>
      </c>
    </row>
    <row r="5182" spans="1:2" x14ac:dyDescent="0.25">
      <c r="A5182" s="65">
        <v>5181</v>
      </c>
      <c r="B5182" s="64">
        <v>29362507.567286983</v>
      </c>
    </row>
    <row r="5183" spans="1:2" x14ac:dyDescent="0.25">
      <c r="A5183" s="65">
        <v>5182</v>
      </c>
      <c r="B5183" s="64">
        <v>29409467.195579313</v>
      </c>
    </row>
    <row r="5184" spans="1:2" x14ac:dyDescent="0.25">
      <c r="A5184" s="65">
        <v>5183</v>
      </c>
      <c r="B5184" s="64">
        <v>29670415.710354816</v>
      </c>
    </row>
    <row r="5185" spans="1:2" x14ac:dyDescent="0.25">
      <c r="A5185" s="65">
        <v>5184</v>
      </c>
      <c r="B5185" s="64">
        <v>28920634.56996062</v>
      </c>
    </row>
    <row r="5186" spans="1:2" x14ac:dyDescent="0.25">
      <c r="A5186" s="65">
        <v>5185</v>
      </c>
      <c r="B5186" s="64">
        <v>29039790.806624252</v>
      </c>
    </row>
    <row r="5187" spans="1:2" x14ac:dyDescent="0.25">
      <c r="A5187" s="65">
        <v>5186</v>
      </c>
      <c r="B5187" s="64">
        <v>28540255.321673535</v>
      </c>
    </row>
    <row r="5188" spans="1:2" x14ac:dyDescent="0.25">
      <c r="A5188" s="65">
        <v>5187</v>
      </c>
      <c r="B5188" s="64">
        <v>29123651.377330858</v>
      </c>
    </row>
    <row r="5189" spans="1:2" x14ac:dyDescent="0.25">
      <c r="A5189" s="65">
        <v>5188</v>
      </c>
      <c r="B5189" s="64">
        <v>29200063.956172589</v>
      </c>
    </row>
    <row r="5190" spans="1:2" x14ac:dyDescent="0.25">
      <c r="A5190" s="65">
        <v>5189</v>
      </c>
      <c r="B5190" s="64">
        <v>28580444.514430594</v>
      </c>
    </row>
    <row r="5191" spans="1:2" x14ac:dyDescent="0.25">
      <c r="A5191" s="65">
        <v>5190</v>
      </c>
      <c r="B5191" s="64">
        <v>29202401.289634839</v>
      </c>
    </row>
    <row r="5192" spans="1:2" x14ac:dyDescent="0.25">
      <c r="A5192" s="65">
        <v>5191</v>
      </c>
      <c r="B5192" s="64">
        <v>28719421.092825294</v>
      </c>
    </row>
    <row r="5193" spans="1:2" x14ac:dyDescent="0.25">
      <c r="A5193" s="65">
        <v>5192</v>
      </c>
      <c r="B5193" s="64">
        <v>29397744.096482057</v>
      </c>
    </row>
    <row r="5194" spans="1:2" x14ac:dyDescent="0.25">
      <c r="A5194" s="65">
        <v>5193</v>
      </c>
      <c r="B5194" s="64">
        <v>28942676.884504568</v>
      </c>
    </row>
    <row r="5195" spans="1:2" x14ac:dyDescent="0.25">
      <c r="A5195" s="65">
        <v>5194</v>
      </c>
      <c r="B5195" s="64">
        <v>29438534.300649457</v>
      </c>
    </row>
    <row r="5196" spans="1:2" x14ac:dyDescent="0.25">
      <c r="A5196" s="65">
        <v>5195</v>
      </c>
      <c r="B5196" s="64">
        <v>28872704.289618134</v>
      </c>
    </row>
    <row r="5197" spans="1:2" x14ac:dyDescent="0.25">
      <c r="A5197" s="65">
        <v>5196</v>
      </c>
      <c r="B5197" s="64">
        <v>28828466.817745347</v>
      </c>
    </row>
    <row r="5198" spans="1:2" x14ac:dyDescent="0.25">
      <c r="A5198" s="65">
        <v>5197</v>
      </c>
      <c r="B5198" s="64">
        <v>28528126.005840462</v>
      </c>
    </row>
    <row r="5199" spans="1:2" x14ac:dyDescent="0.25">
      <c r="A5199" s="65">
        <v>5198</v>
      </c>
      <c r="B5199" s="64">
        <v>32827026.103143994</v>
      </c>
    </row>
    <row r="5200" spans="1:2" x14ac:dyDescent="0.25">
      <c r="A5200" s="65">
        <v>5199</v>
      </c>
      <c r="B5200" s="64">
        <v>29970494.083892524</v>
      </c>
    </row>
    <row r="5201" spans="1:2" x14ac:dyDescent="0.25">
      <c r="A5201" s="65">
        <v>5200</v>
      </c>
      <c r="B5201" s="64">
        <v>28783099.646723118</v>
      </c>
    </row>
    <row r="5202" spans="1:2" x14ac:dyDescent="0.25">
      <c r="A5202" s="65">
        <v>5201</v>
      </c>
      <c r="B5202" s="64">
        <v>29350535.906059757</v>
      </c>
    </row>
    <row r="5203" spans="1:2" x14ac:dyDescent="0.25">
      <c r="A5203" s="65">
        <v>5202</v>
      </c>
      <c r="B5203" s="64">
        <v>28955184.146102857</v>
      </c>
    </row>
    <row r="5204" spans="1:2" x14ac:dyDescent="0.25">
      <c r="A5204" s="65">
        <v>5203</v>
      </c>
      <c r="B5204" s="64">
        <v>28738087.368997812</v>
      </c>
    </row>
    <row r="5205" spans="1:2" x14ac:dyDescent="0.25">
      <c r="A5205" s="65">
        <v>5204</v>
      </c>
      <c r="B5205" s="64">
        <v>28631932.46152265</v>
      </c>
    </row>
    <row r="5206" spans="1:2" x14ac:dyDescent="0.25">
      <c r="A5206" s="65">
        <v>5205</v>
      </c>
      <c r="B5206" s="64">
        <v>29550816.332719866</v>
      </c>
    </row>
    <row r="5207" spans="1:2" x14ac:dyDescent="0.25">
      <c r="A5207" s="65">
        <v>5206</v>
      </c>
      <c r="B5207" s="64">
        <v>29970340.749628562</v>
      </c>
    </row>
    <row r="5208" spans="1:2" x14ac:dyDescent="0.25">
      <c r="A5208" s="65">
        <v>5207</v>
      </c>
      <c r="B5208" s="64">
        <v>29360546.399227269</v>
      </c>
    </row>
    <row r="5209" spans="1:2" x14ac:dyDescent="0.25">
      <c r="A5209" s="65">
        <v>5208</v>
      </c>
      <c r="B5209" s="64">
        <v>28673651.941298831</v>
      </c>
    </row>
    <row r="5210" spans="1:2" x14ac:dyDescent="0.25">
      <c r="A5210" s="65">
        <v>5209</v>
      </c>
      <c r="B5210" s="64">
        <v>29115065.220539708</v>
      </c>
    </row>
    <row r="5211" spans="1:2" x14ac:dyDescent="0.25">
      <c r="A5211" s="65">
        <v>5210</v>
      </c>
      <c r="B5211" s="64">
        <v>29037596.982982639</v>
      </c>
    </row>
    <row r="5212" spans="1:2" x14ac:dyDescent="0.25">
      <c r="A5212" s="65">
        <v>5211</v>
      </c>
      <c r="B5212" s="64">
        <v>28413010.181742296</v>
      </c>
    </row>
    <row r="5213" spans="1:2" x14ac:dyDescent="0.25">
      <c r="A5213" s="65">
        <v>5212</v>
      </c>
      <c r="B5213" s="64">
        <v>29505444.542270117</v>
      </c>
    </row>
    <row r="5214" spans="1:2" x14ac:dyDescent="0.25">
      <c r="A5214" s="65">
        <v>5213</v>
      </c>
      <c r="B5214" s="64">
        <v>29576457.439428046</v>
      </c>
    </row>
    <row r="5215" spans="1:2" x14ac:dyDescent="0.25">
      <c r="A5215" s="65">
        <v>5214</v>
      </c>
      <c r="B5215" s="64">
        <v>29705271.621492039</v>
      </c>
    </row>
    <row r="5216" spans="1:2" x14ac:dyDescent="0.25">
      <c r="A5216" s="65">
        <v>5215</v>
      </c>
      <c r="B5216" s="64">
        <v>28601802.518951539</v>
      </c>
    </row>
    <row r="5217" spans="1:2" x14ac:dyDescent="0.25">
      <c r="A5217" s="65">
        <v>5216</v>
      </c>
      <c r="B5217" s="64">
        <v>29017187.311741889</v>
      </c>
    </row>
    <row r="5218" spans="1:2" x14ac:dyDescent="0.25">
      <c r="A5218" s="65">
        <v>5217</v>
      </c>
      <c r="B5218" s="64">
        <v>28826376.786534559</v>
      </c>
    </row>
    <row r="5219" spans="1:2" x14ac:dyDescent="0.25">
      <c r="A5219" s="65">
        <v>5218</v>
      </c>
      <c r="B5219" s="64">
        <v>30594703.604473483</v>
      </c>
    </row>
    <row r="5220" spans="1:2" x14ac:dyDescent="0.25">
      <c r="A5220" s="65">
        <v>5219</v>
      </c>
      <c r="B5220" s="64">
        <v>29085176.24801122</v>
      </c>
    </row>
    <row r="5221" spans="1:2" x14ac:dyDescent="0.25">
      <c r="A5221" s="65">
        <v>5220</v>
      </c>
      <c r="B5221" s="64">
        <v>29634702.338993989</v>
      </c>
    </row>
    <row r="5222" spans="1:2" x14ac:dyDescent="0.25">
      <c r="A5222" s="65">
        <v>5221</v>
      </c>
      <c r="B5222" s="64">
        <v>30238629.126611009</v>
      </c>
    </row>
    <row r="5223" spans="1:2" x14ac:dyDescent="0.25">
      <c r="A5223" s="65">
        <v>5222</v>
      </c>
      <c r="B5223" s="64">
        <v>29408587.742191836</v>
      </c>
    </row>
    <row r="5224" spans="1:2" x14ac:dyDescent="0.25">
      <c r="A5224" s="65">
        <v>5223</v>
      </c>
      <c r="B5224" s="64">
        <v>29020528.688387547</v>
      </c>
    </row>
    <row r="5225" spans="1:2" x14ac:dyDescent="0.25">
      <c r="A5225" s="65">
        <v>5224</v>
      </c>
      <c r="B5225" s="64">
        <v>28942879.158291664</v>
      </c>
    </row>
    <row r="5226" spans="1:2" x14ac:dyDescent="0.25">
      <c r="A5226" s="65">
        <v>5225</v>
      </c>
      <c r="B5226" s="64">
        <v>28748479.594989594</v>
      </c>
    </row>
    <row r="5227" spans="1:2" x14ac:dyDescent="0.25">
      <c r="A5227" s="65">
        <v>5226</v>
      </c>
      <c r="B5227" s="64">
        <v>30033567.892307218</v>
      </c>
    </row>
    <row r="5228" spans="1:2" x14ac:dyDescent="0.25">
      <c r="A5228" s="65">
        <v>5227</v>
      </c>
      <c r="B5228" s="64">
        <v>28584041.42563704</v>
      </c>
    </row>
    <row r="5229" spans="1:2" x14ac:dyDescent="0.25">
      <c r="A5229" s="65">
        <v>5228</v>
      </c>
      <c r="B5229" s="64">
        <v>28389503.592099994</v>
      </c>
    </row>
    <row r="5230" spans="1:2" x14ac:dyDescent="0.25">
      <c r="A5230" s="65">
        <v>5229</v>
      </c>
      <c r="B5230" s="64">
        <v>28644865.98266466</v>
      </c>
    </row>
    <row r="5231" spans="1:2" x14ac:dyDescent="0.25">
      <c r="A5231" s="65">
        <v>5230</v>
      </c>
      <c r="B5231" s="64">
        <v>29201068.419400487</v>
      </c>
    </row>
    <row r="5232" spans="1:2" x14ac:dyDescent="0.25">
      <c r="A5232" s="65">
        <v>5231</v>
      </c>
      <c r="B5232" s="64">
        <v>29202045.36486524</v>
      </c>
    </row>
    <row r="5233" spans="1:2" x14ac:dyDescent="0.25">
      <c r="A5233" s="65">
        <v>5232</v>
      </c>
      <c r="B5233" s="64">
        <v>30287294.29827508</v>
      </c>
    </row>
    <row r="5234" spans="1:2" x14ac:dyDescent="0.25">
      <c r="A5234" s="65">
        <v>5233</v>
      </c>
      <c r="B5234" s="64">
        <v>28986376.865769275</v>
      </c>
    </row>
    <row r="5235" spans="1:2" x14ac:dyDescent="0.25">
      <c r="A5235" s="65">
        <v>5234</v>
      </c>
      <c r="B5235" s="64">
        <v>28298059.151589733</v>
      </c>
    </row>
    <row r="5236" spans="1:2" x14ac:dyDescent="0.25">
      <c r="A5236" s="65">
        <v>5235</v>
      </c>
      <c r="B5236" s="64">
        <v>29090703.738353252</v>
      </c>
    </row>
    <row r="5237" spans="1:2" x14ac:dyDescent="0.25">
      <c r="A5237" s="65">
        <v>5236</v>
      </c>
      <c r="B5237" s="64">
        <v>29545819.008612975</v>
      </c>
    </row>
    <row r="5238" spans="1:2" x14ac:dyDescent="0.25">
      <c r="A5238" s="65">
        <v>5237</v>
      </c>
      <c r="B5238" s="64">
        <v>29701643.520648729</v>
      </c>
    </row>
    <row r="5239" spans="1:2" x14ac:dyDescent="0.25">
      <c r="A5239" s="65">
        <v>5238</v>
      </c>
      <c r="B5239" s="64">
        <v>28856639.071624618</v>
      </c>
    </row>
    <row r="5240" spans="1:2" x14ac:dyDescent="0.25">
      <c r="A5240" s="65">
        <v>5239</v>
      </c>
      <c r="B5240" s="64">
        <v>29298809.709465943</v>
      </c>
    </row>
    <row r="5241" spans="1:2" x14ac:dyDescent="0.25">
      <c r="A5241" s="65">
        <v>5240</v>
      </c>
      <c r="B5241" s="64">
        <v>30301477.549662404</v>
      </c>
    </row>
    <row r="5242" spans="1:2" x14ac:dyDescent="0.25">
      <c r="A5242" s="65">
        <v>5241</v>
      </c>
      <c r="B5242" s="64">
        <v>28974839.432821076</v>
      </c>
    </row>
    <row r="5243" spans="1:2" x14ac:dyDescent="0.25">
      <c r="A5243" s="65">
        <v>5242</v>
      </c>
      <c r="B5243" s="64">
        <v>29808285.269781854</v>
      </c>
    </row>
    <row r="5244" spans="1:2" x14ac:dyDescent="0.25">
      <c r="A5244" s="65">
        <v>5243</v>
      </c>
      <c r="B5244" s="64">
        <v>28705754.307104632</v>
      </c>
    </row>
    <row r="5245" spans="1:2" x14ac:dyDescent="0.25">
      <c r="A5245" s="65">
        <v>5244</v>
      </c>
      <c r="B5245" s="64">
        <v>28467067.095218018</v>
      </c>
    </row>
    <row r="5246" spans="1:2" x14ac:dyDescent="0.25">
      <c r="A5246" s="65">
        <v>5245</v>
      </c>
      <c r="B5246" s="64">
        <v>28975213.051641602</v>
      </c>
    </row>
    <row r="5247" spans="1:2" x14ac:dyDescent="0.25">
      <c r="A5247" s="65">
        <v>5246</v>
      </c>
      <c r="B5247" s="64">
        <v>29502568.734610904</v>
      </c>
    </row>
    <row r="5248" spans="1:2" x14ac:dyDescent="0.25">
      <c r="A5248" s="65">
        <v>5247</v>
      </c>
      <c r="B5248" s="64">
        <v>28701789.71310826</v>
      </c>
    </row>
    <row r="5249" spans="1:2" x14ac:dyDescent="0.25">
      <c r="A5249" s="65">
        <v>5248</v>
      </c>
      <c r="B5249" s="64">
        <v>34868614.743039235</v>
      </c>
    </row>
    <row r="5250" spans="1:2" x14ac:dyDescent="0.25">
      <c r="A5250" s="65">
        <v>5249</v>
      </c>
      <c r="B5250" s="64">
        <v>28369425.76356966</v>
      </c>
    </row>
    <row r="5251" spans="1:2" x14ac:dyDescent="0.25">
      <c r="A5251" s="65">
        <v>5250</v>
      </c>
      <c r="B5251" s="64">
        <v>33036967.885865781</v>
      </c>
    </row>
    <row r="5252" spans="1:2" x14ac:dyDescent="0.25">
      <c r="A5252" s="65">
        <v>5251</v>
      </c>
      <c r="B5252" s="64">
        <v>28857308.0758981</v>
      </c>
    </row>
    <row r="5253" spans="1:2" x14ac:dyDescent="0.25">
      <c r="A5253" s="65">
        <v>5252</v>
      </c>
      <c r="B5253" s="64">
        <v>29326377.104754701</v>
      </c>
    </row>
    <row r="5254" spans="1:2" x14ac:dyDescent="0.25">
      <c r="A5254" s="65">
        <v>5253</v>
      </c>
      <c r="B5254" s="64">
        <v>29290268.876396094</v>
      </c>
    </row>
    <row r="5255" spans="1:2" x14ac:dyDescent="0.25">
      <c r="A5255" s="65">
        <v>5254</v>
      </c>
      <c r="B5255" s="64">
        <v>29430521.448600367</v>
      </c>
    </row>
    <row r="5256" spans="1:2" x14ac:dyDescent="0.25">
      <c r="A5256" s="65">
        <v>5255</v>
      </c>
      <c r="B5256" s="64">
        <v>28923041.901106581</v>
      </c>
    </row>
    <row r="5257" spans="1:2" x14ac:dyDescent="0.25">
      <c r="A5257" s="65">
        <v>5256</v>
      </c>
      <c r="B5257" s="64">
        <v>29154358.890117276</v>
      </c>
    </row>
    <row r="5258" spans="1:2" x14ac:dyDescent="0.25">
      <c r="A5258" s="65">
        <v>5257</v>
      </c>
      <c r="B5258" s="64">
        <v>30183780.072725859</v>
      </c>
    </row>
    <row r="5259" spans="1:2" x14ac:dyDescent="0.25">
      <c r="A5259" s="65">
        <v>5258</v>
      </c>
      <c r="B5259" s="64">
        <v>29925200.926664773</v>
      </c>
    </row>
    <row r="5260" spans="1:2" x14ac:dyDescent="0.25">
      <c r="A5260" s="65">
        <v>5259</v>
      </c>
      <c r="B5260" s="64">
        <v>29608655.851249721</v>
      </c>
    </row>
    <row r="5261" spans="1:2" x14ac:dyDescent="0.25">
      <c r="A5261" s="65">
        <v>5260</v>
      </c>
      <c r="B5261" s="64">
        <v>29241132.846949223</v>
      </c>
    </row>
    <row r="5262" spans="1:2" x14ac:dyDescent="0.25">
      <c r="A5262" s="65">
        <v>5261</v>
      </c>
      <c r="B5262" s="64">
        <v>28487586.685528271</v>
      </c>
    </row>
    <row r="5263" spans="1:2" x14ac:dyDescent="0.25">
      <c r="A5263" s="65">
        <v>5262</v>
      </c>
      <c r="B5263" s="64">
        <v>29523273.769325148</v>
      </c>
    </row>
    <row r="5264" spans="1:2" x14ac:dyDescent="0.25">
      <c r="A5264" s="65">
        <v>5263</v>
      </c>
      <c r="B5264" s="64">
        <v>29455795.60094206</v>
      </c>
    </row>
    <row r="5265" spans="1:2" x14ac:dyDescent="0.25">
      <c r="A5265" s="65">
        <v>5264</v>
      </c>
      <c r="B5265" s="64">
        <v>28803612.356001481</v>
      </c>
    </row>
    <row r="5266" spans="1:2" x14ac:dyDescent="0.25">
      <c r="A5266" s="65">
        <v>5265</v>
      </c>
      <c r="B5266" s="64">
        <v>30040563.244021233</v>
      </c>
    </row>
    <row r="5267" spans="1:2" x14ac:dyDescent="0.25">
      <c r="A5267" s="65">
        <v>5266</v>
      </c>
      <c r="B5267" s="64">
        <v>29332901.608343229</v>
      </c>
    </row>
    <row r="5268" spans="1:2" x14ac:dyDescent="0.25">
      <c r="A5268" s="65">
        <v>5267</v>
      </c>
      <c r="B5268" s="64">
        <v>28585648.661022656</v>
      </c>
    </row>
    <row r="5269" spans="1:2" x14ac:dyDescent="0.25">
      <c r="A5269" s="65">
        <v>5268</v>
      </c>
      <c r="B5269" s="64">
        <v>29027364.514985338</v>
      </c>
    </row>
    <row r="5270" spans="1:2" x14ac:dyDescent="0.25">
      <c r="A5270" s="65">
        <v>5269</v>
      </c>
      <c r="B5270" s="64">
        <v>29176361.805122837</v>
      </c>
    </row>
    <row r="5271" spans="1:2" x14ac:dyDescent="0.25">
      <c r="A5271" s="65">
        <v>5270</v>
      </c>
      <c r="B5271" s="64">
        <v>28468912.731896158</v>
      </c>
    </row>
    <row r="5272" spans="1:2" x14ac:dyDescent="0.25">
      <c r="A5272" s="65">
        <v>5271</v>
      </c>
      <c r="B5272" s="64">
        <v>30351818.687657204</v>
      </c>
    </row>
    <row r="5273" spans="1:2" x14ac:dyDescent="0.25">
      <c r="A5273" s="65">
        <v>5272</v>
      </c>
      <c r="B5273" s="64">
        <v>30951350.956306182</v>
      </c>
    </row>
    <row r="5274" spans="1:2" x14ac:dyDescent="0.25">
      <c r="A5274" s="65">
        <v>5273</v>
      </c>
      <c r="B5274" s="64">
        <v>28907047.120838705</v>
      </c>
    </row>
    <row r="5275" spans="1:2" x14ac:dyDescent="0.25">
      <c r="A5275" s="65">
        <v>5274</v>
      </c>
      <c r="B5275" s="64">
        <v>34096496.331910692</v>
      </c>
    </row>
    <row r="5276" spans="1:2" x14ac:dyDescent="0.25">
      <c r="A5276" s="65">
        <v>5275</v>
      </c>
      <c r="B5276" s="64">
        <v>30514266.983377393</v>
      </c>
    </row>
    <row r="5277" spans="1:2" x14ac:dyDescent="0.25">
      <c r="A5277" s="65">
        <v>5276</v>
      </c>
      <c r="B5277" s="64">
        <v>29016901.977670196</v>
      </c>
    </row>
    <row r="5278" spans="1:2" x14ac:dyDescent="0.25">
      <c r="A5278" s="65">
        <v>5277</v>
      </c>
      <c r="B5278" s="64">
        <v>30413271.150648013</v>
      </c>
    </row>
    <row r="5279" spans="1:2" x14ac:dyDescent="0.25">
      <c r="A5279" s="65">
        <v>5278</v>
      </c>
      <c r="B5279" s="64">
        <v>28916169.99816636</v>
      </c>
    </row>
    <row r="5280" spans="1:2" x14ac:dyDescent="0.25">
      <c r="A5280" s="65">
        <v>5279</v>
      </c>
      <c r="B5280" s="64">
        <v>29327324.726282869</v>
      </c>
    </row>
    <row r="5281" spans="1:2" x14ac:dyDescent="0.25">
      <c r="A5281" s="65">
        <v>5280</v>
      </c>
      <c r="B5281" s="64">
        <v>28682977.967351545</v>
      </c>
    </row>
    <row r="5282" spans="1:2" x14ac:dyDescent="0.25">
      <c r="A5282" s="65">
        <v>5281</v>
      </c>
      <c r="B5282" s="64">
        <v>29041510.177680951</v>
      </c>
    </row>
    <row r="5283" spans="1:2" x14ac:dyDescent="0.25">
      <c r="A5283" s="65">
        <v>5282</v>
      </c>
      <c r="B5283" s="64">
        <v>29173442.47406799</v>
      </c>
    </row>
    <row r="5284" spans="1:2" x14ac:dyDescent="0.25">
      <c r="A5284" s="65">
        <v>5283</v>
      </c>
      <c r="B5284" s="64">
        <v>29297691.915095154</v>
      </c>
    </row>
    <row r="5285" spans="1:2" x14ac:dyDescent="0.25">
      <c r="A5285" s="65">
        <v>5284</v>
      </c>
      <c r="B5285" s="64">
        <v>29510757.522109356</v>
      </c>
    </row>
    <row r="5286" spans="1:2" x14ac:dyDescent="0.25">
      <c r="A5286" s="65">
        <v>5285</v>
      </c>
      <c r="B5286" s="64">
        <v>29145822.90487127</v>
      </c>
    </row>
    <row r="5287" spans="1:2" x14ac:dyDescent="0.25">
      <c r="A5287" s="65">
        <v>5286</v>
      </c>
      <c r="B5287" s="64">
        <v>29788728.343574684</v>
      </c>
    </row>
    <row r="5288" spans="1:2" x14ac:dyDescent="0.25">
      <c r="A5288" s="65">
        <v>5287</v>
      </c>
      <c r="B5288" s="64">
        <v>29321261.649379797</v>
      </c>
    </row>
    <row r="5289" spans="1:2" x14ac:dyDescent="0.25">
      <c r="A5289" s="65">
        <v>5288</v>
      </c>
      <c r="B5289" s="64">
        <v>29964698.70467709</v>
      </c>
    </row>
    <row r="5290" spans="1:2" x14ac:dyDescent="0.25">
      <c r="A5290" s="65">
        <v>5289</v>
      </c>
      <c r="B5290" s="64">
        <v>29106954.8207087</v>
      </c>
    </row>
    <row r="5291" spans="1:2" x14ac:dyDescent="0.25">
      <c r="A5291" s="65">
        <v>5290</v>
      </c>
      <c r="B5291" s="64">
        <v>28852768.206198085</v>
      </c>
    </row>
    <row r="5292" spans="1:2" x14ac:dyDescent="0.25">
      <c r="A5292" s="65">
        <v>5291</v>
      </c>
      <c r="B5292" s="64">
        <v>28686465.453261506</v>
      </c>
    </row>
    <row r="5293" spans="1:2" x14ac:dyDescent="0.25">
      <c r="A5293" s="65">
        <v>5292</v>
      </c>
      <c r="B5293" s="64">
        <v>28788380.159095354</v>
      </c>
    </row>
    <row r="5294" spans="1:2" x14ac:dyDescent="0.25">
      <c r="A5294" s="65">
        <v>5293</v>
      </c>
      <c r="B5294" s="64">
        <v>29923740.425831482</v>
      </c>
    </row>
    <row r="5295" spans="1:2" x14ac:dyDescent="0.25">
      <c r="A5295" s="65">
        <v>5294</v>
      </c>
      <c r="B5295" s="64">
        <v>29247573.519261986</v>
      </c>
    </row>
    <row r="5296" spans="1:2" x14ac:dyDescent="0.25">
      <c r="A5296" s="65">
        <v>5295</v>
      </c>
      <c r="B5296" s="64">
        <v>28410917.343443621</v>
      </c>
    </row>
    <row r="5297" spans="1:2" x14ac:dyDescent="0.25">
      <c r="A5297" s="65">
        <v>5296</v>
      </c>
      <c r="B5297" s="64">
        <v>29392499.304403331</v>
      </c>
    </row>
    <row r="5298" spans="1:2" x14ac:dyDescent="0.25">
      <c r="A5298" s="65">
        <v>5297</v>
      </c>
      <c r="B5298" s="64">
        <v>28758396.671942908</v>
      </c>
    </row>
    <row r="5299" spans="1:2" x14ac:dyDescent="0.25">
      <c r="A5299" s="65">
        <v>5298</v>
      </c>
      <c r="B5299" s="64">
        <v>29369944.158088207</v>
      </c>
    </row>
    <row r="5300" spans="1:2" x14ac:dyDescent="0.25">
      <c r="A5300" s="65">
        <v>5299</v>
      </c>
      <c r="B5300" s="64">
        <v>28602821.703526162</v>
      </c>
    </row>
    <row r="5301" spans="1:2" x14ac:dyDescent="0.25">
      <c r="A5301" s="65">
        <v>5300</v>
      </c>
      <c r="B5301" s="64">
        <v>28610754.43678429</v>
      </c>
    </row>
    <row r="5302" spans="1:2" x14ac:dyDescent="0.25">
      <c r="A5302" s="65">
        <v>5301</v>
      </c>
      <c r="B5302" s="64">
        <v>28978089.309783835</v>
      </c>
    </row>
    <row r="5303" spans="1:2" x14ac:dyDescent="0.25">
      <c r="A5303" s="65">
        <v>5302</v>
      </c>
      <c r="B5303" s="64">
        <v>29321575.571868196</v>
      </c>
    </row>
    <row r="5304" spans="1:2" x14ac:dyDescent="0.25">
      <c r="A5304" s="65">
        <v>5303</v>
      </c>
      <c r="B5304" s="64">
        <v>29025436.021816522</v>
      </c>
    </row>
    <row r="5305" spans="1:2" x14ac:dyDescent="0.25">
      <c r="A5305" s="65">
        <v>5304</v>
      </c>
      <c r="B5305" s="64">
        <v>29275476.108241435</v>
      </c>
    </row>
    <row r="5306" spans="1:2" x14ac:dyDescent="0.25">
      <c r="A5306" s="65">
        <v>5305</v>
      </c>
      <c r="B5306" s="64">
        <v>29008151.050067689</v>
      </c>
    </row>
    <row r="5307" spans="1:2" x14ac:dyDescent="0.25">
      <c r="A5307" s="65">
        <v>5306</v>
      </c>
      <c r="B5307" s="64">
        <v>29139124.389015779</v>
      </c>
    </row>
    <row r="5308" spans="1:2" x14ac:dyDescent="0.25">
      <c r="A5308" s="65">
        <v>5307</v>
      </c>
      <c r="B5308" s="64">
        <v>28616255.921270493</v>
      </c>
    </row>
    <row r="5309" spans="1:2" x14ac:dyDescent="0.25">
      <c r="A5309" s="65">
        <v>5308</v>
      </c>
      <c r="B5309" s="64">
        <v>29143436.678805202</v>
      </c>
    </row>
    <row r="5310" spans="1:2" x14ac:dyDescent="0.25">
      <c r="A5310" s="65">
        <v>5309</v>
      </c>
      <c r="B5310" s="64">
        <v>30024506.599324811</v>
      </c>
    </row>
    <row r="5311" spans="1:2" x14ac:dyDescent="0.25">
      <c r="A5311" s="65">
        <v>5310</v>
      </c>
      <c r="B5311" s="64">
        <v>29169171.248510007</v>
      </c>
    </row>
    <row r="5312" spans="1:2" x14ac:dyDescent="0.25">
      <c r="A5312" s="65">
        <v>5311</v>
      </c>
      <c r="B5312" s="64">
        <v>30999862.662600748</v>
      </c>
    </row>
    <row r="5313" spans="1:2" x14ac:dyDescent="0.25">
      <c r="A5313" s="65">
        <v>5312</v>
      </c>
      <c r="B5313" s="64">
        <v>29724049.436289534</v>
      </c>
    </row>
    <row r="5314" spans="1:2" x14ac:dyDescent="0.25">
      <c r="A5314" s="65">
        <v>5313</v>
      </c>
      <c r="B5314" s="64">
        <v>29605979.147854593</v>
      </c>
    </row>
    <row r="5315" spans="1:2" x14ac:dyDescent="0.25">
      <c r="A5315" s="65">
        <v>5314</v>
      </c>
      <c r="B5315" s="64">
        <v>28914347.230249349</v>
      </c>
    </row>
    <row r="5316" spans="1:2" x14ac:dyDescent="0.25">
      <c r="A5316" s="65">
        <v>5315</v>
      </c>
      <c r="B5316" s="64">
        <v>28705403.40042923</v>
      </c>
    </row>
    <row r="5317" spans="1:2" x14ac:dyDescent="0.25">
      <c r="A5317" s="65">
        <v>5316</v>
      </c>
      <c r="B5317" s="64">
        <v>28464559.674425799</v>
      </c>
    </row>
    <row r="5318" spans="1:2" x14ac:dyDescent="0.25">
      <c r="A5318" s="65">
        <v>5317</v>
      </c>
      <c r="B5318" s="64">
        <v>29273357.007661294</v>
      </c>
    </row>
    <row r="5319" spans="1:2" x14ac:dyDescent="0.25">
      <c r="A5319" s="65">
        <v>5318</v>
      </c>
      <c r="B5319" s="64">
        <v>28798281.19654087</v>
      </c>
    </row>
    <row r="5320" spans="1:2" x14ac:dyDescent="0.25">
      <c r="A5320" s="65">
        <v>5319</v>
      </c>
      <c r="B5320" s="64">
        <v>33065035.603465758</v>
      </c>
    </row>
    <row r="5321" spans="1:2" x14ac:dyDescent="0.25">
      <c r="A5321" s="65">
        <v>5320</v>
      </c>
      <c r="B5321" s="64">
        <v>28666769.197113767</v>
      </c>
    </row>
    <row r="5322" spans="1:2" x14ac:dyDescent="0.25">
      <c r="A5322" s="65">
        <v>5321</v>
      </c>
      <c r="B5322" s="64">
        <v>30072999.590189099</v>
      </c>
    </row>
    <row r="5323" spans="1:2" x14ac:dyDescent="0.25">
      <c r="A5323" s="65">
        <v>5322</v>
      </c>
      <c r="B5323" s="64">
        <v>29583201.4791664</v>
      </c>
    </row>
    <row r="5324" spans="1:2" x14ac:dyDescent="0.25">
      <c r="A5324" s="65">
        <v>5323</v>
      </c>
      <c r="B5324" s="64">
        <v>28940315.672757629</v>
      </c>
    </row>
    <row r="5325" spans="1:2" x14ac:dyDescent="0.25">
      <c r="A5325" s="65">
        <v>5324</v>
      </c>
      <c r="B5325" s="64">
        <v>29221423.542112574</v>
      </c>
    </row>
    <row r="5326" spans="1:2" x14ac:dyDescent="0.25">
      <c r="A5326" s="65">
        <v>5325</v>
      </c>
      <c r="B5326" s="64">
        <v>28931792.086294085</v>
      </c>
    </row>
    <row r="5327" spans="1:2" x14ac:dyDescent="0.25">
      <c r="A5327" s="65">
        <v>5326</v>
      </c>
      <c r="B5327" s="64">
        <v>29151731.958906107</v>
      </c>
    </row>
    <row r="5328" spans="1:2" x14ac:dyDescent="0.25">
      <c r="A5328" s="65">
        <v>5327</v>
      </c>
      <c r="B5328" s="64">
        <v>28883086.079820734</v>
      </c>
    </row>
    <row r="5329" spans="1:2" x14ac:dyDescent="0.25">
      <c r="A5329" s="65">
        <v>5328</v>
      </c>
      <c r="B5329" s="64">
        <v>29031514.600673087</v>
      </c>
    </row>
    <row r="5330" spans="1:2" x14ac:dyDescent="0.25">
      <c r="A5330" s="65">
        <v>5329</v>
      </c>
      <c r="B5330" s="64">
        <v>28457281.952272151</v>
      </c>
    </row>
    <row r="5331" spans="1:2" x14ac:dyDescent="0.25">
      <c r="A5331" s="65">
        <v>5330</v>
      </c>
      <c r="B5331" s="64">
        <v>28987017.903154723</v>
      </c>
    </row>
    <row r="5332" spans="1:2" x14ac:dyDescent="0.25">
      <c r="A5332" s="65">
        <v>5331</v>
      </c>
      <c r="B5332" s="64">
        <v>28575835.577376109</v>
      </c>
    </row>
    <row r="5333" spans="1:2" x14ac:dyDescent="0.25">
      <c r="A5333" s="65">
        <v>5332</v>
      </c>
      <c r="B5333" s="64">
        <v>28331554.196720969</v>
      </c>
    </row>
    <row r="5334" spans="1:2" x14ac:dyDescent="0.25">
      <c r="A5334" s="65">
        <v>5333</v>
      </c>
      <c r="B5334" s="64">
        <v>28512578.274889059</v>
      </c>
    </row>
    <row r="5335" spans="1:2" x14ac:dyDescent="0.25">
      <c r="A5335" s="65">
        <v>5334</v>
      </c>
      <c r="B5335" s="64">
        <v>28864167.901019093</v>
      </c>
    </row>
    <row r="5336" spans="1:2" x14ac:dyDescent="0.25">
      <c r="A5336" s="65">
        <v>5335</v>
      </c>
      <c r="B5336" s="64">
        <v>29531159.108464178</v>
      </c>
    </row>
    <row r="5337" spans="1:2" x14ac:dyDescent="0.25">
      <c r="A5337" s="65">
        <v>5336</v>
      </c>
      <c r="B5337" s="64">
        <v>29118841.847943425</v>
      </c>
    </row>
    <row r="5338" spans="1:2" x14ac:dyDescent="0.25">
      <c r="A5338" s="65">
        <v>5337</v>
      </c>
      <c r="B5338" s="64">
        <v>29083112.29530751</v>
      </c>
    </row>
    <row r="5339" spans="1:2" x14ac:dyDescent="0.25">
      <c r="A5339" s="65">
        <v>5338</v>
      </c>
      <c r="B5339" s="64">
        <v>29732284.920470539</v>
      </c>
    </row>
    <row r="5340" spans="1:2" x14ac:dyDescent="0.25">
      <c r="A5340" s="65">
        <v>5339</v>
      </c>
      <c r="B5340" s="64">
        <v>29787847.110323314</v>
      </c>
    </row>
    <row r="5341" spans="1:2" x14ac:dyDescent="0.25">
      <c r="A5341" s="65">
        <v>5340</v>
      </c>
      <c r="B5341" s="64">
        <v>28612399.821441859</v>
      </c>
    </row>
    <row r="5342" spans="1:2" x14ac:dyDescent="0.25">
      <c r="A5342" s="65">
        <v>5341</v>
      </c>
      <c r="B5342" s="64">
        <v>29126203.073820904</v>
      </c>
    </row>
    <row r="5343" spans="1:2" x14ac:dyDescent="0.25">
      <c r="A5343" s="65">
        <v>5342</v>
      </c>
      <c r="B5343" s="64">
        <v>29523778.244156122</v>
      </c>
    </row>
    <row r="5344" spans="1:2" x14ac:dyDescent="0.25">
      <c r="A5344" s="65">
        <v>5343</v>
      </c>
      <c r="B5344" s="64">
        <v>28802456.818820111</v>
      </c>
    </row>
    <row r="5345" spans="1:2" x14ac:dyDescent="0.25">
      <c r="A5345" s="65">
        <v>5344</v>
      </c>
      <c r="B5345" s="64">
        <v>28918540.841327719</v>
      </c>
    </row>
    <row r="5346" spans="1:2" x14ac:dyDescent="0.25">
      <c r="A5346" s="65">
        <v>5345</v>
      </c>
      <c r="B5346" s="64">
        <v>29057974.048895601</v>
      </c>
    </row>
    <row r="5347" spans="1:2" x14ac:dyDescent="0.25">
      <c r="A5347" s="65">
        <v>5346</v>
      </c>
      <c r="B5347" s="64">
        <v>29237947.214553904</v>
      </c>
    </row>
    <row r="5348" spans="1:2" x14ac:dyDescent="0.25">
      <c r="A5348" s="65">
        <v>5347</v>
      </c>
      <c r="B5348" s="64">
        <v>28793445.294306986</v>
      </c>
    </row>
    <row r="5349" spans="1:2" x14ac:dyDescent="0.25">
      <c r="A5349" s="65">
        <v>5348</v>
      </c>
      <c r="B5349" s="64">
        <v>28863218.827562556</v>
      </c>
    </row>
    <row r="5350" spans="1:2" x14ac:dyDescent="0.25">
      <c r="A5350" s="65">
        <v>5349</v>
      </c>
      <c r="B5350" s="64">
        <v>29622037.218087323</v>
      </c>
    </row>
    <row r="5351" spans="1:2" x14ac:dyDescent="0.25">
      <c r="A5351" s="65">
        <v>5350</v>
      </c>
      <c r="B5351" s="64">
        <v>29295230.695641365</v>
      </c>
    </row>
    <row r="5352" spans="1:2" x14ac:dyDescent="0.25">
      <c r="A5352" s="65">
        <v>5351</v>
      </c>
      <c r="B5352" s="64">
        <v>29073562.946684826</v>
      </c>
    </row>
    <row r="5353" spans="1:2" x14ac:dyDescent="0.25">
      <c r="A5353" s="65">
        <v>5352</v>
      </c>
      <c r="B5353" s="64">
        <v>28566932.595671918</v>
      </c>
    </row>
    <row r="5354" spans="1:2" x14ac:dyDescent="0.25">
      <c r="A5354" s="65">
        <v>5353</v>
      </c>
      <c r="B5354" s="64">
        <v>28697366.429131716</v>
      </c>
    </row>
    <row r="5355" spans="1:2" x14ac:dyDescent="0.25">
      <c r="A5355" s="65">
        <v>5354</v>
      </c>
      <c r="B5355" s="64">
        <v>29768436.824169081</v>
      </c>
    </row>
    <row r="5356" spans="1:2" x14ac:dyDescent="0.25">
      <c r="A5356" s="65">
        <v>5355</v>
      </c>
      <c r="B5356" s="64">
        <v>29064039.236223273</v>
      </c>
    </row>
    <row r="5357" spans="1:2" x14ac:dyDescent="0.25">
      <c r="A5357" s="65">
        <v>5356</v>
      </c>
      <c r="B5357" s="64">
        <v>30488437.669299427</v>
      </c>
    </row>
    <row r="5358" spans="1:2" x14ac:dyDescent="0.25">
      <c r="A5358" s="65">
        <v>5357</v>
      </c>
      <c r="B5358" s="64">
        <v>28431630.349090792</v>
      </c>
    </row>
    <row r="5359" spans="1:2" x14ac:dyDescent="0.25">
      <c r="A5359" s="65">
        <v>5358</v>
      </c>
      <c r="B5359" s="64">
        <v>29355440.544324495</v>
      </c>
    </row>
    <row r="5360" spans="1:2" x14ac:dyDescent="0.25">
      <c r="A5360" s="65">
        <v>5359</v>
      </c>
      <c r="B5360" s="64">
        <v>29322514.740972944</v>
      </c>
    </row>
    <row r="5361" spans="1:2" x14ac:dyDescent="0.25">
      <c r="A5361" s="65">
        <v>5360</v>
      </c>
      <c r="B5361" s="64">
        <v>28908469.219062988</v>
      </c>
    </row>
    <row r="5362" spans="1:2" x14ac:dyDescent="0.25">
      <c r="A5362" s="65">
        <v>5361</v>
      </c>
      <c r="B5362" s="64">
        <v>32808993.821157835</v>
      </c>
    </row>
    <row r="5363" spans="1:2" x14ac:dyDescent="0.25">
      <c r="A5363" s="65">
        <v>5362</v>
      </c>
      <c r="B5363" s="64">
        <v>29246179.411471345</v>
      </c>
    </row>
    <row r="5364" spans="1:2" x14ac:dyDescent="0.25">
      <c r="A5364" s="65">
        <v>5363</v>
      </c>
      <c r="B5364" s="64">
        <v>28950558.993015811</v>
      </c>
    </row>
    <row r="5365" spans="1:2" x14ac:dyDescent="0.25">
      <c r="A5365" s="65">
        <v>5364</v>
      </c>
      <c r="B5365" s="64">
        <v>29681569.781506475</v>
      </c>
    </row>
    <row r="5366" spans="1:2" x14ac:dyDescent="0.25">
      <c r="A5366" s="65">
        <v>5365</v>
      </c>
      <c r="B5366" s="64">
        <v>28680032.059858985</v>
      </c>
    </row>
    <row r="5367" spans="1:2" x14ac:dyDescent="0.25">
      <c r="A5367" s="65">
        <v>5366</v>
      </c>
      <c r="B5367" s="64">
        <v>29840141.027413096</v>
      </c>
    </row>
    <row r="5368" spans="1:2" x14ac:dyDescent="0.25">
      <c r="A5368" s="65">
        <v>5367</v>
      </c>
      <c r="B5368" s="64">
        <v>29245433.029790517</v>
      </c>
    </row>
    <row r="5369" spans="1:2" x14ac:dyDescent="0.25">
      <c r="A5369" s="65">
        <v>5368</v>
      </c>
      <c r="B5369" s="64">
        <v>30173089.615827743</v>
      </c>
    </row>
    <row r="5370" spans="1:2" x14ac:dyDescent="0.25">
      <c r="A5370" s="65">
        <v>5369</v>
      </c>
      <c r="B5370" s="64">
        <v>29007137.679124434</v>
      </c>
    </row>
    <row r="5371" spans="1:2" x14ac:dyDescent="0.25">
      <c r="A5371" s="65">
        <v>5370</v>
      </c>
      <c r="B5371" s="64">
        <v>29226846.944390461</v>
      </c>
    </row>
    <row r="5372" spans="1:2" x14ac:dyDescent="0.25">
      <c r="A5372" s="65">
        <v>5371</v>
      </c>
      <c r="B5372" s="64">
        <v>28671333.255504765</v>
      </c>
    </row>
    <row r="5373" spans="1:2" x14ac:dyDescent="0.25">
      <c r="A5373" s="65">
        <v>5372</v>
      </c>
      <c r="B5373" s="64">
        <v>29286788.937144365</v>
      </c>
    </row>
    <row r="5374" spans="1:2" x14ac:dyDescent="0.25">
      <c r="A5374" s="65">
        <v>5373</v>
      </c>
      <c r="B5374" s="64">
        <v>30761553.230030987</v>
      </c>
    </row>
    <row r="5375" spans="1:2" x14ac:dyDescent="0.25">
      <c r="A5375" s="65">
        <v>5374</v>
      </c>
      <c r="B5375" s="64">
        <v>28743260.166576739</v>
      </c>
    </row>
    <row r="5376" spans="1:2" x14ac:dyDescent="0.25">
      <c r="A5376" s="65">
        <v>5375</v>
      </c>
      <c r="B5376" s="64">
        <v>28619054.796284929</v>
      </c>
    </row>
    <row r="5377" spans="1:2" x14ac:dyDescent="0.25">
      <c r="A5377" s="65">
        <v>5376</v>
      </c>
      <c r="B5377" s="64">
        <v>29137177.268398363</v>
      </c>
    </row>
    <row r="5378" spans="1:2" x14ac:dyDescent="0.25">
      <c r="A5378" s="65">
        <v>5377</v>
      </c>
      <c r="B5378" s="64">
        <v>30309459.24645577</v>
      </c>
    </row>
    <row r="5379" spans="1:2" x14ac:dyDescent="0.25">
      <c r="A5379" s="65">
        <v>5378</v>
      </c>
      <c r="B5379" s="64">
        <v>29889311.678781182</v>
      </c>
    </row>
    <row r="5380" spans="1:2" x14ac:dyDescent="0.25">
      <c r="A5380" s="65">
        <v>5379</v>
      </c>
      <c r="B5380" s="64">
        <v>28963509.690666307</v>
      </c>
    </row>
    <row r="5381" spans="1:2" x14ac:dyDescent="0.25">
      <c r="A5381" s="65">
        <v>5380</v>
      </c>
      <c r="B5381" s="64">
        <v>29134135.37223573</v>
      </c>
    </row>
    <row r="5382" spans="1:2" x14ac:dyDescent="0.25">
      <c r="A5382" s="65">
        <v>5381</v>
      </c>
      <c r="B5382" s="64">
        <v>28816872.559713535</v>
      </c>
    </row>
    <row r="5383" spans="1:2" x14ac:dyDescent="0.25">
      <c r="A5383" s="65">
        <v>5382</v>
      </c>
      <c r="B5383" s="64">
        <v>28708897.635521498</v>
      </c>
    </row>
    <row r="5384" spans="1:2" x14ac:dyDescent="0.25">
      <c r="A5384" s="65">
        <v>5383</v>
      </c>
      <c r="B5384" s="64">
        <v>28861603.69112023</v>
      </c>
    </row>
    <row r="5385" spans="1:2" x14ac:dyDescent="0.25">
      <c r="A5385" s="65">
        <v>5384</v>
      </c>
      <c r="B5385" s="64">
        <v>30460402.444482554</v>
      </c>
    </row>
    <row r="5386" spans="1:2" x14ac:dyDescent="0.25">
      <c r="A5386" s="65">
        <v>5385</v>
      </c>
      <c r="B5386" s="64">
        <v>29264676.579902507</v>
      </c>
    </row>
    <row r="5387" spans="1:2" x14ac:dyDescent="0.25">
      <c r="A5387" s="65">
        <v>5386</v>
      </c>
      <c r="B5387" s="64">
        <v>29287818.28003756</v>
      </c>
    </row>
    <row r="5388" spans="1:2" x14ac:dyDescent="0.25">
      <c r="A5388" s="65">
        <v>5387</v>
      </c>
      <c r="B5388" s="64">
        <v>29196336.083781783</v>
      </c>
    </row>
    <row r="5389" spans="1:2" x14ac:dyDescent="0.25">
      <c r="A5389" s="65">
        <v>5388</v>
      </c>
      <c r="B5389" s="64">
        <v>28564789.414040759</v>
      </c>
    </row>
    <row r="5390" spans="1:2" x14ac:dyDescent="0.25">
      <c r="A5390" s="65">
        <v>5389</v>
      </c>
      <c r="B5390" s="64">
        <v>33933749.368586883</v>
      </c>
    </row>
    <row r="5391" spans="1:2" x14ac:dyDescent="0.25">
      <c r="A5391" s="65">
        <v>5390</v>
      </c>
      <c r="B5391" s="64">
        <v>28537681.47313159</v>
      </c>
    </row>
    <row r="5392" spans="1:2" x14ac:dyDescent="0.25">
      <c r="A5392" s="65">
        <v>5391</v>
      </c>
      <c r="B5392" s="64">
        <v>29144559.212907579</v>
      </c>
    </row>
    <row r="5393" spans="1:2" x14ac:dyDescent="0.25">
      <c r="A5393" s="65">
        <v>5392</v>
      </c>
      <c r="B5393" s="64">
        <v>29115806.381730489</v>
      </c>
    </row>
    <row r="5394" spans="1:2" x14ac:dyDescent="0.25">
      <c r="A5394" s="65">
        <v>5393</v>
      </c>
      <c r="B5394" s="64">
        <v>28667359.914104898</v>
      </c>
    </row>
    <row r="5395" spans="1:2" x14ac:dyDescent="0.25">
      <c r="A5395" s="65">
        <v>5394</v>
      </c>
      <c r="B5395" s="64">
        <v>30068614.032009374</v>
      </c>
    </row>
    <row r="5396" spans="1:2" x14ac:dyDescent="0.25">
      <c r="A5396" s="65">
        <v>5395</v>
      </c>
      <c r="B5396" s="64">
        <v>30328258.274230722</v>
      </c>
    </row>
    <row r="5397" spans="1:2" x14ac:dyDescent="0.25">
      <c r="A5397" s="65">
        <v>5396</v>
      </c>
      <c r="B5397" s="64">
        <v>29929016.680964906</v>
      </c>
    </row>
    <row r="5398" spans="1:2" x14ac:dyDescent="0.25">
      <c r="A5398" s="65">
        <v>5397</v>
      </c>
      <c r="B5398" s="64">
        <v>28295818.840328179</v>
      </c>
    </row>
    <row r="5399" spans="1:2" x14ac:dyDescent="0.25">
      <c r="A5399" s="65">
        <v>5398</v>
      </c>
      <c r="B5399" s="64">
        <v>29032633.371115364</v>
      </c>
    </row>
    <row r="5400" spans="1:2" x14ac:dyDescent="0.25">
      <c r="A5400" s="65">
        <v>5399</v>
      </c>
      <c r="B5400" s="64">
        <v>29035312.699926905</v>
      </c>
    </row>
    <row r="5401" spans="1:2" x14ac:dyDescent="0.25">
      <c r="A5401" s="65">
        <v>5400</v>
      </c>
      <c r="B5401" s="64">
        <v>28847531.923044242</v>
      </c>
    </row>
    <row r="5402" spans="1:2" x14ac:dyDescent="0.25">
      <c r="A5402" s="65">
        <v>5401</v>
      </c>
      <c r="B5402" s="64">
        <v>29006728.903839011</v>
      </c>
    </row>
    <row r="5403" spans="1:2" x14ac:dyDescent="0.25">
      <c r="A5403" s="65">
        <v>5402</v>
      </c>
      <c r="B5403" s="64">
        <v>29108675.672036011</v>
      </c>
    </row>
    <row r="5404" spans="1:2" x14ac:dyDescent="0.25">
      <c r="A5404" s="65">
        <v>5403</v>
      </c>
      <c r="B5404" s="64">
        <v>28602648.305916738</v>
      </c>
    </row>
    <row r="5405" spans="1:2" x14ac:dyDescent="0.25">
      <c r="A5405" s="65">
        <v>5404</v>
      </c>
      <c r="B5405" s="64">
        <v>29991149.289064161</v>
      </c>
    </row>
    <row r="5406" spans="1:2" x14ac:dyDescent="0.25">
      <c r="A5406" s="65">
        <v>5405</v>
      </c>
      <c r="B5406" s="64">
        <v>28682486.948053133</v>
      </c>
    </row>
    <row r="5407" spans="1:2" x14ac:dyDescent="0.25">
      <c r="A5407" s="65">
        <v>5406</v>
      </c>
      <c r="B5407" s="64">
        <v>28962620.796945166</v>
      </c>
    </row>
    <row r="5408" spans="1:2" x14ac:dyDescent="0.25">
      <c r="A5408" s="65">
        <v>5407</v>
      </c>
      <c r="B5408" s="64">
        <v>29156370.160619318</v>
      </c>
    </row>
    <row r="5409" spans="1:2" x14ac:dyDescent="0.25">
      <c r="A5409" s="65">
        <v>5408</v>
      </c>
      <c r="B5409" s="64">
        <v>28569214.046920888</v>
      </c>
    </row>
    <row r="5410" spans="1:2" x14ac:dyDescent="0.25">
      <c r="A5410" s="65">
        <v>5409</v>
      </c>
      <c r="B5410" s="64">
        <v>29220133.669780713</v>
      </c>
    </row>
    <row r="5411" spans="1:2" x14ac:dyDescent="0.25">
      <c r="A5411" s="65">
        <v>5410</v>
      </c>
      <c r="B5411" s="64">
        <v>28496035.224167034</v>
      </c>
    </row>
    <row r="5412" spans="1:2" x14ac:dyDescent="0.25">
      <c r="A5412" s="65">
        <v>5411</v>
      </c>
      <c r="B5412" s="64">
        <v>28823250.303696979</v>
      </c>
    </row>
    <row r="5413" spans="1:2" x14ac:dyDescent="0.25">
      <c r="A5413" s="65">
        <v>5412</v>
      </c>
      <c r="B5413" s="64">
        <v>29535177.553017169</v>
      </c>
    </row>
    <row r="5414" spans="1:2" x14ac:dyDescent="0.25">
      <c r="A5414" s="65">
        <v>5413</v>
      </c>
      <c r="B5414" s="64">
        <v>28650678.592250101</v>
      </c>
    </row>
    <row r="5415" spans="1:2" x14ac:dyDescent="0.25">
      <c r="A5415" s="65">
        <v>5414</v>
      </c>
      <c r="B5415" s="64">
        <v>28585260.523913771</v>
      </c>
    </row>
    <row r="5416" spans="1:2" x14ac:dyDescent="0.25">
      <c r="A5416" s="65">
        <v>5415</v>
      </c>
      <c r="B5416" s="64">
        <v>29672691.32103999</v>
      </c>
    </row>
    <row r="5417" spans="1:2" x14ac:dyDescent="0.25">
      <c r="A5417" s="65">
        <v>5416</v>
      </c>
      <c r="B5417" s="64">
        <v>28769402.755647711</v>
      </c>
    </row>
    <row r="5418" spans="1:2" x14ac:dyDescent="0.25">
      <c r="A5418" s="65">
        <v>5417</v>
      </c>
      <c r="B5418" s="64">
        <v>29630687.109201204</v>
      </c>
    </row>
    <row r="5419" spans="1:2" x14ac:dyDescent="0.25">
      <c r="A5419" s="65">
        <v>5418</v>
      </c>
      <c r="B5419" s="64">
        <v>29666817.390600361</v>
      </c>
    </row>
    <row r="5420" spans="1:2" x14ac:dyDescent="0.25">
      <c r="A5420" s="65">
        <v>5419</v>
      </c>
      <c r="B5420" s="64">
        <v>33350950.652285241</v>
      </c>
    </row>
    <row r="5421" spans="1:2" x14ac:dyDescent="0.25">
      <c r="A5421" s="65">
        <v>5420</v>
      </c>
      <c r="B5421" s="64">
        <v>28398190.485601053</v>
      </c>
    </row>
    <row r="5422" spans="1:2" x14ac:dyDescent="0.25">
      <c r="A5422" s="65">
        <v>5421</v>
      </c>
      <c r="B5422" s="64">
        <v>28823554.659739491</v>
      </c>
    </row>
    <row r="5423" spans="1:2" x14ac:dyDescent="0.25">
      <c r="A5423" s="65">
        <v>5422</v>
      </c>
      <c r="B5423" s="64">
        <v>30065382.645272065</v>
      </c>
    </row>
    <row r="5424" spans="1:2" x14ac:dyDescent="0.25">
      <c r="A5424" s="65">
        <v>5423</v>
      </c>
      <c r="B5424" s="64">
        <v>28620428.270308957</v>
      </c>
    </row>
    <row r="5425" spans="1:2" x14ac:dyDescent="0.25">
      <c r="A5425" s="65">
        <v>5424</v>
      </c>
      <c r="B5425" s="64">
        <v>30079624.999240648</v>
      </c>
    </row>
    <row r="5426" spans="1:2" x14ac:dyDescent="0.25">
      <c r="A5426" s="65">
        <v>5425</v>
      </c>
      <c r="B5426" s="64">
        <v>29046773.410946719</v>
      </c>
    </row>
    <row r="5427" spans="1:2" x14ac:dyDescent="0.25">
      <c r="A5427" s="65">
        <v>5426</v>
      </c>
      <c r="B5427" s="64">
        <v>29594014.446741778</v>
      </c>
    </row>
    <row r="5428" spans="1:2" x14ac:dyDescent="0.25">
      <c r="A5428" s="65">
        <v>5427</v>
      </c>
      <c r="B5428" s="64">
        <v>29018924.978154693</v>
      </c>
    </row>
    <row r="5429" spans="1:2" x14ac:dyDescent="0.25">
      <c r="A5429" s="65">
        <v>5428</v>
      </c>
      <c r="B5429" s="64">
        <v>28404929.437200449</v>
      </c>
    </row>
    <row r="5430" spans="1:2" x14ac:dyDescent="0.25">
      <c r="A5430" s="65">
        <v>5429</v>
      </c>
      <c r="B5430" s="64">
        <v>34184640.495566688</v>
      </c>
    </row>
    <row r="5431" spans="1:2" x14ac:dyDescent="0.25">
      <c r="A5431" s="65">
        <v>5430</v>
      </c>
      <c r="B5431" s="64">
        <v>29452413.390402924</v>
      </c>
    </row>
    <row r="5432" spans="1:2" x14ac:dyDescent="0.25">
      <c r="A5432" s="65">
        <v>5431</v>
      </c>
      <c r="B5432" s="64">
        <v>28804306.748259194</v>
      </c>
    </row>
    <row r="5433" spans="1:2" x14ac:dyDescent="0.25">
      <c r="A5433" s="65">
        <v>5432</v>
      </c>
      <c r="B5433" s="64">
        <v>28483851.062633861</v>
      </c>
    </row>
    <row r="5434" spans="1:2" x14ac:dyDescent="0.25">
      <c r="A5434" s="65">
        <v>5433</v>
      </c>
      <c r="B5434" s="64">
        <v>29377711.936683767</v>
      </c>
    </row>
    <row r="5435" spans="1:2" x14ac:dyDescent="0.25">
      <c r="A5435" s="65">
        <v>5434</v>
      </c>
      <c r="B5435" s="64">
        <v>29485423.777439583</v>
      </c>
    </row>
    <row r="5436" spans="1:2" x14ac:dyDescent="0.25">
      <c r="A5436" s="65">
        <v>5435</v>
      </c>
      <c r="B5436" s="64">
        <v>28891829.812284682</v>
      </c>
    </row>
    <row r="5437" spans="1:2" x14ac:dyDescent="0.25">
      <c r="A5437" s="65">
        <v>5436</v>
      </c>
      <c r="B5437" s="64">
        <v>29052547.361180026</v>
      </c>
    </row>
    <row r="5438" spans="1:2" x14ac:dyDescent="0.25">
      <c r="A5438" s="65">
        <v>5437</v>
      </c>
      <c r="B5438" s="64">
        <v>28554379.74448422</v>
      </c>
    </row>
    <row r="5439" spans="1:2" x14ac:dyDescent="0.25">
      <c r="A5439" s="65">
        <v>5438</v>
      </c>
      <c r="B5439" s="64">
        <v>28774035.539529305</v>
      </c>
    </row>
    <row r="5440" spans="1:2" x14ac:dyDescent="0.25">
      <c r="A5440" s="65">
        <v>5439</v>
      </c>
      <c r="B5440" s="64">
        <v>30153285.529253189</v>
      </c>
    </row>
    <row r="5441" spans="1:2" x14ac:dyDescent="0.25">
      <c r="A5441" s="65">
        <v>5440</v>
      </c>
      <c r="B5441" s="64">
        <v>29258384.35732422</v>
      </c>
    </row>
    <row r="5442" spans="1:2" x14ac:dyDescent="0.25">
      <c r="A5442" s="65">
        <v>5441</v>
      </c>
      <c r="B5442" s="64">
        <v>29670174.208120313</v>
      </c>
    </row>
    <row r="5443" spans="1:2" x14ac:dyDescent="0.25">
      <c r="A5443" s="65">
        <v>5442</v>
      </c>
      <c r="B5443" s="64">
        <v>28767321.011645652</v>
      </c>
    </row>
    <row r="5444" spans="1:2" x14ac:dyDescent="0.25">
      <c r="A5444" s="65">
        <v>5443</v>
      </c>
      <c r="B5444" s="64">
        <v>28537362.625502136</v>
      </c>
    </row>
    <row r="5445" spans="1:2" x14ac:dyDescent="0.25">
      <c r="A5445" s="65">
        <v>5444</v>
      </c>
      <c r="B5445" s="64">
        <v>34755805.430585824</v>
      </c>
    </row>
    <row r="5446" spans="1:2" x14ac:dyDescent="0.25">
      <c r="A5446" s="65">
        <v>5445</v>
      </c>
      <c r="B5446" s="64">
        <v>28938243.016545273</v>
      </c>
    </row>
    <row r="5447" spans="1:2" x14ac:dyDescent="0.25">
      <c r="A5447" s="65">
        <v>5446</v>
      </c>
      <c r="B5447" s="64">
        <v>29147684.569078423</v>
      </c>
    </row>
    <row r="5448" spans="1:2" x14ac:dyDescent="0.25">
      <c r="A5448" s="65">
        <v>5447</v>
      </c>
      <c r="B5448" s="64">
        <v>28830933.144921105</v>
      </c>
    </row>
    <row r="5449" spans="1:2" x14ac:dyDescent="0.25">
      <c r="A5449" s="65">
        <v>5448</v>
      </c>
      <c r="B5449" s="64">
        <v>28704602.876338087</v>
      </c>
    </row>
    <row r="5450" spans="1:2" x14ac:dyDescent="0.25">
      <c r="A5450" s="65">
        <v>5449</v>
      </c>
      <c r="B5450" s="64">
        <v>29047690.065044042</v>
      </c>
    </row>
    <row r="5451" spans="1:2" x14ac:dyDescent="0.25">
      <c r="A5451" s="65">
        <v>5450</v>
      </c>
      <c r="B5451" s="64">
        <v>29961054.952834297</v>
      </c>
    </row>
    <row r="5452" spans="1:2" x14ac:dyDescent="0.25">
      <c r="A5452" s="65">
        <v>5451</v>
      </c>
      <c r="B5452" s="64">
        <v>28743124.820306923</v>
      </c>
    </row>
    <row r="5453" spans="1:2" x14ac:dyDescent="0.25">
      <c r="A5453" s="65">
        <v>5452</v>
      </c>
      <c r="B5453" s="64">
        <v>30085910.104121316</v>
      </c>
    </row>
    <row r="5454" spans="1:2" x14ac:dyDescent="0.25">
      <c r="A5454" s="65">
        <v>5453</v>
      </c>
      <c r="B5454" s="64">
        <v>34166319.012040101</v>
      </c>
    </row>
    <row r="5455" spans="1:2" x14ac:dyDescent="0.25">
      <c r="A5455" s="65">
        <v>5454</v>
      </c>
      <c r="B5455" s="64">
        <v>29234835.411178321</v>
      </c>
    </row>
    <row r="5456" spans="1:2" x14ac:dyDescent="0.25">
      <c r="A5456" s="65">
        <v>5455</v>
      </c>
      <c r="B5456" s="64">
        <v>29631632.332165089</v>
      </c>
    </row>
    <row r="5457" spans="1:2" x14ac:dyDescent="0.25">
      <c r="A5457" s="65">
        <v>5456</v>
      </c>
      <c r="B5457" s="64">
        <v>29328140.26901263</v>
      </c>
    </row>
    <row r="5458" spans="1:2" x14ac:dyDescent="0.25">
      <c r="A5458" s="65">
        <v>5457</v>
      </c>
      <c r="B5458" s="64">
        <v>29676993.847098663</v>
      </c>
    </row>
    <row r="5459" spans="1:2" x14ac:dyDescent="0.25">
      <c r="A5459" s="65">
        <v>5458</v>
      </c>
      <c r="B5459" s="64">
        <v>28698439.272478312</v>
      </c>
    </row>
    <row r="5460" spans="1:2" x14ac:dyDescent="0.25">
      <c r="A5460" s="65">
        <v>5459</v>
      </c>
      <c r="B5460" s="64">
        <v>30039259.646491986</v>
      </c>
    </row>
    <row r="5461" spans="1:2" x14ac:dyDescent="0.25">
      <c r="A5461" s="65">
        <v>5460</v>
      </c>
      <c r="B5461" s="64">
        <v>29598679.470722731</v>
      </c>
    </row>
    <row r="5462" spans="1:2" x14ac:dyDescent="0.25">
      <c r="A5462" s="65">
        <v>5461</v>
      </c>
      <c r="B5462" s="64">
        <v>29136952.808266144</v>
      </c>
    </row>
    <row r="5463" spans="1:2" x14ac:dyDescent="0.25">
      <c r="A5463" s="65">
        <v>5462</v>
      </c>
      <c r="B5463" s="64">
        <v>29376166.127778672</v>
      </c>
    </row>
    <row r="5464" spans="1:2" x14ac:dyDescent="0.25">
      <c r="A5464" s="65">
        <v>5463</v>
      </c>
      <c r="B5464" s="64">
        <v>29657917.8342565</v>
      </c>
    </row>
    <row r="5465" spans="1:2" x14ac:dyDescent="0.25">
      <c r="A5465" s="65">
        <v>5464</v>
      </c>
      <c r="B5465" s="64">
        <v>29163141.094153635</v>
      </c>
    </row>
    <row r="5466" spans="1:2" x14ac:dyDescent="0.25">
      <c r="A5466" s="65">
        <v>5465</v>
      </c>
      <c r="B5466" s="64">
        <v>29339267.296401761</v>
      </c>
    </row>
    <row r="5467" spans="1:2" x14ac:dyDescent="0.25">
      <c r="A5467" s="65">
        <v>5466</v>
      </c>
      <c r="B5467" s="64">
        <v>30798938.506633922</v>
      </c>
    </row>
    <row r="5468" spans="1:2" x14ac:dyDescent="0.25">
      <c r="A5468" s="65">
        <v>5467</v>
      </c>
      <c r="B5468" s="64">
        <v>29131450.529981695</v>
      </c>
    </row>
    <row r="5469" spans="1:2" x14ac:dyDescent="0.25">
      <c r="A5469" s="65">
        <v>5468</v>
      </c>
      <c r="B5469" s="64">
        <v>29881035.110099748</v>
      </c>
    </row>
    <row r="5470" spans="1:2" x14ac:dyDescent="0.25">
      <c r="A5470" s="65">
        <v>5469</v>
      </c>
      <c r="B5470" s="64">
        <v>29438694.422708455</v>
      </c>
    </row>
    <row r="5471" spans="1:2" x14ac:dyDescent="0.25">
      <c r="A5471" s="65">
        <v>5470</v>
      </c>
      <c r="B5471" s="64">
        <v>29311003.285156444</v>
      </c>
    </row>
    <row r="5472" spans="1:2" x14ac:dyDescent="0.25">
      <c r="A5472" s="65">
        <v>5471</v>
      </c>
      <c r="B5472" s="64">
        <v>29226020.312722705</v>
      </c>
    </row>
    <row r="5473" spans="1:2" x14ac:dyDescent="0.25">
      <c r="A5473" s="65">
        <v>5472</v>
      </c>
      <c r="B5473" s="64">
        <v>28741582.254654281</v>
      </c>
    </row>
    <row r="5474" spans="1:2" x14ac:dyDescent="0.25">
      <c r="A5474" s="65">
        <v>5473</v>
      </c>
      <c r="B5474" s="64">
        <v>29336140.089298982</v>
      </c>
    </row>
    <row r="5475" spans="1:2" x14ac:dyDescent="0.25">
      <c r="A5475" s="65">
        <v>5474</v>
      </c>
      <c r="B5475" s="64">
        <v>30185207.377354462</v>
      </c>
    </row>
    <row r="5476" spans="1:2" x14ac:dyDescent="0.25">
      <c r="A5476" s="65">
        <v>5475</v>
      </c>
      <c r="B5476" s="64">
        <v>29215007.588199031</v>
      </c>
    </row>
    <row r="5477" spans="1:2" x14ac:dyDescent="0.25">
      <c r="A5477" s="65">
        <v>5476</v>
      </c>
      <c r="B5477" s="64">
        <v>28467042.951746635</v>
      </c>
    </row>
    <row r="5478" spans="1:2" x14ac:dyDescent="0.25">
      <c r="A5478" s="65">
        <v>5477</v>
      </c>
      <c r="B5478" s="64">
        <v>28683506.139916115</v>
      </c>
    </row>
    <row r="5479" spans="1:2" x14ac:dyDescent="0.25">
      <c r="A5479" s="65">
        <v>5478</v>
      </c>
      <c r="B5479" s="64">
        <v>28731643.930810157</v>
      </c>
    </row>
    <row r="5480" spans="1:2" x14ac:dyDescent="0.25">
      <c r="A5480" s="65">
        <v>5479</v>
      </c>
      <c r="B5480" s="64">
        <v>28889386.504893556</v>
      </c>
    </row>
    <row r="5481" spans="1:2" x14ac:dyDescent="0.25">
      <c r="A5481" s="65">
        <v>5480</v>
      </c>
      <c r="B5481" s="64">
        <v>32181709.718753543</v>
      </c>
    </row>
    <row r="5482" spans="1:2" x14ac:dyDescent="0.25">
      <c r="A5482" s="65">
        <v>5481</v>
      </c>
      <c r="B5482" s="64">
        <v>28755931.809141796</v>
      </c>
    </row>
    <row r="5483" spans="1:2" x14ac:dyDescent="0.25">
      <c r="A5483" s="65">
        <v>5482</v>
      </c>
      <c r="B5483" s="64">
        <v>29142614.55374204</v>
      </c>
    </row>
    <row r="5484" spans="1:2" x14ac:dyDescent="0.25">
      <c r="A5484" s="65">
        <v>5483</v>
      </c>
      <c r="B5484" s="64">
        <v>30431555.121017579</v>
      </c>
    </row>
    <row r="5485" spans="1:2" x14ac:dyDescent="0.25">
      <c r="A5485" s="65">
        <v>5484</v>
      </c>
      <c r="B5485" s="64">
        <v>33146276.595673028</v>
      </c>
    </row>
    <row r="5486" spans="1:2" x14ac:dyDescent="0.25">
      <c r="A5486" s="65">
        <v>5485</v>
      </c>
      <c r="B5486" s="64">
        <v>29069820.884409189</v>
      </c>
    </row>
    <row r="5487" spans="1:2" x14ac:dyDescent="0.25">
      <c r="A5487" s="65">
        <v>5486</v>
      </c>
      <c r="B5487" s="64">
        <v>29210304.473798625</v>
      </c>
    </row>
    <row r="5488" spans="1:2" x14ac:dyDescent="0.25">
      <c r="A5488" s="65">
        <v>5487</v>
      </c>
      <c r="B5488" s="64">
        <v>29457383.872489296</v>
      </c>
    </row>
    <row r="5489" spans="1:2" x14ac:dyDescent="0.25">
      <c r="A5489" s="65">
        <v>5488</v>
      </c>
      <c r="B5489" s="64">
        <v>28836147.894161768</v>
      </c>
    </row>
    <row r="5490" spans="1:2" x14ac:dyDescent="0.25">
      <c r="A5490" s="65">
        <v>5489</v>
      </c>
      <c r="B5490" s="64">
        <v>28544960.048600595</v>
      </c>
    </row>
    <row r="5491" spans="1:2" x14ac:dyDescent="0.25">
      <c r="A5491" s="65">
        <v>5490</v>
      </c>
      <c r="B5491" s="64">
        <v>28777066.461810652</v>
      </c>
    </row>
    <row r="5492" spans="1:2" x14ac:dyDescent="0.25">
      <c r="A5492" s="65">
        <v>5491</v>
      </c>
      <c r="B5492" s="64">
        <v>30179917.903099269</v>
      </c>
    </row>
    <row r="5493" spans="1:2" x14ac:dyDescent="0.25">
      <c r="A5493" s="65">
        <v>5492</v>
      </c>
      <c r="B5493" s="64">
        <v>30445851.552302878</v>
      </c>
    </row>
    <row r="5494" spans="1:2" x14ac:dyDescent="0.25">
      <c r="A5494" s="65">
        <v>5493</v>
      </c>
      <c r="B5494" s="64">
        <v>28989993.070464961</v>
      </c>
    </row>
    <row r="5495" spans="1:2" x14ac:dyDescent="0.25">
      <c r="A5495" s="65">
        <v>5494</v>
      </c>
      <c r="B5495" s="64">
        <v>29320904.236009423</v>
      </c>
    </row>
    <row r="5496" spans="1:2" x14ac:dyDescent="0.25">
      <c r="A5496" s="65">
        <v>5495</v>
      </c>
      <c r="B5496" s="64">
        <v>28606735.589587599</v>
      </c>
    </row>
    <row r="5497" spans="1:2" x14ac:dyDescent="0.25">
      <c r="A5497" s="65">
        <v>5496</v>
      </c>
      <c r="B5497" s="64">
        <v>29225460.836648282</v>
      </c>
    </row>
    <row r="5498" spans="1:2" x14ac:dyDescent="0.25">
      <c r="A5498" s="65">
        <v>5497</v>
      </c>
      <c r="B5498" s="64">
        <v>30102152.593347389</v>
      </c>
    </row>
    <row r="5499" spans="1:2" x14ac:dyDescent="0.25">
      <c r="A5499" s="65">
        <v>5498</v>
      </c>
      <c r="B5499" s="64">
        <v>29108031.992976151</v>
      </c>
    </row>
    <row r="5500" spans="1:2" x14ac:dyDescent="0.25">
      <c r="A5500" s="65">
        <v>5499</v>
      </c>
      <c r="B5500" s="64">
        <v>29049294.661810901</v>
      </c>
    </row>
    <row r="5501" spans="1:2" x14ac:dyDescent="0.25">
      <c r="A5501" s="65">
        <v>5500</v>
      </c>
      <c r="B5501" s="64">
        <v>29087782.770087205</v>
      </c>
    </row>
    <row r="5502" spans="1:2" x14ac:dyDescent="0.25">
      <c r="A5502" s="65">
        <v>5501</v>
      </c>
      <c r="B5502" s="64">
        <v>28449866.764798876</v>
      </c>
    </row>
    <row r="5503" spans="1:2" x14ac:dyDescent="0.25">
      <c r="A5503" s="65">
        <v>5502</v>
      </c>
      <c r="B5503" s="64">
        <v>28632055.848979212</v>
      </c>
    </row>
    <row r="5504" spans="1:2" x14ac:dyDescent="0.25">
      <c r="A5504" s="65">
        <v>5503</v>
      </c>
      <c r="B5504" s="64">
        <v>28770750.293530583</v>
      </c>
    </row>
    <row r="5505" spans="1:2" x14ac:dyDescent="0.25">
      <c r="A5505" s="65">
        <v>5504</v>
      </c>
      <c r="B5505" s="64">
        <v>29891524.892569944</v>
      </c>
    </row>
    <row r="5506" spans="1:2" x14ac:dyDescent="0.25">
      <c r="A5506" s="65">
        <v>5505</v>
      </c>
      <c r="B5506" s="64">
        <v>28971022.77617893</v>
      </c>
    </row>
    <row r="5507" spans="1:2" x14ac:dyDescent="0.25">
      <c r="A5507" s="65">
        <v>5506</v>
      </c>
      <c r="B5507" s="64">
        <v>30282000.748858273</v>
      </c>
    </row>
    <row r="5508" spans="1:2" x14ac:dyDescent="0.25">
      <c r="A5508" s="65">
        <v>5507</v>
      </c>
      <c r="B5508" s="64">
        <v>29061776.887526367</v>
      </c>
    </row>
    <row r="5509" spans="1:2" x14ac:dyDescent="0.25">
      <c r="A5509" s="65">
        <v>5508</v>
      </c>
      <c r="B5509" s="64">
        <v>32204408.06587635</v>
      </c>
    </row>
    <row r="5510" spans="1:2" x14ac:dyDescent="0.25">
      <c r="A5510" s="65">
        <v>5509</v>
      </c>
      <c r="B5510" s="64">
        <v>29952462.079411659</v>
      </c>
    </row>
    <row r="5511" spans="1:2" x14ac:dyDescent="0.25">
      <c r="A5511" s="65">
        <v>5510</v>
      </c>
      <c r="B5511" s="64">
        <v>28643242.354233552</v>
      </c>
    </row>
    <row r="5512" spans="1:2" x14ac:dyDescent="0.25">
      <c r="A5512" s="65">
        <v>5511</v>
      </c>
      <c r="B5512" s="64">
        <v>29409168.099348363</v>
      </c>
    </row>
    <row r="5513" spans="1:2" x14ac:dyDescent="0.25">
      <c r="A5513" s="65">
        <v>5512</v>
      </c>
      <c r="B5513" s="64">
        <v>28716994.459764898</v>
      </c>
    </row>
    <row r="5514" spans="1:2" x14ac:dyDescent="0.25">
      <c r="A5514" s="65">
        <v>5513</v>
      </c>
      <c r="B5514" s="64">
        <v>28860787.992640227</v>
      </c>
    </row>
    <row r="5515" spans="1:2" x14ac:dyDescent="0.25">
      <c r="A5515" s="65">
        <v>5514</v>
      </c>
      <c r="B5515" s="64">
        <v>29609956.266413216</v>
      </c>
    </row>
    <row r="5516" spans="1:2" x14ac:dyDescent="0.25">
      <c r="A5516" s="65">
        <v>5515</v>
      </c>
      <c r="B5516" s="64">
        <v>30004704.036405262</v>
      </c>
    </row>
    <row r="5517" spans="1:2" x14ac:dyDescent="0.25">
      <c r="A5517" s="65">
        <v>5516</v>
      </c>
      <c r="B5517" s="64">
        <v>28718864.715230424</v>
      </c>
    </row>
    <row r="5518" spans="1:2" x14ac:dyDescent="0.25">
      <c r="A5518" s="65">
        <v>5517</v>
      </c>
      <c r="B5518" s="64">
        <v>28969157.629024819</v>
      </c>
    </row>
    <row r="5519" spans="1:2" x14ac:dyDescent="0.25">
      <c r="A5519" s="65">
        <v>5518</v>
      </c>
      <c r="B5519" s="64">
        <v>28788090.897216201</v>
      </c>
    </row>
    <row r="5520" spans="1:2" x14ac:dyDescent="0.25">
      <c r="A5520" s="65">
        <v>5519</v>
      </c>
      <c r="B5520" s="64">
        <v>29084673.405379135</v>
      </c>
    </row>
    <row r="5521" spans="1:2" x14ac:dyDescent="0.25">
      <c r="A5521" s="65">
        <v>5520</v>
      </c>
      <c r="B5521" s="64">
        <v>34135937.97416652</v>
      </c>
    </row>
    <row r="5522" spans="1:2" x14ac:dyDescent="0.25">
      <c r="A5522" s="65">
        <v>5521</v>
      </c>
      <c r="B5522" s="64">
        <v>29002398.369344216</v>
      </c>
    </row>
    <row r="5523" spans="1:2" x14ac:dyDescent="0.25">
      <c r="A5523" s="65">
        <v>5522</v>
      </c>
      <c r="B5523" s="64">
        <v>30341795.127245031</v>
      </c>
    </row>
    <row r="5524" spans="1:2" x14ac:dyDescent="0.25">
      <c r="A5524" s="65">
        <v>5523</v>
      </c>
      <c r="B5524" s="64">
        <v>28666901.881618105</v>
      </c>
    </row>
    <row r="5525" spans="1:2" x14ac:dyDescent="0.25">
      <c r="A5525" s="65">
        <v>5524</v>
      </c>
      <c r="B5525" s="64">
        <v>28435498.370893594</v>
      </c>
    </row>
    <row r="5526" spans="1:2" x14ac:dyDescent="0.25">
      <c r="A5526" s="65">
        <v>5525</v>
      </c>
      <c r="B5526" s="64">
        <v>28916926.864413865</v>
      </c>
    </row>
    <row r="5527" spans="1:2" x14ac:dyDescent="0.25">
      <c r="A5527" s="65">
        <v>5526</v>
      </c>
      <c r="B5527" s="64">
        <v>29047693.568224967</v>
      </c>
    </row>
    <row r="5528" spans="1:2" x14ac:dyDescent="0.25">
      <c r="A5528" s="65">
        <v>5527</v>
      </c>
      <c r="B5528" s="64">
        <v>29415118.012622502</v>
      </c>
    </row>
    <row r="5529" spans="1:2" x14ac:dyDescent="0.25">
      <c r="A5529" s="65">
        <v>5528</v>
      </c>
      <c r="B5529" s="64">
        <v>28524783.903434608</v>
      </c>
    </row>
    <row r="5530" spans="1:2" x14ac:dyDescent="0.25">
      <c r="A5530" s="65">
        <v>5529</v>
      </c>
      <c r="B5530" s="64">
        <v>30339132.04027912</v>
      </c>
    </row>
    <row r="5531" spans="1:2" x14ac:dyDescent="0.25">
      <c r="A5531" s="65">
        <v>5530</v>
      </c>
      <c r="B5531" s="64">
        <v>28833500.153466575</v>
      </c>
    </row>
    <row r="5532" spans="1:2" x14ac:dyDescent="0.25">
      <c r="A5532" s="65">
        <v>5531</v>
      </c>
      <c r="B5532" s="64">
        <v>28576525.820909087</v>
      </c>
    </row>
    <row r="5533" spans="1:2" x14ac:dyDescent="0.25">
      <c r="A5533" s="65">
        <v>5532</v>
      </c>
      <c r="B5533" s="64">
        <v>29915057.184798602</v>
      </c>
    </row>
    <row r="5534" spans="1:2" x14ac:dyDescent="0.25">
      <c r="A5534" s="65">
        <v>5533</v>
      </c>
      <c r="B5534" s="64">
        <v>29215547.048190705</v>
      </c>
    </row>
    <row r="5535" spans="1:2" x14ac:dyDescent="0.25">
      <c r="A5535" s="65">
        <v>5534</v>
      </c>
      <c r="B5535" s="64">
        <v>29364599.105005872</v>
      </c>
    </row>
    <row r="5536" spans="1:2" x14ac:dyDescent="0.25">
      <c r="A5536" s="65">
        <v>5535</v>
      </c>
      <c r="B5536" s="64">
        <v>28802250.053198006</v>
      </c>
    </row>
    <row r="5537" spans="1:2" x14ac:dyDescent="0.25">
      <c r="A5537" s="65">
        <v>5536</v>
      </c>
      <c r="B5537" s="64">
        <v>29214309.900785547</v>
      </c>
    </row>
    <row r="5538" spans="1:2" x14ac:dyDescent="0.25">
      <c r="A5538" s="65">
        <v>5537</v>
      </c>
      <c r="B5538" s="64">
        <v>29659050.37505712</v>
      </c>
    </row>
    <row r="5539" spans="1:2" x14ac:dyDescent="0.25">
      <c r="A5539" s="65">
        <v>5538</v>
      </c>
      <c r="B5539" s="64">
        <v>28705824.373112425</v>
      </c>
    </row>
    <row r="5540" spans="1:2" x14ac:dyDescent="0.25">
      <c r="A5540" s="65">
        <v>5539</v>
      </c>
      <c r="B5540" s="64">
        <v>29089523.867100049</v>
      </c>
    </row>
    <row r="5541" spans="1:2" x14ac:dyDescent="0.25">
      <c r="A5541" s="65">
        <v>5540</v>
      </c>
      <c r="B5541" s="64">
        <v>29129551.018344544</v>
      </c>
    </row>
    <row r="5542" spans="1:2" x14ac:dyDescent="0.25">
      <c r="A5542" s="65">
        <v>5541</v>
      </c>
      <c r="B5542" s="64">
        <v>28718158.304477062</v>
      </c>
    </row>
    <row r="5543" spans="1:2" x14ac:dyDescent="0.25">
      <c r="A5543" s="65">
        <v>5542</v>
      </c>
      <c r="B5543" s="64">
        <v>28785877.370617934</v>
      </c>
    </row>
    <row r="5544" spans="1:2" x14ac:dyDescent="0.25">
      <c r="A5544" s="65">
        <v>5543</v>
      </c>
      <c r="B5544" s="64">
        <v>29160606.752642401</v>
      </c>
    </row>
    <row r="5545" spans="1:2" x14ac:dyDescent="0.25">
      <c r="A5545" s="65">
        <v>5544</v>
      </c>
      <c r="B5545" s="64">
        <v>29203447.5805314</v>
      </c>
    </row>
    <row r="5546" spans="1:2" x14ac:dyDescent="0.25">
      <c r="A5546" s="65">
        <v>5545</v>
      </c>
      <c r="B5546" s="64">
        <v>29104496.901087899</v>
      </c>
    </row>
    <row r="5547" spans="1:2" x14ac:dyDescent="0.25">
      <c r="A5547" s="65">
        <v>5546</v>
      </c>
      <c r="B5547" s="64">
        <v>29738590.056664176</v>
      </c>
    </row>
    <row r="5548" spans="1:2" x14ac:dyDescent="0.25">
      <c r="A5548" s="65">
        <v>5547</v>
      </c>
      <c r="B5548" s="64">
        <v>29112523.856575135</v>
      </c>
    </row>
    <row r="5549" spans="1:2" x14ac:dyDescent="0.25">
      <c r="A5549" s="65">
        <v>5548</v>
      </c>
      <c r="B5549" s="64">
        <v>30559222.770290233</v>
      </c>
    </row>
    <row r="5550" spans="1:2" x14ac:dyDescent="0.25">
      <c r="A5550" s="65">
        <v>5549</v>
      </c>
      <c r="B5550" s="64">
        <v>29401422.055205818</v>
      </c>
    </row>
    <row r="5551" spans="1:2" x14ac:dyDescent="0.25">
      <c r="A5551" s="65">
        <v>5550</v>
      </c>
      <c r="B5551" s="64">
        <v>28860162.488155942</v>
      </c>
    </row>
    <row r="5552" spans="1:2" x14ac:dyDescent="0.25">
      <c r="A5552" s="65">
        <v>5551</v>
      </c>
      <c r="B5552" s="64">
        <v>30957100.349006426</v>
      </c>
    </row>
    <row r="5553" spans="1:2" x14ac:dyDescent="0.25">
      <c r="A5553" s="65">
        <v>5552</v>
      </c>
      <c r="B5553" s="64">
        <v>29248650.47201566</v>
      </c>
    </row>
    <row r="5554" spans="1:2" x14ac:dyDescent="0.25">
      <c r="A5554" s="65">
        <v>5553</v>
      </c>
      <c r="B5554" s="64">
        <v>28870214.467917979</v>
      </c>
    </row>
    <row r="5555" spans="1:2" x14ac:dyDescent="0.25">
      <c r="A5555" s="65">
        <v>5554</v>
      </c>
      <c r="B5555" s="64">
        <v>29166796.434509397</v>
      </c>
    </row>
    <row r="5556" spans="1:2" x14ac:dyDescent="0.25">
      <c r="A5556" s="65">
        <v>5555</v>
      </c>
      <c r="B5556" s="64">
        <v>28580717.60567921</v>
      </c>
    </row>
    <row r="5557" spans="1:2" x14ac:dyDescent="0.25">
      <c r="A5557" s="65">
        <v>5556</v>
      </c>
      <c r="B5557" s="64">
        <v>29907338.11538709</v>
      </c>
    </row>
    <row r="5558" spans="1:2" x14ac:dyDescent="0.25">
      <c r="A5558" s="65">
        <v>5557</v>
      </c>
      <c r="B5558" s="64">
        <v>29976149.612226211</v>
      </c>
    </row>
    <row r="5559" spans="1:2" x14ac:dyDescent="0.25">
      <c r="A5559" s="65">
        <v>5558</v>
      </c>
      <c r="B5559" s="64">
        <v>28696742.180352956</v>
      </c>
    </row>
    <row r="5560" spans="1:2" x14ac:dyDescent="0.25">
      <c r="A5560" s="65">
        <v>5559</v>
      </c>
      <c r="B5560" s="64">
        <v>28984202.840720795</v>
      </c>
    </row>
    <row r="5561" spans="1:2" x14ac:dyDescent="0.25">
      <c r="A5561" s="65">
        <v>5560</v>
      </c>
      <c r="B5561" s="64">
        <v>28648651.306803066</v>
      </c>
    </row>
    <row r="5562" spans="1:2" x14ac:dyDescent="0.25">
      <c r="A5562" s="65">
        <v>5561</v>
      </c>
      <c r="B5562" s="64">
        <v>29867126.477877267</v>
      </c>
    </row>
    <row r="5563" spans="1:2" x14ac:dyDescent="0.25">
      <c r="A5563" s="65">
        <v>5562</v>
      </c>
      <c r="B5563" s="64">
        <v>29981052.966083542</v>
      </c>
    </row>
    <row r="5564" spans="1:2" x14ac:dyDescent="0.25">
      <c r="A5564" s="65">
        <v>5563</v>
      </c>
      <c r="B5564" s="64">
        <v>31625620.949766591</v>
      </c>
    </row>
    <row r="5565" spans="1:2" x14ac:dyDescent="0.25">
      <c r="A5565" s="65">
        <v>5564</v>
      </c>
      <c r="B5565" s="64">
        <v>29469489.247050375</v>
      </c>
    </row>
    <row r="5566" spans="1:2" x14ac:dyDescent="0.25">
      <c r="A5566" s="65">
        <v>5565</v>
      </c>
      <c r="B5566" s="64">
        <v>29938120.181707684</v>
      </c>
    </row>
    <row r="5567" spans="1:2" x14ac:dyDescent="0.25">
      <c r="A5567" s="65">
        <v>5566</v>
      </c>
      <c r="B5567" s="64">
        <v>28754987.907868136</v>
      </c>
    </row>
    <row r="5568" spans="1:2" x14ac:dyDescent="0.25">
      <c r="A5568" s="65">
        <v>5567</v>
      </c>
      <c r="B5568" s="64">
        <v>28725110.356514383</v>
      </c>
    </row>
    <row r="5569" spans="1:2" x14ac:dyDescent="0.25">
      <c r="A5569" s="65">
        <v>5568</v>
      </c>
      <c r="B5569" s="64">
        <v>28878731.886207931</v>
      </c>
    </row>
    <row r="5570" spans="1:2" x14ac:dyDescent="0.25">
      <c r="A5570" s="65">
        <v>5569</v>
      </c>
      <c r="B5570" s="64">
        <v>28784651.321039289</v>
      </c>
    </row>
    <row r="5571" spans="1:2" x14ac:dyDescent="0.25">
      <c r="A5571" s="65">
        <v>5570</v>
      </c>
      <c r="B5571" s="64">
        <v>28713418.031455446</v>
      </c>
    </row>
    <row r="5572" spans="1:2" x14ac:dyDescent="0.25">
      <c r="A5572" s="65">
        <v>5571</v>
      </c>
      <c r="B5572" s="64">
        <v>29622150.103067741</v>
      </c>
    </row>
    <row r="5573" spans="1:2" x14ac:dyDescent="0.25">
      <c r="A5573" s="65">
        <v>5572</v>
      </c>
      <c r="B5573" s="64">
        <v>30934212.691058978</v>
      </c>
    </row>
    <row r="5574" spans="1:2" x14ac:dyDescent="0.25">
      <c r="A5574" s="65">
        <v>5573</v>
      </c>
      <c r="B5574" s="64">
        <v>28658153.28430672</v>
      </c>
    </row>
    <row r="5575" spans="1:2" x14ac:dyDescent="0.25">
      <c r="A5575" s="65">
        <v>5574</v>
      </c>
      <c r="B5575" s="64">
        <v>30326045.16419477</v>
      </c>
    </row>
    <row r="5576" spans="1:2" x14ac:dyDescent="0.25">
      <c r="A5576" s="65">
        <v>5575</v>
      </c>
      <c r="B5576" s="64">
        <v>28861989.968738381</v>
      </c>
    </row>
    <row r="5577" spans="1:2" x14ac:dyDescent="0.25">
      <c r="A5577" s="65">
        <v>5576</v>
      </c>
      <c r="B5577" s="64">
        <v>32405714.080152053</v>
      </c>
    </row>
    <row r="5578" spans="1:2" x14ac:dyDescent="0.25">
      <c r="A5578" s="65">
        <v>5577</v>
      </c>
      <c r="B5578" s="64">
        <v>29258383.913077801</v>
      </c>
    </row>
    <row r="5579" spans="1:2" x14ac:dyDescent="0.25">
      <c r="A5579" s="65">
        <v>5578</v>
      </c>
      <c r="B5579" s="64">
        <v>34192580.346790403</v>
      </c>
    </row>
    <row r="5580" spans="1:2" x14ac:dyDescent="0.25">
      <c r="A5580" s="65">
        <v>5579</v>
      </c>
      <c r="B5580" s="64">
        <v>30238999.43245035</v>
      </c>
    </row>
    <row r="5581" spans="1:2" x14ac:dyDescent="0.25">
      <c r="A5581" s="65">
        <v>5580</v>
      </c>
      <c r="B5581" s="64">
        <v>29297064.520285778</v>
      </c>
    </row>
    <row r="5582" spans="1:2" x14ac:dyDescent="0.25">
      <c r="A5582" s="65">
        <v>5581</v>
      </c>
      <c r="B5582" s="64">
        <v>28600293.907062218</v>
      </c>
    </row>
    <row r="5583" spans="1:2" x14ac:dyDescent="0.25">
      <c r="A5583" s="65">
        <v>5582</v>
      </c>
      <c r="B5583" s="64">
        <v>29021746.408223368</v>
      </c>
    </row>
    <row r="5584" spans="1:2" x14ac:dyDescent="0.25">
      <c r="A5584" s="65">
        <v>5583</v>
      </c>
      <c r="B5584" s="64">
        <v>29644731.799795859</v>
      </c>
    </row>
    <row r="5585" spans="1:2" x14ac:dyDescent="0.25">
      <c r="A5585" s="65">
        <v>5584</v>
      </c>
      <c r="B5585" s="64">
        <v>30909083.493386574</v>
      </c>
    </row>
    <row r="5586" spans="1:2" x14ac:dyDescent="0.25">
      <c r="A5586" s="65">
        <v>5585</v>
      </c>
      <c r="B5586" s="64">
        <v>29132322.81866442</v>
      </c>
    </row>
    <row r="5587" spans="1:2" x14ac:dyDescent="0.25">
      <c r="A5587" s="65">
        <v>5586</v>
      </c>
      <c r="B5587" s="64">
        <v>28467773.128683846</v>
      </c>
    </row>
    <row r="5588" spans="1:2" x14ac:dyDescent="0.25">
      <c r="A5588" s="65">
        <v>5587</v>
      </c>
      <c r="B5588" s="64">
        <v>28663623.644222423</v>
      </c>
    </row>
    <row r="5589" spans="1:2" x14ac:dyDescent="0.25">
      <c r="A5589" s="65">
        <v>5588</v>
      </c>
      <c r="B5589" s="64">
        <v>29302788.585432518</v>
      </c>
    </row>
    <row r="5590" spans="1:2" x14ac:dyDescent="0.25">
      <c r="A5590" s="65">
        <v>5589</v>
      </c>
      <c r="B5590" s="64">
        <v>29668367.071019817</v>
      </c>
    </row>
    <row r="5591" spans="1:2" x14ac:dyDescent="0.25">
      <c r="A5591" s="65">
        <v>5590</v>
      </c>
      <c r="B5591" s="64">
        <v>30014369.690087195</v>
      </c>
    </row>
    <row r="5592" spans="1:2" x14ac:dyDescent="0.25">
      <c r="A5592" s="65">
        <v>5591</v>
      </c>
      <c r="B5592" s="64">
        <v>29225765.750778131</v>
      </c>
    </row>
    <row r="5593" spans="1:2" x14ac:dyDescent="0.25">
      <c r="A5593" s="65">
        <v>5592</v>
      </c>
      <c r="B5593" s="64">
        <v>28884976.288230002</v>
      </c>
    </row>
    <row r="5594" spans="1:2" x14ac:dyDescent="0.25">
      <c r="A5594" s="65">
        <v>5593</v>
      </c>
      <c r="B5594" s="64">
        <v>30734219.781479973</v>
      </c>
    </row>
    <row r="5595" spans="1:2" x14ac:dyDescent="0.25">
      <c r="A5595" s="65">
        <v>5594</v>
      </c>
      <c r="B5595" s="64">
        <v>29233758.408167228</v>
      </c>
    </row>
    <row r="5596" spans="1:2" x14ac:dyDescent="0.25">
      <c r="A5596" s="65">
        <v>5595</v>
      </c>
      <c r="B5596" s="64">
        <v>28668817.59413546</v>
      </c>
    </row>
    <row r="5597" spans="1:2" x14ac:dyDescent="0.25">
      <c r="A5597" s="65">
        <v>5596</v>
      </c>
      <c r="B5597" s="64">
        <v>28744977.809892569</v>
      </c>
    </row>
    <row r="5598" spans="1:2" x14ac:dyDescent="0.25">
      <c r="A5598" s="65">
        <v>5597</v>
      </c>
      <c r="B5598" s="64">
        <v>29871286.163656794</v>
      </c>
    </row>
    <row r="5599" spans="1:2" x14ac:dyDescent="0.25">
      <c r="A5599" s="65">
        <v>5598</v>
      </c>
      <c r="B5599" s="64">
        <v>29314073.314634707</v>
      </c>
    </row>
    <row r="5600" spans="1:2" x14ac:dyDescent="0.25">
      <c r="A5600" s="65">
        <v>5599</v>
      </c>
      <c r="B5600" s="64">
        <v>29337385.033850737</v>
      </c>
    </row>
    <row r="5601" spans="1:2" x14ac:dyDescent="0.25">
      <c r="A5601" s="65">
        <v>5600</v>
      </c>
      <c r="B5601" s="64">
        <v>29592862.462628689</v>
      </c>
    </row>
    <row r="5602" spans="1:2" x14ac:dyDescent="0.25">
      <c r="A5602" s="65">
        <v>5601</v>
      </c>
      <c r="B5602" s="64">
        <v>28866154.580166299</v>
      </c>
    </row>
    <row r="5603" spans="1:2" x14ac:dyDescent="0.25">
      <c r="A5603" s="65">
        <v>5602</v>
      </c>
      <c r="B5603" s="64">
        <v>28767845.322459951</v>
      </c>
    </row>
    <row r="5604" spans="1:2" x14ac:dyDescent="0.25">
      <c r="A5604" s="65">
        <v>5603</v>
      </c>
      <c r="B5604" s="64">
        <v>29110368.175614029</v>
      </c>
    </row>
    <row r="5605" spans="1:2" x14ac:dyDescent="0.25">
      <c r="A5605" s="65">
        <v>5604</v>
      </c>
      <c r="B5605" s="64">
        <v>30196369.978876505</v>
      </c>
    </row>
    <row r="5606" spans="1:2" x14ac:dyDescent="0.25">
      <c r="A5606" s="65">
        <v>5605</v>
      </c>
      <c r="B5606" s="64">
        <v>28804431.065227572</v>
      </c>
    </row>
    <row r="5607" spans="1:2" x14ac:dyDescent="0.25">
      <c r="A5607" s="65">
        <v>5606</v>
      </c>
      <c r="B5607" s="64">
        <v>29083460.229624137</v>
      </c>
    </row>
    <row r="5608" spans="1:2" x14ac:dyDescent="0.25">
      <c r="A5608" s="65">
        <v>5607</v>
      </c>
      <c r="B5608" s="64">
        <v>29778512.32913937</v>
      </c>
    </row>
    <row r="5609" spans="1:2" x14ac:dyDescent="0.25">
      <c r="A5609" s="65">
        <v>5608</v>
      </c>
      <c r="B5609" s="64">
        <v>29818746.556834914</v>
      </c>
    </row>
    <row r="5610" spans="1:2" x14ac:dyDescent="0.25">
      <c r="A5610" s="65">
        <v>5609</v>
      </c>
      <c r="B5610" s="64">
        <v>29056040.890487403</v>
      </c>
    </row>
    <row r="5611" spans="1:2" x14ac:dyDescent="0.25">
      <c r="A5611" s="65">
        <v>5610</v>
      </c>
      <c r="B5611" s="64">
        <v>28825819.820278075</v>
      </c>
    </row>
    <row r="5612" spans="1:2" x14ac:dyDescent="0.25">
      <c r="A5612" s="65">
        <v>5611</v>
      </c>
      <c r="B5612" s="64">
        <v>28435715.57347687</v>
      </c>
    </row>
    <row r="5613" spans="1:2" x14ac:dyDescent="0.25">
      <c r="A5613" s="65">
        <v>5612</v>
      </c>
      <c r="B5613" s="64">
        <v>33393053.281183872</v>
      </c>
    </row>
    <row r="5614" spans="1:2" x14ac:dyDescent="0.25">
      <c r="A5614" s="65">
        <v>5613</v>
      </c>
      <c r="B5614" s="64">
        <v>29558105.475975011</v>
      </c>
    </row>
    <row r="5615" spans="1:2" x14ac:dyDescent="0.25">
      <c r="A5615" s="65">
        <v>5614</v>
      </c>
      <c r="B5615" s="64">
        <v>28668830.204962902</v>
      </c>
    </row>
    <row r="5616" spans="1:2" x14ac:dyDescent="0.25">
      <c r="A5616" s="65">
        <v>5615</v>
      </c>
      <c r="B5616" s="64">
        <v>28666757.114731673</v>
      </c>
    </row>
    <row r="5617" spans="1:2" x14ac:dyDescent="0.25">
      <c r="A5617" s="65">
        <v>5616</v>
      </c>
      <c r="B5617" s="64">
        <v>28306759.134810794</v>
      </c>
    </row>
    <row r="5618" spans="1:2" x14ac:dyDescent="0.25">
      <c r="A5618" s="65">
        <v>5617</v>
      </c>
      <c r="B5618" s="64">
        <v>30037453.085925754</v>
      </c>
    </row>
    <row r="5619" spans="1:2" x14ac:dyDescent="0.25">
      <c r="A5619" s="65">
        <v>5618</v>
      </c>
      <c r="B5619" s="64">
        <v>28624240.654357854</v>
      </c>
    </row>
    <row r="5620" spans="1:2" x14ac:dyDescent="0.25">
      <c r="A5620" s="65">
        <v>5619</v>
      </c>
      <c r="B5620" s="64">
        <v>31159209.297754377</v>
      </c>
    </row>
    <row r="5621" spans="1:2" x14ac:dyDescent="0.25">
      <c r="A5621" s="65">
        <v>5620</v>
      </c>
      <c r="B5621" s="64">
        <v>28937142.94147205</v>
      </c>
    </row>
    <row r="5622" spans="1:2" x14ac:dyDescent="0.25">
      <c r="A5622" s="65">
        <v>5621</v>
      </c>
      <c r="B5622" s="64">
        <v>29374063.648472346</v>
      </c>
    </row>
    <row r="5623" spans="1:2" x14ac:dyDescent="0.25">
      <c r="A5623" s="65">
        <v>5622</v>
      </c>
      <c r="B5623" s="64">
        <v>28739773.406144824</v>
      </c>
    </row>
    <row r="5624" spans="1:2" x14ac:dyDescent="0.25">
      <c r="A5624" s="65">
        <v>5623</v>
      </c>
      <c r="B5624" s="64">
        <v>28984543.146366775</v>
      </c>
    </row>
    <row r="5625" spans="1:2" x14ac:dyDescent="0.25">
      <c r="A5625" s="65">
        <v>5624</v>
      </c>
      <c r="B5625" s="64">
        <v>28949170.204621743</v>
      </c>
    </row>
    <row r="5626" spans="1:2" x14ac:dyDescent="0.25">
      <c r="A5626" s="65">
        <v>5625</v>
      </c>
      <c r="B5626" s="64">
        <v>30158681.479249448</v>
      </c>
    </row>
    <row r="5627" spans="1:2" x14ac:dyDescent="0.25">
      <c r="A5627" s="65">
        <v>5626</v>
      </c>
      <c r="B5627" s="64">
        <v>29223717.450653411</v>
      </c>
    </row>
    <row r="5628" spans="1:2" x14ac:dyDescent="0.25">
      <c r="A5628" s="65">
        <v>5627</v>
      </c>
      <c r="B5628" s="64">
        <v>28610794.507365491</v>
      </c>
    </row>
    <row r="5629" spans="1:2" x14ac:dyDescent="0.25">
      <c r="A5629" s="65">
        <v>5628</v>
      </c>
      <c r="B5629" s="64">
        <v>30031476.104360469</v>
      </c>
    </row>
    <row r="5630" spans="1:2" x14ac:dyDescent="0.25">
      <c r="A5630" s="65">
        <v>5629</v>
      </c>
      <c r="B5630" s="64">
        <v>29481372.046358317</v>
      </c>
    </row>
    <row r="5631" spans="1:2" x14ac:dyDescent="0.25">
      <c r="A5631" s="65">
        <v>5630</v>
      </c>
      <c r="B5631" s="64">
        <v>31223903.036421761</v>
      </c>
    </row>
    <row r="5632" spans="1:2" x14ac:dyDescent="0.25">
      <c r="A5632" s="65">
        <v>5631</v>
      </c>
      <c r="B5632" s="64">
        <v>28530423.218552478</v>
      </c>
    </row>
    <row r="5633" spans="1:2" x14ac:dyDescent="0.25">
      <c r="A5633" s="65">
        <v>5632</v>
      </c>
      <c r="B5633" s="64">
        <v>30255445.434056547</v>
      </c>
    </row>
    <row r="5634" spans="1:2" x14ac:dyDescent="0.25">
      <c r="A5634" s="65">
        <v>5633</v>
      </c>
      <c r="B5634" s="64">
        <v>29028815.453887239</v>
      </c>
    </row>
    <row r="5635" spans="1:2" x14ac:dyDescent="0.25">
      <c r="A5635" s="65">
        <v>5634</v>
      </c>
      <c r="B5635" s="64">
        <v>30219114.010271467</v>
      </c>
    </row>
    <row r="5636" spans="1:2" x14ac:dyDescent="0.25">
      <c r="A5636" s="65">
        <v>5635</v>
      </c>
      <c r="B5636" s="64">
        <v>28944405.874745216</v>
      </c>
    </row>
    <row r="5637" spans="1:2" x14ac:dyDescent="0.25">
      <c r="A5637" s="65">
        <v>5636</v>
      </c>
      <c r="B5637" s="64">
        <v>29240513.084783617</v>
      </c>
    </row>
    <row r="5638" spans="1:2" x14ac:dyDescent="0.25">
      <c r="A5638" s="65">
        <v>5637</v>
      </c>
      <c r="B5638" s="64">
        <v>29381266.209562</v>
      </c>
    </row>
    <row r="5639" spans="1:2" x14ac:dyDescent="0.25">
      <c r="A5639" s="65">
        <v>5638</v>
      </c>
      <c r="B5639" s="64">
        <v>29019656.262869976</v>
      </c>
    </row>
    <row r="5640" spans="1:2" x14ac:dyDescent="0.25">
      <c r="A5640" s="65">
        <v>5639</v>
      </c>
      <c r="B5640" s="64">
        <v>29211260.620538861</v>
      </c>
    </row>
    <row r="5641" spans="1:2" x14ac:dyDescent="0.25">
      <c r="A5641" s="65">
        <v>5640</v>
      </c>
      <c r="B5641" s="64">
        <v>34185427.694123074</v>
      </c>
    </row>
    <row r="5642" spans="1:2" x14ac:dyDescent="0.25">
      <c r="A5642" s="65">
        <v>5641</v>
      </c>
      <c r="B5642" s="64">
        <v>29241852.461726695</v>
      </c>
    </row>
    <row r="5643" spans="1:2" x14ac:dyDescent="0.25">
      <c r="A5643" s="65">
        <v>5642</v>
      </c>
      <c r="B5643" s="64">
        <v>29282003.926212233</v>
      </c>
    </row>
    <row r="5644" spans="1:2" x14ac:dyDescent="0.25">
      <c r="A5644" s="65">
        <v>5643</v>
      </c>
      <c r="B5644" s="64">
        <v>29672243.908854589</v>
      </c>
    </row>
    <row r="5645" spans="1:2" x14ac:dyDescent="0.25">
      <c r="A5645" s="65">
        <v>5644</v>
      </c>
      <c r="B5645" s="64">
        <v>33314575.523246456</v>
      </c>
    </row>
    <row r="5646" spans="1:2" x14ac:dyDescent="0.25">
      <c r="A5646" s="65">
        <v>5645</v>
      </c>
      <c r="B5646" s="64">
        <v>29958379.558545619</v>
      </c>
    </row>
    <row r="5647" spans="1:2" x14ac:dyDescent="0.25">
      <c r="A5647" s="65">
        <v>5646</v>
      </c>
      <c r="B5647" s="64">
        <v>28591962.682812557</v>
      </c>
    </row>
    <row r="5648" spans="1:2" x14ac:dyDescent="0.25">
      <c r="A5648" s="65">
        <v>5647</v>
      </c>
      <c r="B5648" s="64">
        <v>28502658.692934245</v>
      </c>
    </row>
    <row r="5649" spans="1:2" x14ac:dyDescent="0.25">
      <c r="A5649" s="65">
        <v>5648</v>
      </c>
      <c r="B5649" s="64">
        <v>28643844.107832462</v>
      </c>
    </row>
    <row r="5650" spans="1:2" x14ac:dyDescent="0.25">
      <c r="A5650" s="65">
        <v>5649</v>
      </c>
      <c r="B5650" s="64">
        <v>30182990.027103689</v>
      </c>
    </row>
    <row r="5651" spans="1:2" x14ac:dyDescent="0.25">
      <c r="A5651" s="65">
        <v>5650</v>
      </c>
      <c r="B5651" s="64">
        <v>28668275.336189132</v>
      </c>
    </row>
    <row r="5652" spans="1:2" x14ac:dyDescent="0.25">
      <c r="A5652" s="65">
        <v>5651</v>
      </c>
      <c r="B5652" s="64">
        <v>28732637.965007763</v>
      </c>
    </row>
    <row r="5653" spans="1:2" x14ac:dyDescent="0.25">
      <c r="A5653" s="65">
        <v>5652</v>
      </c>
      <c r="B5653" s="64">
        <v>28893965.522080489</v>
      </c>
    </row>
    <row r="5654" spans="1:2" x14ac:dyDescent="0.25">
      <c r="A5654" s="65">
        <v>5653</v>
      </c>
      <c r="B5654" s="64">
        <v>29806326.343450055</v>
      </c>
    </row>
    <row r="5655" spans="1:2" x14ac:dyDescent="0.25">
      <c r="A5655" s="65">
        <v>5654</v>
      </c>
      <c r="B5655" s="64">
        <v>29961141.779878333</v>
      </c>
    </row>
    <row r="5656" spans="1:2" x14ac:dyDescent="0.25">
      <c r="A5656" s="65">
        <v>5655</v>
      </c>
      <c r="B5656" s="64">
        <v>29942237.976193465</v>
      </c>
    </row>
    <row r="5657" spans="1:2" x14ac:dyDescent="0.25">
      <c r="A5657" s="65">
        <v>5656</v>
      </c>
      <c r="B5657" s="64">
        <v>29480192.246982627</v>
      </c>
    </row>
    <row r="5658" spans="1:2" x14ac:dyDescent="0.25">
      <c r="A5658" s="65">
        <v>5657</v>
      </c>
      <c r="B5658" s="64">
        <v>28663154.971229814</v>
      </c>
    </row>
    <row r="5659" spans="1:2" x14ac:dyDescent="0.25">
      <c r="A5659" s="65">
        <v>5658</v>
      </c>
      <c r="B5659" s="64">
        <v>28616346.849105429</v>
      </c>
    </row>
    <row r="5660" spans="1:2" x14ac:dyDescent="0.25">
      <c r="A5660" s="65">
        <v>5659</v>
      </c>
      <c r="B5660" s="64">
        <v>28895161.812666543</v>
      </c>
    </row>
    <row r="5661" spans="1:2" x14ac:dyDescent="0.25">
      <c r="A5661" s="65">
        <v>5660</v>
      </c>
      <c r="B5661" s="64">
        <v>28760869.158596974</v>
      </c>
    </row>
    <row r="5662" spans="1:2" x14ac:dyDescent="0.25">
      <c r="A5662" s="65">
        <v>5661</v>
      </c>
      <c r="B5662" s="64">
        <v>28473728.835934505</v>
      </c>
    </row>
    <row r="5663" spans="1:2" x14ac:dyDescent="0.25">
      <c r="A5663" s="65">
        <v>5662</v>
      </c>
      <c r="B5663" s="64">
        <v>28598238.634851903</v>
      </c>
    </row>
    <row r="5664" spans="1:2" x14ac:dyDescent="0.25">
      <c r="A5664" s="65">
        <v>5663</v>
      </c>
      <c r="B5664" s="64">
        <v>30061376.603189919</v>
      </c>
    </row>
    <row r="5665" spans="1:2" x14ac:dyDescent="0.25">
      <c r="A5665" s="65">
        <v>5664</v>
      </c>
      <c r="B5665" s="64">
        <v>28654061.443232819</v>
      </c>
    </row>
    <row r="5666" spans="1:2" x14ac:dyDescent="0.25">
      <c r="A5666" s="65">
        <v>5665</v>
      </c>
      <c r="B5666" s="64">
        <v>28671143.018345706</v>
      </c>
    </row>
    <row r="5667" spans="1:2" x14ac:dyDescent="0.25">
      <c r="A5667" s="65">
        <v>5666</v>
      </c>
      <c r="B5667" s="64">
        <v>28811216.787072778</v>
      </c>
    </row>
    <row r="5668" spans="1:2" x14ac:dyDescent="0.25">
      <c r="A5668" s="65">
        <v>5667</v>
      </c>
      <c r="B5668" s="64">
        <v>29526296.901017655</v>
      </c>
    </row>
    <row r="5669" spans="1:2" x14ac:dyDescent="0.25">
      <c r="A5669" s="65">
        <v>5668</v>
      </c>
      <c r="B5669" s="64">
        <v>30523055.730937418</v>
      </c>
    </row>
    <row r="5670" spans="1:2" x14ac:dyDescent="0.25">
      <c r="A5670" s="65">
        <v>5669</v>
      </c>
      <c r="B5670" s="64">
        <v>28935834.272816967</v>
      </c>
    </row>
    <row r="5671" spans="1:2" x14ac:dyDescent="0.25">
      <c r="A5671" s="65">
        <v>5670</v>
      </c>
      <c r="B5671" s="64">
        <v>29042735.203758013</v>
      </c>
    </row>
    <row r="5672" spans="1:2" x14ac:dyDescent="0.25">
      <c r="A5672" s="65">
        <v>5671</v>
      </c>
      <c r="B5672" s="64">
        <v>29117320.821465824</v>
      </c>
    </row>
    <row r="5673" spans="1:2" x14ac:dyDescent="0.25">
      <c r="A5673" s="65">
        <v>5672</v>
      </c>
      <c r="B5673" s="64">
        <v>29849273.273058321</v>
      </c>
    </row>
    <row r="5674" spans="1:2" x14ac:dyDescent="0.25">
      <c r="A5674" s="65">
        <v>5673</v>
      </c>
      <c r="B5674" s="64">
        <v>28658641.618985143</v>
      </c>
    </row>
    <row r="5675" spans="1:2" x14ac:dyDescent="0.25">
      <c r="A5675" s="65">
        <v>5674</v>
      </c>
      <c r="B5675" s="64">
        <v>28973309.537534881</v>
      </c>
    </row>
    <row r="5676" spans="1:2" x14ac:dyDescent="0.25">
      <c r="A5676" s="65">
        <v>5675</v>
      </c>
      <c r="B5676" s="64">
        <v>28802782.86371306</v>
      </c>
    </row>
    <row r="5677" spans="1:2" x14ac:dyDescent="0.25">
      <c r="A5677" s="65">
        <v>5676</v>
      </c>
      <c r="B5677" s="64">
        <v>28640890.568276703</v>
      </c>
    </row>
    <row r="5678" spans="1:2" x14ac:dyDescent="0.25">
      <c r="A5678" s="65">
        <v>5677</v>
      </c>
      <c r="B5678" s="64">
        <v>29464809.413069509</v>
      </c>
    </row>
    <row r="5679" spans="1:2" x14ac:dyDescent="0.25">
      <c r="A5679" s="65">
        <v>5678</v>
      </c>
      <c r="B5679" s="64">
        <v>29634746.8491823</v>
      </c>
    </row>
    <row r="5680" spans="1:2" x14ac:dyDescent="0.25">
      <c r="A5680" s="65">
        <v>5679</v>
      </c>
      <c r="B5680" s="64">
        <v>30963941.614509825</v>
      </c>
    </row>
    <row r="5681" spans="1:2" x14ac:dyDescent="0.25">
      <c r="A5681" s="65">
        <v>5680</v>
      </c>
      <c r="B5681" s="64">
        <v>28755461.582678802</v>
      </c>
    </row>
    <row r="5682" spans="1:2" x14ac:dyDescent="0.25">
      <c r="A5682" s="65">
        <v>5681</v>
      </c>
      <c r="B5682" s="64">
        <v>29859742.189876854</v>
      </c>
    </row>
    <row r="5683" spans="1:2" x14ac:dyDescent="0.25">
      <c r="A5683" s="65">
        <v>5682</v>
      </c>
      <c r="B5683" s="64">
        <v>28716929.769752447</v>
      </c>
    </row>
    <row r="5684" spans="1:2" x14ac:dyDescent="0.25">
      <c r="A5684" s="65">
        <v>5683</v>
      </c>
      <c r="B5684" s="64">
        <v>28424672.105008986</v>
      </c>
    </row>
    <row r="5685" spans="1:2" x14ac:dyDescent="0.25">
      <c r="A5685" s="65">
        <v>5684</v>
      </c>
      <c r="B5685" s="64">
        <v>29200985.144781005</v>
      </c>
    </row>
    <row r="5686" spans="1:2" x14ac:dyDescent="0.25">
      <c r="A5686" s="65">
        <v>5685</v>
      </c>
      <c r="B5686" s="64">
        <v>30022372.295819618</v>
      </c>
    </row>
    <row r="5687" spans="1:2" x14ac:dyDescent="0.25">
      <c r="A5687" s="65">
        <v>5686</v>
      </c>
      <c r="B5687" s="64">
        <v>28887314.932514869</v>
      </c>
    </row>
    <row r="5688" spans="1:2" x14ac:dyDescent="0.25">
      <c r="A5688" s="65">
        <v>5687</v>
      </c>
      <c r="B5688" s="64">
        <v>28587683.245044813</v>
      </c>
    </row>
    <row r="5689" spans="1:2" x14ac:dyDescent="0.25">
      <c r="A5689" s="65">
        <v>5688</v>
      </c>
      <c r="B5689" s="64">
        <v>28800346.210702773</v>
      </c>
    </row>
    <row r="5690" spans="1:2" x14ac:dyDescent="0.25">
      <c r="A5690" s="65">
        <v>5689</v>
      </c>
      <c r="B5690" s="64">
        <v>29103171.387659855</v>
      </c>
    </row>
    <row r="5691" spans="1:2" x14ac:dyDescent="0.25">
      <c r="A5691" s="65">
        <v>5690</v>
      </c>
      <c r="B5691" s="64">
        <v>28806867.710831277</v>
      </c>
    </row>
    <row r="5692" spans="1:2" x14ac:dyDescent="0.25">
      <c r="A5692" s="65">
        <v>5691</v>
      </c>
      <c r="B5692" s="64">
        <v>28772906.766021363</v>
      </c>
    </row>
    <row r="5693" spans="1:2" x14ac:dyDescent="0.25">
      <c r="A5693" s="65">
        <v>5692</v>
      </c>
      <c r="B5693" s="64">
        <v>29026824.605089173</v>
      </c>
    </row>
    <row r="5694" spans="1:2" x14ac:dyDescent="0.25">
      <c r="A5694" s="65">
        <v>5693</v>
      </c>
      <c r="B5694" s="64">
        <v>28972849.588009797</v>
      </c>
    </row>
    <row r="5695" spans="1:2" x14ac:dyDescent="0.25">
      <c r="A5695" s="65">
        <v>5694</v>
      </c>
      <c r="B5695" s="64">
        <v>29160010.782618646</v>
      </c>
    </row>
    <row r="5696" spans="1:2" x14ac:dyDescent="0.25">
      <c r="A5696" s="65">
        <v>5695</v>
      </c>
      <c r="B5696" s="64">
        <v>29721497.581705675</v>
      </c>
    </row>
    <row r="5697" spans="1:2" x14ac:dyDescent="0.25">
      <c r="A5697" s="65">
        <v>5696</v>
      </c>
      <c r="B5697" s="64">
        <v>29261479.644064538</v>
      </c>
    </row>
    <row r="5698" spans="1:2" x14ac:dyDescent="0.25">
      <c r="A5698" s="65">
        <v>5697</v>
      </c>
      <c r="B5698" s="64">
        <v>29556131.150038447</v>
      </c>
    </row>
    <row r="5699" spans="1:2" x14ac:dyDescent="0.25">
      <c r="A5699" s="65">
        <v>5698</v>
      </c>
      <c r="B5699" s="64">
        <v>28690331.255708829</v>
      </c>
    </row>
    <row r="5700" spans="1:2" x14ac:dyDescent="0.25">
      <c r="A5700" s="65">
        <v>5699</v>
      </c>
      <c r="B5700" s="64">
        <v>29286111.618702002</v>
      </c>
    </row>
    <row r="5701" spans="1:2" x14ac:dyDescent="0.25">
      <c r="A5701" s="65">
        <v>5700</v>
      </c>
      <c r="B5701" s="64">
        <v>29350134.778244823</v>
      </c>
    </row>
    <row r="5702" spans="1:2" x14ac:dyDescent="0.25">
      <c r="A5702" s="65">
        <v>5701</v>
      </c>
      <c r="B5702" s="64">
        <v>28814226.618433353</v>
      </c>
    </row>
    <row r="5703" spans="1:2" x14ac:dyDescent="0.25">
      <c r="A5703" s="65">
        <v>5702</v>
      </c>
      <c r="B5703" s="64">
        <v>29528286.87383705</v>
      </c>
    </row>
    <row r="5704" spans="1:2" x14ac:dyDescent="0.25">
      <c r="A5704" s="65">
        <v>5703</v>
      </c>
      <c r="B5704" s="64">
        <v>29896844.201177467</v>
      </c>
    </row>
    <row r="5705" spans="1:2" x14ac:dyDescent="0.25">
      <c r="A5705" s="65">
        <v>5704</v>
      </c>
      <c r="B5705" s="64">
        <v>28936611.019338332</v>
      </c>
    </row>
    <row r="5706" spans="1:2" x14ac:dyDescent="0.25">
      <c r="A5706" s="65">
        <v>5705</v>
      </c>
      <c r="B5706" s="64">
        <v>28616437.454990964</v>
      </c>
    </row>
    <row r="5707" spans="1:2" x14ac:dyDescent="0.25">
      <c r="A5707" s="65">
        <v>5706</v>
      </c>
      <c r="B5707" s="64">
        <v>28456794.045621734</v>
      </c>
    </row>
    <row r="5708" spans="1:2" x14ac:dyDescent="0.25">
      <c r="A5708" s="65">
        <v>5707</v>
      </c>
      <c r="B5708" s="64">
        <v>28798593.640857298</v>
      </c>
    </row>
    <row r="5709" spans="1:2" x14ac:dyDescent="0.25">
      <c r="A5709" s="65">
        <v>5708</v>
      </c>
      <c r="B5709" s="64">
        <v>29143541.630788635</v>
      </c>
    </row>
    <row r="5710" spans="1:2" x14ac:dyDescent="0.25">
      <c r="A5710" s="65">
        <v>5709</v>
      </c>
      <c r="B5710" s="64">
        <v>29199087.298431028</v>
      </c>
    </row>
    <row r="5711" spans="1:2" x14ac:dyDescent="0.25">
      <c r="A5711" s="65">
        <v>5710</v>
      </c>
      <c r="B5711" s="64">
        <v>28867918.462231897</v>
      </c>
    </row>
    <row r="5712" spans="1:2" x14ac:dyDescent="0.25">
      <c r="A5712" s="65">
        <v>5711</v>
      </c>
      <c r="B5712" s="64">
        <v>29078440.842838082</v>
      </c>
    </row>
    <row r="5713" spans="1:2" x14ac:dyDescent="0.25">
      <c r="A5713" s="65">
        <v>5712</v>
      </c>
      <c r="B5713" s="64">
        <v>30800652.724465687</v>
      </c>
    </row>
    <row r="5714" spans="1:2" x14ac:dyDescent="0.25">
      <c r="A5714" s="65">
        <v>5713</v>
      </c>
      <c r="B5714" s="64">
        <v>30921850.789527521</v>
      </c>
    </row>
    <row r="5715" spans="1:2" x14ac:dyDescent="0.25">
      <c r="A5715" s="65">
        <v>5714</v>
      </c>
      <c r="B5715" s="64">
        <v>29700035.689941682</v>
      </c>
    </row>
    <row r="5716" spans="1:2" x14ac:dyDescent="0.25">
      <c r="A5716" s="65">
        <v>5715</v>
      </c>
      <c r="B5716" s="64">
        <v>29348282.711141009</v>
      </c>
    </row>
    <row r="5717" spans="1:2" x14ac:dyDescent="0.25">
      <c r="A5717" s="65">
        <v>5716</v>
      </c>
      <c r="B5717" s="64">
        <v>31031208.025281277</v>
      </c>
    </row>
    <row r="5718" spans="1:2" x14ac:dyDescent="0.25">
      <c r="A5718" s="65">
        <v>5717</v>
      </c>
      <c r="B5718" s="64">
        <v>28890146.462025695</v>
      </c>
    </row>
    <row r="5719" spans="1:2" x14ac:dyDescent="0.25">
      <c r="A5719" s="65">
        <v>5718</v>
      </c>
      <c r="B5719" s="64">
        <v>29240604.373549163</v>
      </c>
    </row>
    <row r="5720" spans="1:2" x14ac:dyDescent="0.25">
      <c r="A5720" s="65">
        <v>5719</v>
      </c>
      <c r="B5720" s="64">
        <v>30412359.278601203</v>
      </c>
    </row>
    <row r="5721" spans="1:2" x14ac:dyDescent="0.25">
      <c r="A5721" s="65">
        <v>5720</v>
      </c>
      <c r="B5721" s="64">
        <v>29115969.272861168</v>
      </c>
    </row>
    <row r="5722" spans="1:2" x14ac:dyDescent="0.25">
      <c r="A5722" s="65">
        <v>5721</v>
      </c>
      <c r="B5722" s="64">
        <v>28758252.054293126</v>
      </c>
    </row>
    <row r="5723" spans="1:2" x14ac:dyDescent="0.25">
      <c r="A5723" s="65">
        <v>5722</v>
      </c>
      <c r="B5723" s="64">
        <v>29939279.531751614</v>
      </c>
    </row>
    <row r="5724" spans="1:2" x14ac:dyDescent="0.25">
      <c r="A5724" s="65">
        <v>5723</v>
      </c>
      <c r="B5724" s="64">
        <v>29634883.698236059</v>
      </c>
    </row>
    <row r="5725" spans="1:2" x14ac:dyDescent="0.25">
      <c r="A5725" s="65">
        <v>5724</v>
      </c>
      <c r="B5725" s="64">
        <v>28640744.819447976</v>
      </c>
    </row>
    <row r="5726" spans="1:2" x14ac:dyDescent="0.25">
      <c r="A5726" s="65">
        <v>5725</v>
      </c>
      <c r="B5726" s="64">
        <v>28863455.861140475</v>
      </c>
    </row>
    <row r="5727" spans="1:2" x14ac:dyDescent="0.25">
      <c r="A5727" s="65">
        <v>5726</v>
      </c>
      <c r="B5727" s="64">
        <v>29252916.253039487</v>
      </c>
    </row>
    <row r="5728" spans="1:2" x14ac:dyDescent="0.25">
      <c r="A5728" s="65">
        <v>5727</v>
      </c>
      <c r="B5728" s="64">
        <v>28914111.17959588</v>
      </c>
    </row>
    <row r="5729" spans="1:2" x14ac:dyDescent="0.25">
      <c r="A5729" s="65">
        <v>5728</v>
      </c>
      <c r="B5729" s="64">
        <v>29812913.155848838</v>
      </c>
    </row>
    <row r="5730" spans="1:2" x14ac:dyDescent="0.25">
      <c r="A5730" s="65">
        <v>5729</v>
      </c>
      <c r="B5730" s="64">
        <v>28894553.217951424</v>
      </c>
    </row>
    <row r="5731" spans="1:2" x14ac:dyDescent="0.25">
      <c r="A5731" s="65">
        <v>5730</v>
      </c>
      <c r="B5731" s="64">
        <v>29414578.869110566</v>
      </c>
    </row>
    <row r="5732" spans="1:2" x14ac:dyDescent="0.25">
      <c r="A5732" s="65">
        <v>5731</v>
      </c>
      <c r="B5732" s="64">
        <v>28913671.583171777</v>
      </c>
    </row>
    <row r="5733" spans="1:2" x14ac:dyDescent="0.25">
      <c r="A5733" s="65">
        <v>5732</v>
      </c>
      <c r="B5733" s="64">
        <v>29601488.795129068</v>
      </c>
    </row>
    <row r="5734" spans="1:2" x14ac:dyDescent="0.25">
      <c r="A5734" s="65">
        <v>5733</v>
      </c>
      <c r="B5734" s="64">
        <v>29946454.817611448</v>
      </c>
    </row>
    <row r="5735" spans="1:2" x14ac:dyDescent="0.25">
      <c r="A5735" s="65">
        <v>5734</v>
      </c>
      <c r="B5735" s="64">
        <v>28415217.773687243</v>
      </c>
    </row>
    <row r="5736" spans="1:2" x14ac:dyDescent="0.25">
      <c r="A5736" s="65">
        <v>5735</v>
      </c>
      <c r="B5736" s="64">
        <v>28648625.115620419</v>
      </c>
    </row>
    <row r="5737" spans="1:2" x14ac:dyDescent="0.25">
      <c r="A5737" s="65">
        <v>5736</v>
      </c>
      <c r="B5737" s="64">
        <v>30224141.840020735</v>
      </c>
    </row>
    <row r="5738" spans="1:2" x14ac:dyDescent="0.25">
      <c r="A5738" s="65">
        <v>5737</v>
      </c>
      <c r="B5738" s="64">
        <v>28958186.874971405</v>
      </c>
    </row>
    <row r="5739" spans="1:2" x14ac:dyDescent="0.25">
      <c r="A5739" s="65">
        <v>5738</v>
      </c>
      <c r="B5739" s="64">
        <v>29124510.062905382</v>
      </c>
    </row>
    <row r="5740" spans="1:2" x14ac:dyDescent="0.25">
      <c r="A5740" s="65">
        <v>5739</v>
      </c>
      <c r="B5740" s="64">
        <v>29503415.735687561</v>
      </c>
    </row>
    <row r="5741" spans="1:2" x14ac:dyDescent="0.25">
      <c r="A5741" s="65">
        <v>5740</v>
      </c>
      <c r="B5741" s="64">
        <v>32874005.131103672</v>
      </c>
    </row>
    <row r="5742" spans="1:2" x14ac:dyDescent="0.25">
      <c r="A5742" s="65">
        <v>5741</v>
      </c>
      <c r="B5742" s="64">
        <v>28940965.710567001</v>
      </c>
    </row>
    <row r="5743" spans="1:2" x14ac:dyDescent="0.25">
      <c r="A5743" s="65">
        <v>5742</v>
      </c>
      <c r="B5743" s="64">
        <v>28600651.025919657</v>
      </c>
    </row>
    <row r="5744" spans="1:2" x14ac:dyDescent="0.25">
      <c r="A5744" s="65">
        <v>5743</v>
      </c>
      <c r="B5744" s="64">
        <v>33402390.781777669</v>
      </c>
    </row>
    <row r="5745" spans="1:2" x14ac:dyDescent="0.25">
      <c r="A5745" s="65">
        <v>5744</v>
      </c>
      <c r="B5745" s="64">
        <v>28536187.300659537</v>
      </c>
    </row>
    <row r="5746" spans="1:2" x14ac:dyDescent="0.25">
      <c r="A5746" s="65">
        <v>5745</v>
      </c>
      <c r="B5746" s="64">
        <v>30829579.449816838</v>
      </c>
    </row>
    <row r="5747" spans="1:2" x14ac:dyDescent="0.25">
      <c r="A5747" s="65">
        <v>5746</v>
      </c>
      <c r="B5747" s="64">
        <v>29307939.270187669</v>
      </c>
    </row>
    <row r="5748" spans="1:2" x14ac:dyDescent="0.25">
      <c r="A5748" s="65">
        <v>5747</v>
      </c>
      <c r="B5748" s="64">
        <v>28888060.273310274</v>
      </c>
    </row>
    <row r="5749" spans="1:2" x14ac:dyDescent="0.25">
      <c r="A5749" s="65">
        <v>5748</v>
      </c>
      <c r="B5749" s="64">
        <v>28340856.609796859</v>
      </c>
    </row>
    <row r="5750" spans="1:2" x14ac:dyDescent="0.25">
      <c r="A5750" s="65">
        <v>5749</v>
      </c>
      <c r="B5750" s="64">
        <v>30071582.401444491</v>
      </c>
    </row>
    <row r="5751" spans="1:2" x14ac:dyDescent="0.25">
      <c r="A5751" s="65">
        <v>5750</v>
      </c>
      <c r="B5751" s="64">
        <v>28632749.708199147</v>
      </c>
    </row>
    <row r="5752" spans="1:2" x14ac:dyDescent="0.25">
      <c r="A5752" s="65">
        <v>5751</v>
      </c>
      <c r="B5752" s="64">
        <v>28375974.774761654</v>
      </c>
    </row>
    <row r="5753" spans="1:2" x14ac:dyDescent="0.25">
      <c r="A5753" s="65">
        <v>5752</v>
      </c>
      <c r="B5753" s="64">
        <v>28648721.495168775</v>
      </c>
    </row>
    <row r="5754" spans="1:2" x14ac:dyDescent="0.25">
      <c r="A5754" s="65">
        <v>5753</v>
      </c>
      <c r="B5754" s="64">
        <v>28637602.583960224</v>
      </c>
    </row>
    <row r="5755" spans="1:2" x14ac:dyDescent="0.25">
      <c r="A5755" s="65">
        <v>5754</v>
      </c>
      <c r="B5755" s="64">
        <v>29262993.317219548</v>
      </c>
    </row>
    <row r="5756" spans="1:2" x14ac:dyDescent="0.25">
      <c r="A5756" s="65">
        <v>5755</v>
      </c>
      <c r="B5756" s="64">
        <v>28626419.203903247</v>
      </c>
    </row>
    <row r="5757" spans="1:2" x14ac:dyDescent="0.25">
      <c r="A5757" s="65">
        <v>5756</v>
      </c>
      <c r="B5757" s="64">
        <v>29193209.976349272</v>
      </c>
    </row>
    <row r="5758" spans="1:2" x14ac:dyDescent="0.25">
      <c r="A5758" s="65">
        <v>5757</v>
      </c>
      <c r="B5758" s="64">
        <v>28978593.526772607</v>
      </c>
    </row>
    <row r="5759" spans="1:2" x14ac:dyDescent="0.25">
      <c r="A5759" s="65">
        <v>5758</v>
      </c>
      <c r="B5759" s="64">
        <v>28303622.7365859</v>
      </c>
    </row>
    <row r="5760" spans="1:2" x14ac:dyDescent="0.25">
      <c r="A5760" s="65">
        <v>5759</v>
      </c>
      <c r="B5760" s="64">
        <v>29224522.73548089</v>
      </c>
    </row>
    <row r="5761" spans="1:2" x14ac:dyDescent="0.25">
      <c r="A5761" s="65">
        <v>5760</v>
      </c>
      <c r="B5761" s="64">
        <v>29394093.557099689</v>
      </c>
    </row>
    <row r="5762" spans="1:2" x14ac:dyDescent="0.25">
      <c r="A5762" s="65">
        <v>5761</v>
      </c>
      <c r="B5762" s="64">
        <v>28786551.401902989</v>
      </c>
    </row>
    <row r="5763" spans="1:2" x14ac:dyDescent="0.25">
      <c r="A5763" s="65">
        <v>5762</v>
      </c>
      <c r="B5763" s="64">
        <v>29339785.875192203</v>
      </c>
    </row>
    <row r="5764" spans="1:2" x14ac:dyDescent="0.25">
      <c r="A5764" s="65">
        <v>5763</v>
      </c>
      <c r="B5764" s="64">
        <v>29061746.79112519</v>
      </c>
    </row>
    <row r="5765" spans="1:2" x14ac:dyDescent="0.25">
      <c r="A5765" s="65">
        <v>5764</v>
      </c>
      <c r="B5765" s="64">
        <v>29041662.953338049</v>
      </c>
    </row>
    <row r="5766" spans="1:2" x14ac:dyDescent="0.25">
      <c r="A5766" s="65">
        <v>5765</v>
      </c>
      <c r="B5766" s="64">
        <v>28997180.222293809</v>
      </c>
    </row>
    <row r="5767" spans="1:2" x14ac:dyDescent="0.25">
      <c r="A5767" s="65">
        <v>5766</v>
      </c>
      <c r="B5767" s="64">
        <v>29169206.622556739</v>
      </c>
    </row>
    <row r="5768" spans="1:2" x14ac:dyDescent="0.25">
      <c r="A5768" s="65">
        <v>5767</v>
      </c>
      <c r="B5768" s="64">
        <v>29001427.694082953</v>
      </c>
    </row>
    <row r="5769" spans="1:2" x14ac:dyDescent="0.25">
      <c r="A5769" s="65">
        <v>5768</v>
      </c>
      <c r="B5769" s="64">
        <v>28888012.882670771</v>
      </c>
    </row>
    <row r="5770" spans="1:2" x14ac:dyDescent="0.25">
      <c r="A5770" s="65">
        <v>5769</v>
      </c>
      <c r="B5770" s="64">
        <v>29851349.99001912</v>
      </c>
    </row>
    <row r="5771" spans="1:2" x14ac:dyDescent="0.25">
      <c r="A5771" s="65">
        <v>5770</v>
      </c>
      <c r="B5771" s="64">
        <v>28854984.759644531</v>
      </c>
    </row>
    <row r="5772" spans="1:2" x14ac:dyDescent="0.25">
      <c r="A5772" s="65">
        <v>5771</v>
      </c>
      <c r="B5772" s="64">
        <v>29825671.94871572</v>
      </c>
    </row>
    <row r="5773" spans="1:2" x14ac:dyDescent="0.25">
      <c r="A5773" s="65">
        <v>5772</v>
      </c>
      <c r="B5773" s="64">
        <v>28829421.152536798</v>
      </c>
    </row>
    <row r="5774" spans="1:2" x14ac:dyDescent="0.25">
      <c r="A5774" s="65">
        <v>5773</v>
      </c>
      <c r="B5774" s="64">
        <v>28554851.057184067</v>
      </c>
    </row>
    <row r="5775" spans="1:2" x14ac:dyDescent="0.25">
      <c r="A5775" s="65">
        <v>5774</v>
      </c>
      <c r="B5775" s="64">
        <v>29335270.012839638</v>
      </c>
    </row>
    <row r="5776" spans="1:2" x14ac:dyDescent="0.25">
      <c r="A5776" s="65">
        <v>5775</v>
      </c>
      <c r="B5776" s="64">
        <v>28979884.473344121</v>
      </c>
    </row>
    <row r="5777" spans="1:2" x14ac:dyDescent="0.25">
      <c r="A5777" s="65">
        <v>5776</v>
      </c>
      <c r="B5777" s="64">
        <v>29169405.87007419</v>
      </c>
    </row>
    <row r="5778" spans="1:2" x14ac:dyDescent="0.25">
      <c r="A5778" s="65">
        <v>5777</v>
      </c>
      <c r="B5778" s="64">
        <v>28826698.558260709</v>
      </c>
    </row>
    <row r="5779" spans="1:2" x14ac:dyDescent="0.25">
      <c r="A5779" s="65">
        <v>5778</v>
      </c>
      <c r="B5779" s="64">
        <v>28431901.010705419</v>
      </c>
    </row>
    <row r="5780" spans="1:2" x14ac:dyDescent="0.25">
      <c r="A5780" s="65">
        <v>5779</v>
      </c>
      <c r="B5780" s="64">
        <v>28744345.824314296</v>
      </c>
    </row>
    <row r="5781" spans="1:2" x14ac:dyDescent="0.25">
      <c r="A5781" s="65">
        <v>5780</v>
      </c>
      <c r="B5781" s="64">
        <v>31024026.378503762</v>
      </c>
    </row>
    <row r="5782" spans="1:2" x14ac:dyDescent="0.25">
      <c r="A5782" s="65">
        <v>5781</v>
      </c>
      <c r="B5782" s="64">
        <v>28862679.092244122</v>
      </c>
    </row>
    <row r="5783" spans="1:2" x14ac:dyDescent="0.25">
      <c r="A5783" s="65">
        <v>5782</v>
      </c>
      <c r="B5783" s="64">
        <v>29780914.110766266</v>
      </c>
    </row>
    <row r="5784" spans="1:2" x14ac:dyDescent="0.25">
      <c r="A5784" s="65">
        <v>5783</v>
      </c>
      <c r="B5784" s="64">
        <v>29823029.36266173</v>
      </c>
    </row>
    <row r="5785" spans="1:2" x14ac:dyDescent="0.25">
      <c r="A5785" s="65">
        <v>5784</v>
      </c>
      <c r="B5785" s="64">
        <v>28774117.156380873</v>
      </c>
    </row>
    <row r="5786" spans="1:2" x14ac:dyDescent="0.25">
      <c r="A5786" s="65">
        <v>5785</v>
      </c>
      <c r="B5786" s="64">
        <v>29081881.878662501</v>
      </c>
    </row>
    <row r="5787" spans="1:2" x14ac:dyDescent="0.25">
      <c r="A5787" s="65">
        <v>5786</v>
      </c>
      <c r="B5787" s="64">
        <v>29223542.586994901</v>
      </c>
    </row>
    <row r="5788" spans="1:2" x14ac:dyDescent="0.25">
      <c r="A5788" s="65">
        <v>5787</v>
      </c>
      <c r="B5788" s="64">
        <v>29444448.584157366</v>
      </c>
    </row>
    <row r="5789" spans="1:2" x14ac:dyDescent="0.25">
      <c r="A5789" s="65">
        <v>5788</v>
      </c>
      <c r="B5789" s="64">
        <v>34091963.678462274</v>
      </c>
    </row>
    <row r="5790" spans="1:2" x14ac:dyDescent="0.25">
      <c r="A5790" s="65">
        <v>5789</v>
      </c>
      <c r="B5790" s="64">
        <v>29153893.438711151</v>
      </c>
    </row>
    <row r="5791" spans="1:2" x14ac:dyDescent="0.25">
      <c r="A5791" s="65">
        <v>5790</v>
      </c>
      <c r="B5791" s="64">
        <v>34331707.418798827</v>
      </c>
    </row>
    <row r="5792" spans="1:2" x14ac:dyDescent="0.25">
      <c r="A5792" s="65">
        <v>5791</v>
      </c>
      <c r="B5792" s="64">
        <v>28790071.817052003</v>
      </c>
    </row>
    <row r="5793" spans="1:2" x14ac:dyDescent="0.25">
      <c r="A5793" s="65">
        <v>5792</v>
      </c>
      <c r="B5793" s="64">
        <v>29362440.224018905</v>
      </c>
    </row>
    <row r="5794" spans="1:2" x14ac:dyDescent="0.25">
      <c r="A5794" s="65">
        <v>5793</v>
      </c>
      <c r="B5794" s="64">
        <v>30155178.594901077</v>
      </c>
    </row>
    <row r="5795" spans="1:2" x14ac:dyDescent="0.25">
      <c r="A5795" s="65">
        <v>5794</v>
      </c>
      <c r="B5795" s="64">
        <v>28488183.64111663</v>
      </c>
    </row>
    <row r="5796" spans="1:2" x14ac:dyDescent="0.25">
      <c r="A5796" s="65">
        <v>5795</v>
      </c>
      <c r="B5796" s="64">
        <v>29244377.96140597</v>
      </c>
    </row>
    <row r="5797" spans="1:2" x14ac:dyDescent="0.25">
      <c r="A5797" s="65">
        <v>5796</v>
      </c>
      <c r="B5797" s="64">
        <v>29428705.021881334</v>
      </c>
    </row>
    <row r="5798" spans="1:2" x14ac:dyDescent="0.25">
      <c r="A5798" s="65">
        <v>5797</v>
      </c>
      <c r="B5798" s="64">
        <v>28824416.079015002</v>
      </c>
    </row>
    <row r="5799" spans="1:2" x14ac:dyDescent="0.25">
      <c r="A5799" s="65">
        <v>5798</v>
      </c>
      <c r="B5799" s="64">
        <v>29082913.896838125</v>
      </c>
    </row>
    <row r="5800" spans="1:2" x14ac:dyDescent="0.25">
      <c r="A5800" s="65">
        <v>5799</v>
      </c>
      <c r="B5800" s="64">
        <v>29000755.269966718</v>
      </c>
    </row>
    <row r="5801" spans="1:2" x14ac:dyDescent="0.25">
      <c r="A5801" s="65">
        <v>5800</v>
      </c>
      <c r="B5801" s="64">
        <v>29014061.037388787</v>
      </c>
    </row>
    <row r="5802" spans="1:2" x14ac:dyDescent="0.25">
      <c r="A5802" s="65">
        <v>5801</v>
      </c>
      <c r="B5802" s="64">
        <v>29287777.014147818</v>
      </c>
    </row>
    <row r="5803" spans="1:2" x14ac:dyDescent="0.25">
      <c r="A5803" s="65">
        <v>5802</v>
      </c>
      <c r="B5803" s="64">
        <v>28812839.359285779</v>
      </c>
    </row>
    <row r="5804" spans="1:2" x14ac:dyDescent="0.25">
      <c r="A5804" s="65">
        <v>5803</v>
      </c>
      <c r="B5804" s="64">
        <v>28476050.520854115</v>
      </c>
    </row>
    <row r="5805" spans="1:2" x14ac:dyDescent="0.25">
      <c r="A5805" s="65">
        <v>5804</v>
      </c>
      <c r="B5805" s="64">
        <v>28834905.812739529</v>
      </c>
    </row>
    <row r="5806" spans="1:2" x14ac:dyDescent="0.25">
      <c r="A5806" s="65">
        <v>5805</v>
      </c>
      <c r="B5806" s="64">
        <v>28858352.069271699</v>
      </c>
    </row>
    <row r="5807" spans="1:2" x14ac:dyDescent="0.25">
      <c r="A5807" s="65">
        <v>5806</v>
      </c>
      <c r="B5807" s="64">
        <v>30265696.775151048</v>
      </c>
    </row>
    <row r="5808" spans="1:2" x14ac:dyDescent="0.25">
      <c r="A5808" s="65">
        <v>5807</v>
      </c>
      <c r="B5808" s="64">
        <v>28930772.425136656</v>
      </c>
    </row>
    <row r="5809" spans="1:2" x14ac:dyDescent="0.25">
      <c r="A5809" s="65">
        <v>5808</v>
      </c>
      <c r="B5809" s="64">
        <v>28706681.105811078</v>
      </c>
    </row>
    <row r="5810" spans="1:2" x14ac:dyDescent="0.25">
      <c r="A5810" s="65">
        <v>5809</v>
      </c>
      <c r="B5810" s="64">
        <v>33283399.143441215</v>
      </c>
    </row>
    <row r="5811" spans="1:2" x14ac:dyDescent="0.25">
      <c r="A5811" s="65">
        <v>5810</v>
      </c>
      <c r="B5811" s="64">
        <v>29712145.122941073</v>
      </c>
    </row>
    <row r="5812" spans="1:2" x14ac:dyDescent="0.25">
      <c r="A5812" s="65">
        <v>5811</v>
      </c>
      <c r="B5812" s="64">
        <v>29833568.927926116</v>
      </c>
    </row>
    <row r="5813" spans="1:2" x14ac:dyDescent="0.25">
      <c r="A5813" s="65">
        <v>5812</v>
      </c>
      <c r="B5813" s="64">
        <v>29301119.699029688</v>
      </c>
    </row>
    <row r="5814" spans="1:2" x14ac:dyDescent="0.25">
      <c r="A5814" s="65">
        <v>5813</v>
      </c>
      <c r="B5814" s="64">
        <v>28756825.220309544</v>
      </c>
    </row>
    <row r="5815" spans="1:2" x14ac:dyDescent="0.25">
      <c r="A5815" s="65">
        <v>5814</v>
      </c>
      <c r="B5815" s="64">
        <v>28967514.006655946</v>
      </c>
    </row>
    <row r="5816" spans="1:2" x14ac:dyDescent="0.25">
      <c r="A5816" s="65">
        <v>5815</v>
      </c>
      <c r="B5816" s="64">
        <v>28817004.419171128</v>
      </c>
    </row>
    <row r="5817" spans="1:2" x14ac:dyDescent="0.25">
      <c r="A5817" s="65">
        <v>5816</v>
      </c>
      <c r="B5817" s="64">
        <v>29704103.456854358</v>
      </c>
    </row>
    <row r="5818" spans="1:2" x14ac:dyDescent="0.25">
      <c r="A5818" s="65">
        <v>5817</v>
      </c>
      <c r="B5818" s="64">
        <v>28725933.434334505</v>
      </c>
    </row>
    <row r="5819" spans="1:2" x14ac:dyDescent="0.25">
      <c r="A5819" s="65">
        <v>5818</v>
      </c>
      <c r="B5819" s="64">
        <v>29439177.136132382</v>
      </c>
    </row>
    <row r="5820" spans="1:2" x14ac:dyDescent="0.25">
      <c r="A5820" s="65">
        <v>5819</v>
      </c>
      <c r="B5820" s="64">
        <v>29117699.450212937</v>
      </c>
    </row>
    <row r="5821" spans="1:2" x14ac:dyDescent="0.25">
      <c r="A5821" s="65">
        <v>5820</v>
      </c>
      <c r="B5821" s="64">
        <v>29348044.35768047</v>
      </c>
    </row>
    <row r="5822" spans="1:2" x14ac:dyDescent="0.25">
      <c r="A5822" s="65">
        <v>5821</v>
      </c>
      <c r="B5822" s="64">
        <v>30564495.535614692</v>
      </c>
    </row>
    <row r="5823" spans="1:2" x14ac:dyDescent="0.25">
      <c r="A5823" s="65">
        <v>5822</v>
      </c>
      <c r="B5823" s="64">
        <v>29106868.319076933</v>
      </c>
    </row>
    <row r="5824" spans="1:2" x14ac:dyDescent="0.25">
      <c r="A5824" s="65">
        <v>5823</v>
      </c>
      <c r="B5824" s="64">
        <v>29818966.756454702</v>
      </c>
    </row>
    <row r="5825" spans="1:2" x14ac:dyDescent="0.25">
      <c r="A5825" s="65">
        <v>5824</v>
      </c>
      <c r="B5825" s="64">
        <v>29331869.710339036</v>
      </c>
    </row>
    <row r="5826" spans="1:2" x14ac:dyDescent="0.25">
      <c r="A5826" s="65">
        <v>5825</v>
      </c>
      <c r="B5826" s="64">
        <v>28944214.722821478</v>
      </c>
    </row>
    <row r="5827" spans="1:2" x14ac:dyDescent="0.25">
      <c r="A5827" s="65">
        <v>5826</v>
      </c>
      <c r="B5827" s="64">
        <v>29351058.103975806</v>
      </c>
    </row>
    <row r="5828" spans="1:2" x14ac:dyDescent="0.25">
      <c r="A5828" s="65">
        <v>5827</v>
      </c>
      <c r="B5828" s="64">
        <v>29079202.113542765</v>
      </c>
    </row>
    <row r="5829" spans="1:2" x14ac:dyDescent="0.25">
      <c r="A5829" s="65">
        <v>5828</v>
      </c>
      <c r="B5829" s="64">
        <v>28918559.344820552</v>
      </c>
    </row>
    <row r="5830" spans="1:2" x14ac:dyDescent="0.25">
      <c r="A5830" s="65">
        <v>5829</v>
      </c>
      <c r="B5830" s="64">
        <v>29125062.505450092</v>
      </c>
    </row>
    <row r="5831" spans="1:2" x14ac:dyDescent="0.25">
      <c r="A5831" s="65">
        <v>5830</v>
      </c>
      <c r="B5831" s="64">
        <v>29338293.264212787</v>
      </c>
    </row>
    <row r="5832" spans="1:2" x14ac:dyDescent="0.25">
      <c r="A5832" s="65">
        <v>5831</v>
      </c>
      <c r="B5832" s="64">
        <v>28622844.794098496</v>
      </c>
    </row>
    <row r="5833" spans="1:2" x14ac:dyDescent="0.25">
      <c r="A5833" s="65">
        <v>5832</v>
      </c>
      <c r="B5833" s="64">
        <v>29301711.103738401</v>
      </c>
    </row>
    <row r="5834" spans="1:2" x14ac:dyDescent="0.25">
      <c r="A5834" s="65">
        <v>5833</v>
      </c>
      <c r="B5834" s="64">
        <v>28956697.697003178</v>
      </c>
    </row>
    <row r="5835" spans="1:2" x14ac:dyDescent="0.25">
      <c r="A5835" s="65">
        <v>5834</v>
      </c>
      <c r="B5835" s="64">
        <v>28892378.955908705</v>
      </c>
    </row>
    <row r="5836" spans="1:2" x14ac:dyDescent="0.25">
      <c r="A5836" s="65">
        <v>5835</v>
      </c>
      <c r="B5836" s="64">
        <v>29036553.281043895</v>
      </c>
    </row>
    <row r="5837" spans="1:2" x14ac:dyDescent="0.25">
      <c r="A5837" s="65">
        <v>5836</v>
      </c>
      <c r="B5837" s="64">
        <v>29091165.006424766</v>
      </c>
    </row>
    <row r="5838" spans="1:2" x14ac:dyDescent="0.25">
      <c r="A5838" s="65">
        <v>5837</v>
      </c>
      <c r="B5838" s="64">
        <v>29029162.857327495</v>
      </c>
    </row>
    <row r="5839" spans="1:2" x14ac:dyDescent="0.25">
      <c r="A5839" s="65">
        <v>5838</v>
      </c>
      <c r="B5839" s="64">
        <v>28636937.887017105</v>
      </c>
    </row>
    <row r="5840" spans="1:2" x14ac:dyDescent="0.25">
      <c r="A5840" s="65">
        <v>5839</v>
      </c>
      <c r="B5840" s="64">
        <v>29053265.246334333</v>
      </c>
    </row>
    <row r="5841" spans="1:2" x14ac:dyDescent="0.25">
      <c r="A5841" s="65">
        <v>5840</v>
      </c>
      <c r="B5841" s="64">
        <v>28743938.202255569</v>
      </c>
    </row>
    <row r="5842" spans="1:2" x14ac:dyDescent="0.25">
      <c r="A5842" s="65">
        <v>5841</v>
      </c>
      <c r="B5842" s="64">
        <v>28672540.046010599</v>
      </c>
    </row>
    <row r="5843" spans="1:2" x14ac:dyDescent="0.25">
      <c r="A5843" s="65">
        <v>5842</v>
      </c>
      <c r="B5843" s="64">
        <v>33543754.777650554</v>
      </c>
    </row>
    <row r="5844" spans="1:2" x14ac:dyDescent="0.25">
      <c r="A5844" s="65">
        <v>5843</v>
      </c>
      <c r="B5844" s="64">
        <v>28905776.951413307</v>
      </c>
    </row>
    <row r="5845" spans="1:2" x14ac:dyDescent="0.25">
      <c r="A5845" s="65">
        <v>5844</v>
      </c>
      <c r="B5845" s="64">
        <v>29282297.697295167</v>
      </c>
    </row>
    <row r="5846" spans="1:2" x14ac:dyDescent="0.25">
      <c r="A5846" s="65">
        <v>5845</v>
      </c>
      <c r="B5846" s="64">
        <v>28609967.380923375</v>
      </c>
    </row>
    <row r="5847" spans="1:2" x14ac:dyDescent="0.25">
      <c r="A5847" s="65">
        <v>5846</v>
      </c>
      <c r="B5847" s="64">
        <v>29985646.846800119</v>
      </c>
    </row>
    <row r="5848" spans="1:2" x14ac:dyDescent="0.25">
      <c r="A5848" s="65">
        <v>5847</v>
      </c>
      <c r="B5848" s="64">
        <v>29089811.364403583</v>
      </c>
    </row>
    <row r="5849" spans="1:2" x14ac:dyDescent="0.25">
      <c r="A5849" s="65">
        <v>5848</v>
      </c>
      <c r="B5849" s="64">
        <v>29038192.461126428</v>
      </c>
    </row>
    <row r="5850" spans="1:2" x14ac:dyDescent="0.25">
      <c r="A5850" s="65">
        <v>5849</v>
      </c>
      <c r="B5850" s="64">
        <v>29164840.423440821</v>
      </c>
    </row>
    <row r="5851" spans="1:2" x14ac:dyDescent="0.25">
      <c r="A5851" s="65">
        <v>5850</v>
      </c>
      <c r="B5851" s="64">
        <v>29002634.502790224</v>
      </c>
    </row>
    <row r="5852" spans="1:2" x14ac:dyDescent="0.25">
      <c r="A5852" s="65">
        <v>5851</v>
      </c>
      <c r="B5852" s="64">
        <v>29603986.797204278</v>
      </c>
    </row>
    <row r="5853" spans="1:2" x14ac:dyDescent="0.25">
      <c r="A5853" s="65">
        <v>5852</v>
      </c>
      <c r="B5853" s="64">
        <v>28425377.990773246</v>
      </c>
    </row>
    <row r="5854" spans="1:2" x14ac:dyDescent="0.25">
      <c r="A5854" s="65">
        <v>5853</v>
      </c>
      <c r="B5854" s="64">
        <v>28757797.943970684</v>
      </c>
    </row>
    <row r="5855" spans="1:2" x14ac:dyDescent="0.25">
      <c r="A5855" s="65">
        <v>5854</v>
      </c>
      <c r="B5855" s="64">
        <v>30024038.017429989</v>
      </c>
    </row>
    <row r="5856" spans="1:2" x14ac:dyDescent="0.25">
      <c r="A5856" s="65">
        <v>5855</v>
      </c>
      <c r="B5856" s="64">
        <v>29095365.064470217</v>
      </c>
    </row>
    <row r="5857" spans="1:2" x14ac:dyDescent="0.25">
      <c r="A5857" s="65">
        <v>5856</v>
      </c>
      <c r="B5857" s="64">
        <v>28630186.074812852</v>
      </c>
    </row>
    <row r="5858" spans="1:2" x14ac:dyDescent="0.25">
      <c r="A5858" s="65">
        <v>5857</v>
      </c>
      <c r="B5858" s="64">
        <v>28808995.211623237</v>
      </c>
    </row>
    <row r="5859" spans="1:2" x14ac:dyDescent="0.25">
      <c r="A5859" s="65">
        <v>5858</v>
      </c>
      <c r="B5859" s="64">
        <v>28766778.595701531</v>
      </c>
    </row>
    <row r="5860" spans="1:2" x14ac:dyDescent="0.25">
      <c r="A5860" s="65">
        <v>5859</v>
      </c>
      <c r="B5860" s="64">
        <v>29779362.434678063</v>
      </c>
    </row>
    <row r="5861" spans="1:2" x14ac:dyDescent="0.25">
      <c r="A5861" s="65">
        <v>5860</v>
      </c>
      <c r="B5861" s="64">
        <v>32396826.218400788</v>
      </c>
    </row>
    <row r="5862" spans="1:2" x14ac:dyDescent="0.25">
      <c r="A5862" s="65">
        <v>5861</v>
      </c>
      <c r="B5862" s="64">
        <v>28504581.359182622</v>
      </c>
    </row>
    <row r="5863" spans="1:2" x14ac:dyDescent="0.25">
      <c r="A5863" s="65">
        <v>5862</v>
      </c>
      <c r="B5863" s="64">
        <v>28578000.911655098</v>
      </c>
    </row>
    <row r="5864" spans="1:2" x14ac:dyDescent="0.25">
      <c r="A5864" s="65">
        <v>5863</v>
      </c>
      <c r="B5864" s="64">
        <v>29069469.021541774</v>
      </c>
    </row>
    <row r="5865" spans="1:2" x14ac:dyDescent="0.25">
      <c r="A5865" s="65">
        <v>5864</v>
      </c>
      <c r="B5865" s="64">
        <v>28667252.574888624</v>
      </c>
    </row>
    <row r="5866" spans="1:2" x14ac:dyDescent="0.25">
      <c r="A5866" s="65">
        <v>5865</v>
      </c>
      <c r="B5866" s="64">
        <v>29917952.339144792</v>
      </c>
    </row>
    <row r="5867" spans="1:2" x14ac:dyDescent="0.25">
      <c r="A5867" s="65">
        <v>5866</v>
      </c>
      <c r="B5867" s="64">
        <v>31086233.392858226</v>
      </c>
    </row>
    <row r="5868" spans="1:2" x14ac:dyDescent="0.25">
      <c r="A5868" s="65">
        <v>5867</v>
      </c>
      <c r="B5868" s="64">
        <v>28985724.325518921</v>
      </c>
    </row>
    <row r="5869" spans="1:2" x14ac:dyDescent="0.25">
      <c r="A5869" s="65">
        <v>5868</v>
      </c>
      <c r="B5869" s="64">
        <v>29133263.642473239</v>
      </c>
    </row>
    <row r="5870" spans="1:2" x14ac:dyDescent="0.25">
      <c r="A5870" s="65">
        <v>5869</v>
      </c>
      <c r="B5870" s="64">
        <v>29142792.497195978</v>
      </c>
    </row>
    <row r="5871" spans="1:2" x14ac:dyDescent="0.25">
      <c r="A5871" s="65">
        <v>5870</v>
      </c>
      <c r="B5871" s="64">
        <v>29176730.744768005</v>
      </c>
    </row>
    <row r="5872" spans="1:2" x14ac:dyDescent="0.25">
      <c r="A5872" s="65">
        <v>5871</v>
      </c>
      <c r="B5872" s="64">
        <v>29465257.888013646</v>
      </c>
    </row>
    <row r="5873" spans="1:2" x14ac:dyDescent="0.25">
      <c r="A5873" s="65">
        <v>5872</v>
      </c>
      <c r="B5873" s="64">
        <v>28762162.484404575</v>
      </c>
    </row>
    <row r="5874" spans="1:2" x14ac:dyDescent="0.25">
      <c r="A5874" s="65">
        <v>5873</v>
      </c>
      <c r="B5874" s="64">
        <v>28984025.096155707</v>
      </c>
    </row>
    <row r="5875" spans="1:2" x14ac:dyDescent="0.25">
      <c r="A5875" s="65">
        <v>5874</v>
      </c>
      <c r="B5875" s="64">
        <v>29119287.106415421</v>
      </c>
    </row>
    <row r="5876" spans="1:2" x14ac:dyDescent="0.25">
      <c r="A5876" s="65">
        <v>5875</v>
      </c>
      <c r="B5876" s="64">
        <v>29243050.739171304</v>
      </c>
    </row>
    <row r="5877" spans="1:2" x14ac:dyDescent="0.25">
      <c r="A5877" s="65">
        <v>5876</v>
      </c>
      <c r="B5877" s="64">
        <v>30368733.817686278</v>
      </c>
    </row>
    <row r="5878" spans="1:2" x14ac:dyDescent="0.25">
      <c r="A5878" s="65">
        <v>5877</v>
      </c>
      <c r="B5878" s="64">
        <v>28447084.566889774</v>
      </c>
    </row>
    <row r="5879" spans="1:2" x14ac:dyDescent="0.25">
      <c r="A5879" s="65">
        <v>5878</v>
      </c>
      <c r="B5879" s="64">
        <v>28858130.778020404</v>
      </c>
    </row>
    <row r="5880" spans="1:2" x14ac:dyDescent="0.25">
      <c r="A5880" s="65">
        <v>5879</v>
      </c>
      <c r="B5880" s="64">
        <v>28922710.267087631</v>
      </c>
    </row>
    <row r="5881" spans="1:2" x14ac:dyDescent="0.25">
      <c r="A5881" s="65">
        <v>5880</v>
      </c>
      <c r="B5881" s="64">
        <v>30103789.765227161</v>
      </c>
    </row>
    <row r="5882" spans="1:2" x14ac:dyDescent="0.25">
      <c r="A5882" s="65">
        <v>5881</v>
      </c>
      <c r="B5882" s="64">
        <v>29080109.891916543</v>
      </c>
    </row>
    <row r="5883" spans="1:2" x14ac:dyDescent="0.25">
      <c r="A5883" s="65">
        <v>5882</v>
      </c>
      <c r="B5883" s="64">
        <v>29014035.193693683</v>
      </c>
    </row>
    <row r="5884" spans="1:2" x14ac:dyDescent="0.25">
      <c r="A5884" s="65">
        <v>5883</v>
      </c>
      <c r="B5884" s="64">
        <v>28813675.729152087</v>
      </c>
    </row>
    <row r="5885" spans="1:2" x14ac:dyDescent="0.25">
      <c r="A5885" s="65">
        <v>5884</v>
      </c>
      <c r="B5885" s="64">
        <v>28547045.330513794</v>
      </c>
    </row>
    <row r="5886" spans="1:2" x14ac:dyDescent="0.25">
      <c r="A5886" s="65">
        <v>5885</v>
      </c>
      <c r="B5886" s="64">
        <v>28515539.506492145</v>
      </c>
    </row>
    <row r="5887" spans="1:2" x14ac:dyDescent="0.25">
      <c r="A5887" s="65">
        <v>5886</v>
      </c>
      <c r="B5887" s="64">
        <v>29485045.457072958</v>
      </c>
    </row>
    <row r="5888" spans="1:2" x14ac:dyDescent="0.25">
      <c r="A5888" s="65">
        <v>5887</v>
      </c>
      <c r="B5888" s="64">
        <v>28721629.044353578</v>
      </c>
    </row>
    <row r="5889" spans="1:2" x14ac:dyDescent="0.25">
      <c r="A5889" s="65">
        <v>5888</v>
      </c>
      <c r="B5889" s="64">
        <v>28989149.269884724</v>
      </c>
    </row>
    <row r="5890" spans="1:2" x14ac:dyDescent="0.25">
      <c r="A5890" s="65">
        <v>5889</v>
      </c>
      <c r="B5890" s="64">
        <v>30113453.504042275</v>
      </c>
    </row>
    <row r="5891" spans="1:2" x14ac:dyDescent="0.25">
      <c r="A5891" s="65">
        <v>5890</v>
      </c>
      <c r="B5891" s="64">
        <v>29650638.900150571</v>
      </c>
    </row>
    <row r="5892" spans="1:2" x14ac:dyDescent="0.25">
      <c r="A5892" s="65">
        <v>5891</v>
      </c>
      <c r="B5892" s="64">
        <v>28992274.309475027</v>
      </c>
    </row>
    <row r="5893" spans="1:2" x14ac:dyDescent="0.25">
      <c r="A5893" s="65">
        <v>5892</v>
      </c>
      <c r="B5893" s="64">
        <v>29037440.96635114</v>
      </c>
    </row>
    <row r="5894" spans="1:2" x14ac:dyDescent="0.25">
      <c r="A5894" s="65">
        <v>5893</v>
      </c>
      <c r="B5894" s="64">
        <v>29086786.208517119</v>
      </c>
    </row>
    <row r="5895" spans="1:2" x14ac:dyDescent="0.25">
      <c r="A5895" s="65">
        <v>5894</v>
      </c>
      <c r="B5895" s="64">
        <v>28661912.368070226</v>
      </c>
    </row>
    <row r="5896" spans="1:2" x14ac:dyDescent="0.25">
      <c r="A5896" s="65">
        <v>5895</v>
      </c>
      <c r="B5896" s="64">
        <v>29320102.657757439</v>
      </c>
    </row>
    <row r="5897" spans="1:2" x14ac:dyDescent="0.25">
      <c r="A5897" s="65">
        <v>5896</v>
      </c>
      <c r="B5897" s="64">
        <v>29307046.735564247</v>
      </c>
    </row>
    <row r="5898" spans="1:2" x14ac:dyDescent="0.25">
      <c r="A5898" s="65">
        <v>5897</v>
      </c>
      <c r="B5898" s="64">
        <v>29967224.896809649</v>
      </c>
    </row>
    <row r="5899" spans="1:2" x14ac:dyDescent="0.25">
      <c r="A5899" s="65">
        <v>5898</v>
      </c>
      <c r="B5899" s="64">
        <v>29005638.236235421</v>
      </c>
    </row>
    <row r="5900" spans="1:2" x14ac:dyDescent="0.25">
      <c r="A5900" s="65">
        <v>5899</v>
      </c>
      <c r="B5900" s="64">
        <v>29805802.114344355</v>
      </c>
    </row>
    <row r="5901" spans="1:2" x14ac:dyDescent="0.25">
      <c r="A5901" s="65">
        <v>5900</v>
      </c>
      <c r="B5901" s="64">
        <v>29060544.256275542</v>
      </c>
    </row>
    <row r="5902" spans="1:2" x14ac:dyDescent="0.25">
      <c r="A5902" s="65">
        <v>5901</v>
      </c>
      <c r="B5902" s="64">
        <v>28708344.667990841</v>
      </c>
    </row>
    <row r="5903" spans="1:2" x14ac:dyDescent="0.25">
      <c r="A5903" s="65">
        <v>5902</v>
      </c>
      <c r="B5903" s="64">
        <v>29780424.800469052</v>
      </c>
    </row>
    <row r="5904" spans="1:2" x14ac:dyDescent="0.25">
      <c r="A5904" s="65">
        <v>5903</v>
      </c>
      <c r="B5904" s="64">
        <v>28980185.357860539</v>
      </c>
    </row>
    <row r="5905" spans="1:2" x14ac:dyDescent="0.25">
      <c r="A5905" s="65">
        <v>5904</v>
      </c>
      <c r="B5905" s="64">
        <v>29013058.66720951</v>
      </c>
    </row>
    <row r="5906" spans="1:2" x14ac:dyDescent="0.25">
      <c r="A5906" s="65">
        <v>5905</v>
      </c>
      <c r="B5906" s="64">
        <v>30015411.4143884</v>
      </c>
    </row>
    <row r="5907" spans="1:2" x14ac:dyDescent="0.25">
      <c r="A5907" s="65">
        <v>5906</v>
      </c>
      <c r="B5907" s="64">
        <v>29266502.553716104</v>
      </c>
    </row>
    <row r="5908" spans="1:2" x14ac:dyDescent="0.25">
      <c r="A5908" s="65">
        <v>5907</v>
      </c>
      <c r="B5908" s="64">
        <v>30592339.193901166</v>
      </c>
    </row>
    <row r="5909" spans="1:2" x14ac:dyDescent="0.25">
      <c r="A5909" s="65">
        <v>5908</v>
      </c>
      <c r="B5909" s="64">
        <v>29433046.886328734</v>
      </c>
    </row>
    <row r="5910" spans="1:2" x14ac:dyDescent="0.25">
      <c r="A5910" s="65">
        <v>5909</v>
      </c>
      <c r="B5910" s="64">
        <v>28750881.257872544</v>
      </c>
    </row>
    <row r="5911" spans="1:2" x14ac:dyDescent="0.25">
      <c r="A5911" s="65">
        <v>5910</v>
      </c>
      <c r="B5911" s="64">
        <v>29529766.7603379</v>
      </c>
    </row>
    <row r="5912" spans="1:2" x14ac:dyDescent="0.25">
      <c r="A5912" s="65">
        <v>5911</v>
      </c>
      <c r="B5912" s="64">
        <v>29835901.81272012</v>
      </c>
    </row>
    <row r="5913" spans="1:2" x14ac:dyDescent="0.25">
      <c r="A5913" s="65">
        <v>5912</v>
      </c>
      <c r="B5913" s="64">
        <v>31124066.891868729</v>
      </c>
    </row>
    <row r="5914" spans="1:2" x14ac:dyDescent="0.25">
      <c r="A5914" s="65">
        <v>5913</v>
      </c>
      <c r="B5914" s="64">
        <v>30220430.816707458</v>
      </c>
    </row>
    <row r="5915" spans="1:2" x14ac:dyDescent="0.25">
      <c r="A5915" s="65">
        <v>5914</v>
      </c>
      <c r="B5915" s="64">
        <v>28403465.089049272</v>
      </c>
    </row>
    <row r="5916" spans="1:2" x14ac:dyDescent="0.25">
      <c r="A5916" s="65">
        <v>5915</v>
      </c>
      <c r="B5916" s="64">
        <v>28829542.888420645</v>
      </c>
    </row>
    <row r="5917" spans="1:2" x14ac:dyDescent="0.25">
      <c r="A5917" s="65">
        <v>5916</v>
      </c>
      <c r="B5917" s="64">
        <v>29749294.360910315</v>
      </c>
    </row>
    <row r="5918" spans="1:2" x14ac:dyDescent="0.25">
      <c r="A5918" s="65">
        <v>5917</v>
      </c>
      <c r="B5918" s="64">
        <v>28946664.60755989</v>
      </c>
    </row>
    <row r="5919" spans="1:2" x14ac:dyDescent="0.25">
      <c r="A5919" s="65">
        <v>5918</v>
      </c>
      <c r="B5919" s="64">
        <v>29256151.533182476</v>
      </c>
    </row>
    <row r="5920" spans="1:2" x14ac:dyDescent="0.25">
      <c r="A5920" s="65">
        <v>5919</v>
      </c>
      <c r="B5920" s="64">
        <v>29243307.662951004</v>
      </c>
    </row>
    <row r="5921" spans="1:2" x14ac:dyDescent="0.25">
      <c r="A5921" s="65">
        <v>5920</v>
      </c>
      <c r="B5921" s="64">
        <v>29285688.595151763</v>
      </c>
    </row>
    <row r="5922" spans="1:2" x14ac:dyDescent="0.25">
      <c r="A5922" s="65">
        <v>5921</v>
      </c>
      <c r="B5922" s="64">
        <v>28841816.446327806</v>
      </c>
    </row>
    <row r="5923" spans="1:2" x14ac:dyDescent="0.25">
      <c r="A5923" s="65">
        <v>5922</v>
      </c>
      <c r="B5923" s="64">
        <v>29737626.382182136</v>
      </c>
    </row>
    <row r="5924" spans="1:2" x14ac:dyDescent="0.25">
      <c r="A5924" s="65">
        <v>5923</v>
      </c>
      <c r="B5924" s="64">
        <v>29590369.869306341</v>
      </c>
    </row>
    <row r="5925" spans="1:2" x14ac:dyDescent="0.25">
      <c r="A5925" s="65">
        <v>5924</v>
      </c>
      <c r="B5925" s="64">
        <v>28940016.286940012</v>
      </c>
    </row>
    <row r="5926" spans="1:2" x14ac:dyDescent="0.25">
      <c r="A5926" s="65">
        <v>5925</v>
      </c>
      <c r="B5926" s="64">
        <v>28861495.092796315</v>
      </c>
    </row>
    <row r="5927" spans="1:2" x14ac:dyDescent="0.25">
      <c r="A5927" s="65">
        <v>5926</v>
      </c>
      <c r="B5927" s="64">
        <v>28606221.67295932</v>
      </c>
    </row>
    <row r="5928" spans="1:2" x14ac:dyDescent="0.25">
      <c r="A5928" s="65">
        <v>5927</v>
      </c>
      <c r="B5928" s="64">
        <v>28585132.695610933</v>
      </c>
    </row>
    <row r="5929" spans="1:2" x14ac:dyDescent="0.25">
      <c r="A5929" s="65">
        <v>5928</v>
      </c>
      <c r="B5929" s="64">
        <v>28527925.590085924</v>
      </c>
    </row>
    <row r="5930" spans="1:2" x14ac:dyDescent="0.25">
      <c r="A5930" s="65">
        <v>5929</v>
      </c>
      <c r="B5930" s="64">
        <v>29235033.646101423</v>
      </c>
    </row>
    <row r="5931" spans="1:2" x14ac:dyDescent="0.25">
      <c r="A5931" s="65">
        <v>5930</v>
      </c>
      <c r="B5931" s="64">
        <v>29000765.555671144</v>
      </c>
    </row>
    <row r="5932" spans="1:2" x14ac:dyDescent="0.25">
      <c r="A5932" s="65">
        <v>5931</v>
      </c>
      <c r="B5932" s="64">
        <v>29138603.32651877</v>
      </c>
    </row>
    <row r="5933" spans="1:2" x14ac:dyDescent="0.25">
      <c r="A5933" s="65">
        <v>5932</v>
      </c>
      <c r="B5933" s="64">
        <v>29531388.506789584</v>
      </c>
    </row>
    <row r="5934" spans="1:2" x14ac:dyDescent="0.25">
      <c r="A5934" s="65">
        <v>5933</v>
      </c>
      <c r="B5934" s="64">
        <v>30228076.04830344</v>
      </c>
    </row>
    <row r="5935" spans="1:2" x14ac:dyDescent="0.25">
      <c r="A5935" s="65">
        <v>5934</v>
      </c>
      <c r="B5935" s="64">
        <v>28920551.698725261</v>
      </c>
    </row>
    <row r="5936" spans="1:2" x14ac:dyDescent="0.25">
      <c r="A5936" s="65">
        <v>5935</v>
      </c>
      <c r="B5936" s="64">
        <v>30017998.478720371</v>
      </c>
    </row>
    <row r="5937" spans="1:2" x14ac:dyDescent="0.25">
      <c r="A5937" s="65">
        <v>5936</v>
      </c>
      <c r="B5937" s="64">
        <v>29637333.997267023</v>
      </c>
    </row>
    <row r="5938" spans="1:2" x14ac:dyDescent="0.25">
      <c r="A5938" s="65">
        <v>5937</v>
      </c>
      <c r="B5938" s="64">
        <v>29070820.92574371</v>
      </c>
    </row>
    <row r="5939" spans="1:2" x14ac:dyDescent="0.25">
      <c r="A5939" s="65">
        <v>5938</v>
      </c>
      <c r="B5939" s="64">
        <v>28934806.046734571</v>
      </c>
    </row>
    <row r="5940" spans="1:2" x14ac:dyDescent="0.25">
      <c r="A5940" s="65">
        <v>5939</v>
      </c>
      <c r="B5940" s="64">
        <v>29103520.186065603</v>
      </c>
    </row>
    <row r="5941" spans="1:2" x14ac:dyDescent="0.25">
      <c r="A5941" s="65">
        <v>5940</v>
      </c>
      <c r="B5941" s="64">
        <v>28923017.524793547</v>
      </c>
    </row>
    <row r="5942" spans="1:2" x14ac:dyDescent="0.25">
      <c r="A5942" s="65">
        <v>5941</v>
      </c>
      <c r="B5942" s="64">
        <v>29494246.036803931</v>
      </c>
    </row>
    <row r="5943" spans="1:2" x14ac:dyDescent="0.25">
      <c r="A5943" s="65">
        <v>5942</v>
      </c>
      <c r="B5943" s="64">
        <v>29252239.712410644</v>
      </c>
    </row>
    <row r="5944" spans="1:2" x14ac:dyDescent="0.25">
      <c r="A5944" s="65">
        <v>5943</v>
      </c>
      <c r="B5944" s="64">
        <v>29219713.594445497</v>
      </c>
    </row>
    <row r="5945" spans="1:2" x14ac:dyDescent="0.25">
      <c r="A5945" s="65">
        <v>5944</v>
      </c>
      <c r="B5945" s="64">
        <v>30535422.784859445</v>
      </c>
    </row>
    <row r="5946" spans="1:2" x14ac:dyDescent="0.25">
      <c r="A5946" s="65">
        <v>5945</v>
      </c>
      <c r="B5946" s="64">
        <v>31185288.693270843</v>
      </c>
    </row>
    <row r="5947" spans="1:2" x14ac:dyDescent="0.25">
      <c r="A5947" s="65">
        <v>5946</v>
      </c>
      <c r="B5947" s="64">
        <v>29087547.698954906</v>
      </c>
    </row>
    <row r="5948" spans="1:2" x14ac:dyDescent="0.25">
      <c r="A5948" s="65">
        <v>5947</v>
      </c>
      <c r="B5948" s="64">
        <v>28893476.773490857</v>
      </c>
    </row>
    <row r="5949" spans="1:2" x14ac:dyDescent="0.25">
      <c r="A5949" s="65">
        <v>5948</v>
      </c>
      <c r="B5949" s="64">
        <v>29894925.376653805</v>
      </c>
    </row>
    <row r="5950" spans="1:2" x14ac:dyDescent="0.25">
      <c r="A5950" s="65">
        <v>5949</v>
      </c>
      <c r="B5950" s="64">
        <v>30291045.53325269</v>
      </c>
    </row>
    <row r="5951" spans="1:2" x14ac:dyDescent="0.25">
      <c r="A5951" s="65">
        <v>5950</v>
      </c>
      <c r="B5951" s="64">
        <v>29197911.507688422</v>
      </c>
    </row>
    <row r="5952" spans="1:2" x14ac:dyDescent="0.25">
      <c r="A5952" s="65">
        <v>5951</v>
      </c>
      <c r="B5952" s="64">
        <v>29336852.357248239</v>
      </c>
    </row>
    <row r="5953" spans="1:2" x14ac:dyDescent="0.25">
      <c r="A5953" s="65">
        <v>5952</v>
      </c>
      <c r="B5953" s="64">
        <v>28931175.120582268</v>
      </c>
    </row>
    <row r="5954" spans="1:2" x14ac:dyDescent="0.25">
      <c r="A5954" s="65">
        <v>5953</v>
      </c>
      <c r="B5954" s="64">
        <v>28986797.164030861</v>
      </c>
    </row>
    <row r="5955" spans="1:2" x14ac:dyDescent="0.25">
      <c r="A5955" s="65">
        <v>5954</v>
      </c>
      <c r="B5955" s="64">
        <v>29878238.467774946</v>
      </c>
    </row>
    <row r="5956" spans="1:2" x14ac:dyDescent="0.25">
      <c r="A5956" s="65">
        <v>5955</v>
      </c>
      <c r="B5956" s="64">
        <v>28986555.574813478</v>
      </c>
    </row>
    <row r="5957" spans="1:2" x14ac:dyDescent="0.25">
      <c r="A5957" s="65">
        <v>5956</v>
      </c>
      <c r="B5957" s="64">
        <v>29172060.893543582</v>
      </c>
    </row>
    <row r="5958" spans="1:2" x14ac:dyDescent="0.25">
      <c r="A5958" s="65">
        <v>5957</v>
      </c>
      <c r="B5958" s="64">
        <v>29859830.658433996</v>
      </c>
    </row>
    <row r="5959" spans="1:2" x14ac:dyDescent="0.25">
      <c r="A5959" s="65">
        <v>5958</v>
      </c>
      <c r="B5959" s="64">
        <v>29015006.905698363</v>
      </c>
    </row>
    <row r="5960" spans="1:2" x14ac:dyDescent="0.25">
      <c r="A5960" s="65">
        <v>5959</v>
      </c>
      <c r="B5960" s="64">
        <v>28859054.909301937</v>
      </c>
    </row>
    <row r="5961" spans="1:2" x14ac:dyDescent="0.25">
      <c r="A5961" s="65">
        <v>5960</v>
      </c>
      <c r="B5961" s="64">
        <v>29943028.198440686</v>
      </c>
    </row>
    <row r="5962" spans="1:2" x14ac:dyDescent="0.25">
      <c r="A5962" s="65">
        <v>5961</v>
      </c>
      <c r="B5962" s="64">
        <v>29271809.130343575</v>
      </c>
    </row>
    <row r="5963" spans="1:2" x14ac:dyDescent="0.25">
      <c r="A5963" s="65">
        <v>5962</v>
      </c>
      <c r="B5963" s="64">
        <v>30540465.228126101</v>
      </c>
    </row>
    <row r="5964" spans="1:2" x14ac:dyDescent="0.25">
      <c r="A5964" s="65">
        <v>5963</v>
      </c>
      <c r="B5964" s="64">
        <v>28519668.952698085</v>
      </c>
    </row>
    <row r="5965" spans="1:2" x14ac:dyDescent="0.25">
      <c r="A5965" s="65">
        <v>5964</v>
      </c>
      <c r="B5965" s="64">
        <v>28768199.501508519</v>
      </c>
    </row>
    <row r="5966" spans="1:2" x14ac:dyDescent="0.25">
      <c r="A5966" s="65">
        <v>5965</v>
      </c>
      <c r="B5966" s="64">
        <v>28529831.189791568</v>
      </c>
    </row>
    <row r="5967" spans="1:2" x14ac:dyDescent="0.25">
      <c r="A5967" s="65">
        <v>5966</v>
      </c>
      <c r="B5967" s="64">
        <v>28970174.920564536</v>
      </c>
    </row>
    <row r="5968" spans="1:2" x14ac:dyDescent="0.25">
      <c r="A5968" s="65">
        <v>5967</v>
      </c>
      <c r="B5968" s="64">
        <v>29393025.095221061</v>
      </c>
    </row>
    <row r="5969" spans="1:2" x14ac:dyDescent="0.25">
      <c r="A5969" s="65">
        <v>5968</v>
      </c>
      <c r="B5969" s="64">
        <v>28708908.408388384</v>
      </c>
    </row>
    <row r="5970" spans="1:2" x14ac:dyDescent="0.25">
      <c r="A5970" s="65">
        <v>5969</v>
      </c>
      <c r="B5970" s="64">
        <v>28771377.322634604</v>
      </c>
    </row>
    <row r="5971" spans="1:2" x14ac:dyDescent="0.25">
      <c r="A5971" s="65">
        <v>5970</v>
      </c>
      <c r="B5971" s="64">
        <v>29148784.536380745</v>
      </c>
    </row>
    <row r="5972" spans="1:2" x14ac:dyDescent="0.25">
      <c r="A5972" s="65">
        <v>5971</v>
      </c>
      <c r="B5972" s="64">
        <v>28667161.088290997</v>
      </c>
    </row>
    <row r="5973" spans="1:2" x14ac:dyDescent="0.25">
      <c r="A5973" s="65">
        <v>5972</v>
      </c>
      <c r="B5973" s="64">
        <v>28546834.978894632</v>
      </c>
    </row>
    <row r="5974" spans="1:2" x14ac:dyDescent="0.25">
      <c r="A5974" s="65">
        <v>5973</v>
      </c>
      <c r="B5974" s="64">
        <v>29964628.238042928</v>
      </c>
    </row>
    <row r="5975" spans="1:2" x14ac:dyDescent="0.25">
      <c r="A5975" s="65">
        <v>5974</v>
      </c>
      <c r="B5975" s="64">
        <v>30152145.957774963</v>
      </c>
    </row>
    <row r="5976" spans="1:2" x14ac:dyDescent="0.25">
      <c r="A5976" s="65">
        <v>5975</v>
      </c>
      <c r="B5976" s="64">
        <v>28976090.02856027</v>
      </c>
    </row>
    <row r="5977" spans="1:2" x14ac:dyDescent="0.25">
      <c r="A5977" s="65">
        <v>5976</v>
      </c>
      <c r="B5977" s="64">
        <v>30811808.161035597</v>
      </c>
    </row>
    <row r="5978" spans="1:2" x14ac:dyDescent="0.25">
      <c r="A5978" s="65">
        <v>5977</v>
      </c>
      <c r="B5978" s="64">
        <v>29013312.391296811</v>
      </c>
    </row>
    <row r="5979" spans="1:2" x14ac:dyDescent="0.25">
      <c r="A5979" s="65">
        <v>5978</v>
      </c>
      <c r="B5979" s="64">
        <v>29526576.084624734</v>
      </c>
    </row>
    <row r="5980" spans="1:2" x14ac:dyDescent="0.25">
      <c r="A5980" s="65">
        <v>5979</v>
      </c>
      <c r="B5980" s="64">
        <v>28755087.371448517</v>
      </c>
    </row>
    <row r="5981" spans="1:2" x14ac:dyDescent="0.25">
      <c r="A5981" s="65">
        <v>5980</v>
      </c>
      <c r="B5981" s="64">
        <v>29108202.156988543</v>
      </c>
    </row>
    <row r="5982" spans="1:2" x14ac:dyDescent="0.25">
      <c r="A5982" s="65">
        <v>5981</v>
      </c>
      <c r="B5982" s="64">
        <v>28949422.787720427</v>
      </c>
    </row>
    <row r="5983" spans="1:2" x14ac:dyDescent="0.25">
      <c r="A5983" s="65">
        <v>5982</v>
      </c>
      <c r="B5983" s="64">
        <v>29191969.692742057</v>
      </c>
    </row>
    <row r="5984" spans="1:2" x14ac:dyDescent="0.25">
      <c r="A5984" s="65">
        <v>5983</v>
      </c>
      <c r="B5984" s="64">
        <v>29218359.969781123</v>
      </c>
    </row>
    <row r="5985" spans="1:2" x14ac:dyDescent="0.25">
      <c r="A5985" s="65">
        <v>5984</v>
      </c>
      <c r="B5985" s="64">
        <v>28766238.426425632</v>
      </c>
    </row>
    <row r="5986" spans="1:2" x14ac:dyDescent="0.25">
      <c r="A5986" s="65">
        <v>5985</v>
      </c>
      <c r="B5986" s="64">
        <v>30416995.47209803</v>
      </c>
    </row>
    <row r="5987" spans="1:2" x14ac:dyDescent="0.25">
      <c r="A5987" s="65">
        <v>5986</v>
      </c>
      <c r="B5987" s="64">
        <v>28971004.604208916</v>
      </c>
    </row>
    <row r="5988" spans="1:2" x14ac:dyDescent="0.25">
      <c r="A5988" s="65">
        <v>5987</v>
      </c>
      <c r="B5988" s="64">
        <v>28374755.918214209</v>
      </c>
    </row>
    <row r="5989" spans="1:2" x14ac:dyDescent="0.25">
      <c r="A5989" s="65">
        <v>5988</v>
      </c>
      <c r="B5989" s="64">
        <v>29714693.148743462</v>
      </c>
    </row>
    <row r="5990" spans="1:2" x14ac:dyDescent="0.25">
      <c r="A5990" s="65">
        <v>5989</v>
      </c>
      <c r="B5990" s="64">
        <v>28755087.127470642</v>
      </c>
    </row>
    <row r="5991" spans="1:2" x14ac:dyDescent="0.25">
      <c r="A5991" s="65">
        <v>5990</v>
      </c>
      <c r="B5991" s="64">
        <v>28626648.886302039</v>
      </c>
    </row>
    <row r="5992" spans="1:2" x14ac:dyDescent="0.25">
      <c r="A5992" s="65">
        <v>5991</v>
      </c>
      <c r="B5992" s="64">
        <v>30128845.301180318</v>
      </c>
    </row>
    <row r="5993" spans="1:2" x14ac:dyDescent="0.25">
      <c r="A5993" s="65">
        <v>5992</v>
      </c>
      <c r="B5993" s="64">
        <v>28842835.876690879</v>
      </c>
    </row>
    <row r="5994" spans="1:2" x14ac:dyDescent="0.25">
      <c r="A5994" s="65">
        <v>5993</v>
      </c>
      <c r="B5994" s="64">
        <v>29275553.55822973</v>
      </c>
    </row>
    <row r="5995" spans="1:2" x14ac:dyDescent="0.25">
      <c r="A5995" s="65">
        <v>5994</v>
      </c>
      <c r="B5995" s="64">
        <v>30021111.58901361</v>
      </c>
    </row>
    <row r="5996" spans="1:2" x14ac:dyDescent="0.25">
      <c r="A5996" s="65">
        <v>5995</v>
      </c>
      <c r="B5996" s="64">
        <v>29879914.647371292</v>
      </c>
    </row>
    <row r="5997" spans="1:2" x14ac:dyDescent="0.25">
      <c r="A5997" s="65">
        <v>5996</v>
      </c>
      <c r="B5997" s="64">
        <v>29363427.124814585</v>
      </c>
    </row>
    <row r="5998" spans="1:2" x14ac:dyDescent="0.25">
      <c r="A5998" s="65">
        <v>5997</v>
      </c>
      <c r="B5998" s="64">
        <v>28651385.886807837</v>
      </c>
    </row>
    <row r="5999" spans="1:2" x14ac:dyDescent="0.25">
      <c r="A5999" s="65">
        <v>5998</v>
      </c>
      <c r="B5999" s="64">
        <v>28790280.175026871</v>
      </c>
    </row>
    <row r="6000" spans="1:2" x14ac:dyDescent="0.25">
      <c r="A6000" s="65">
        <v>5999</v>
      </c>
      <c r="B6000" s="64">
        <v>28807858.237917423</v>
      </c>
    </row>
    <row r="6001" spans="1:2" x14ac:dyDescent="0.25">
      <c r="A6001" s="65">
        <v>6000</v>
      </c>
      <c r="B6001" s="64">
        <v>28956876.387415886</v>
      </c>
    </row>
    <row r="6002" spans="1:2" x14ac:dyDescent="0.25">
      <c r="A6002" s="65">
        <v>6001</v>
      </c>
      <c r="B6002" s="64">
        <v>30716050.897626195</v>
      </c>
    </row>
    <row r="6003" spans="1:2" x14ac:dyDescent="0.25">
      <c r="A6003" s="65">
        <v>6002</v>
      </c>
      <c r="B6003" s="64">
        <v>29074985.094082821</v>
      </c>
    </row>
    <row r="6004" spans="1:2" x14ac:dyDescent="0.25">
      <c r="A6004" s="65">
        <v>6003</v>
      </c>
      <c r="B6004" s="64">
        <v>30572022.226020161</v>
      </c>
    </row>
    <row r="6005" spans="1:2" x14ac:dyDescent="0.25">
      <c r="A6005" s="65">
        <v>6004</v>
      </c>
      <c r="B6005" s="64">
        <v>28315168.92561597</v>
      </c>
    </row>
    <row r="6006" spans="1:2" x14ac:dyDescent="0.25">
      <c r="A6006" s="65">
        <v>6005</v>
      </c>
      <c r="B6006" s="64">
        <v>28743627.32751321</v>
      </c>
    </row>
    <row r="6007" spans="1:2" x14ac:dyDescent="0.25">
      <c r="A6007" s="65">
        <v>6006</v>
      </c>
      <c r="B6007" s="64">
        <v>29243650.770412922</v>
      </c>
    </row>
    <row r="6008" spans="1:2" x14ac:dyDescent="0.25">
      <c r="A6008" s="65">
        <v>6007</v>
      </c>
      <c r="B6008" s="64">
        <v>33854642.707053311</v>
      </c>
    </row>
    <row r="6009" spans="1:2" x14ac:dyDescent="0.25">
      <c r="A6009" s="65">
        <v>6008</v>
      </c>
      <c r="B6009" s="64">
        <v>30873441.94884862</v>
      </c>
    </row>
    <row r="6010" spans="1:2" x14ac:dyDescent="0.25">
      <c r="A6010" s="65">
        <v>6009</v>
      </c>
      <c r="B6010" s="64">
        <v>30427128.095772527</v>
      </c>
    </row>
    <row r="6011" spans="1:2" x14ac:dyDescent="0.25">
      <c r="A6011" s="65">
        <v>6010</v>
      </c>
      <c r="B6011" s="64">
        <v>28753833.684309576</v>
      </c>
    </row>
    <row r="6012" spans="1:2" x14ac:dyDescent="0.25">
      <c r="A6012" s="65">
        <v>6011</v>
      </c>
      <c r="B6012" s="64">
        <v>29298807.271916609</v>
      </c>
    </row>
    <row r="6013" spans="1:2" x14ac:dyDescent="0.25">
      <c r="A6013" s="65">
        <v>6012</v>
      </c>
      <c r="B6013" s="64">
        <v>28557672.838758472</v>
      </c>
    </row>
    <row r="6014" spans="1:2" x14ac:dyDescent="0.25">
      <c r="A6014" s="65">
        <v>6013</v>
      </c>
      <c r="B6014" s="64">
        <v>29262870.636084888</v>
      </c>
    </row>
    <row r="6015" spans="1:2" x14ac:dyDescent="0.25">
      <c r="A6015" s="65">
        <v>6014</v>
      </c>
      <c r="B6015" s="64">
        <v>29217093.701557018</v>
      </c>
    </row>
    <row r="6016" spans="1:2" x14ac:dyDescent="0.25">
      <c r="A6016" s="65">
        <v>6015</v>
      </c>
      <c r="B6016" s="64">
        <v>29291680.971029535</v>
      </c>
    </row>
    <row r="6017" spans="1:2" x14ac:dyDescent="0.25">
      <c r="A6017" s="65">
        <v>6016</v>
      </c>
      <c r="B6017" s="64">
        <v>30146568.185940456</v>
      </c>
    </row>
    <row r="6018" spans="1:2" x14ac:dyDescent="0.25">
      <c r="A6018" s="65">
        <v>6017</v>
      </c>
      <c r="B6018" s="64">
        <v>29670902.914321661</v>
      </c>
    </row>
    <row r="6019" spans="1:2" x14ac:dyDescent="0.25">
      <c r="A6019" s="65">
        <v>6018</v>
      </c>
      <c r="B6019" s="64">
        <v>30021920.969976839</v>
      </c>
    </row>
    <row r="6020" spans="1:2" x14ac:dyDescent="0.25">
      <c r="A6020" s="65">
        <v>6019</v>
      </c>
      <c r="B6020" s="64">
        <v>28932963.101242308</v>
      </c>
    </row>
    <row r="6021" spans="1:2" x14ac:dyDescent="0.25">
      <c r="A6021" s="65">
        <v>6020</v>
      </c>
      <c r="B6021" s="64">
        <v>29200141.92279103</v>
      </c>
    </row>
    <row r="6022" spans="1:2" x14ac:dyDescent="0.25">
      <c r="A6022" s="65">
        <v>6021</v>
      </c>
      <c r="B6022" s="64">
        <v>28717215.727737274</v>
      </c>
    </row>
    <row r="6023" spans="1:2" x14ac:dyDescent="0.25">
      <c r="A6023" s="65">
        <v>6022</v>
      </c>
      <c r="B6023" s="64">
        <v>29867946.509305466</v>
      </c>
    </row>
    <row r="6024" spans="1:2" x14ac:dyDescent="0.25">
      <c r="A6024" s="65">
        <v>6023</v>
      </c>
      <c r="B6024" s="64">
        <v>28970287.224982984</v>
      </c>
    </row>
    <row r="6025" spans="1:2" x14ac:dyDescent="0.25">
      <c r="A6025" s="65">
        <v>6024</v>
      </c>
      <c r="B6025" s="64">
        <v>29127956.947618064</v>
      </c>
    </row>
    <row r="6026" spans="1:2" x14ac:dyDescent="0.25">
      <c r="A6026" s="65">
        <v>6025</v>
      </c>
      <c r="B6026" s="64">
        <v>29621010.913726754</v>
      </c>
    </row>
    <row r="6027" spans="1:2" x14ac:dyDescent="0.25">
      <c r="A6027" s="65">
        <v>6026</v>
      </c>
      <c r="B6027" s="64">
        <v>29295266.910183482</v>
      </c>
    </row>
    <row r="6028" spans="1:2" x14ac:dyDescent="0.25">
      <c r="A6028" s="65">
        <v>6027</v>
      </c>
      <c r="B6028" s="64">
        <v>29341741.404341098</v>
      </c>
    </row>
    <row r="6029" spans="1:2" x14ac:dyDescent="0.25">
      <c r="A6029" s="65">
        <v>6028</v>
      </c>
      <c r="B6029" s="64">
        <v>28856853.140279938</v>
      </c>
    </row>
    <row r="6030" spans="1:2" x14ac:dyDescent="0.25">
      <c r="A6030" s="65">
        <v>6029</v>
      </c>
      <c r="B6030" s="64">
        <v>29122469.415792644</v>
      </c>
    </row>
    <row r="6031" spans="1:2" x14ac:dyDescent="0.25">
      <c r="A6031" s="65">
        <v>6030</v>
      </c>
      <c r="B6031" s="64">
        <v>29845529.084654432</v>
      </c>
    </row>
    <row r="6032" spans="1:2" x14ac:dyDescent="0.25">
      <c r="A6032" s="65">
        <v>6031</v>
      </c>
      <c r="B6032" s="64">
        <v>28538356.573990222</v>
      </c>
    </row>
    <row r="6033" spans="1:2" x14ac:dyDescent="0.25">
      <c r="A6033" s="65">
        <v>6032</v>
      </c>
      <c r="B6033" s="64">
        <v>28750967.152483322</v>
      </c>
    </row>
    <row r="6034" spans="1:2" x14ac:dyDescent="0.25">
      <c r="A6034" s="65">
        <v>6033</v>
      </c>
      <c r="B6034" s="64">
        <v>29179170.553635251</v>
      </c>
    </row>
    <row r="6035" spans="1:2" x14ac:dyDescent="0.25">
      <c r="A6035" s="65">
        <v>6034</v>
      </c>
      <c r="B6035" s="64">
        <v>28585674.188462362</v>
      </c>
    </row>
    <row r="6036" spans="1:2" x14ac:dyDescent="0.25">
      <c r="A6036" s="65">
        <v>6035</v>
      </c>
      <c r="B6036" s="64">
        <v>28833569.865028463</v>
      </c>
    </row>
    <row r="6037" spans="1:2" x14ac:dyDescent="0.25">
      <c r="A6037" s="65">
        <v>6036</v>
      </c>
      <c r="B6037" s="64">
        <v>28942714.26033986</v>
      </c>
    </row>
    <row r="6038" spans="1:2" x14ac:dyDescent="0.25">
      <c r="A6038" s="65">
        <v>6037</v>
      </c>
      <c r="B6038" s="64">
        <v>28493370.126543012</v>
      </c>
    </row>
    <row r="6039" spans="1:2" x14ac:dyDescent="0.25">
      <c r="A6039" s="65">
        <v>6038</v>
      </c>
      <c r="B6039" s="64">
        <v>28766946.855636392</v>
      </c>
    </row>
    <row r="6040" spans="1:2" x14ac:dyDescent="0.25">
      <c r="A6040" s="65">
        <v>6039</v>
      </c>
      <c r="B6040" s="64">
        <v>29109237.366791766</v>
      </c>
    </row>
    <row r="6041" spans="1:2" x14ac:dyDescent="0.25">
      <c r="A6041" s="65">
        <v>6040</v>
      </c>
      <c r="B6041" s="64">
        <v>28696719.208083697</v>
      </c>
    </row>
    <row r="6042" spans="1:2" x14ac:dyDescent="0.25">
      <c r="A6042" s="65">
        <v>6041</v>
      </c>
      <c r="B6042" s="64">
        <v>28911263.298568591</v>
      </c>
    </row>
    <row r="6043" spans="1:2" x14ac:dyDescent="0.25">
      <c r="A6043" s="65">
        <v>6042</v>
      </c>
      <c r="B6043" s="64">
        <v>28906390.263149377</v>
      </c>
    </row>
    <row r="6044" spans="1:2" x14ac:dyDescent="0.25">
      <c r="A6044" s="65">
        <v>6043</v>
      </c>
      <c r="B6044" s="64">
        <v>29336277.869572163</v>
      </c>
    </row>
    <row r="6045" spans="1:2" x14ac:dyDescent="0.25">
      <c r="A6045" s="65">
        <v>6044</v>
      </c>
      <c r="B6045" s="64">
        <v>28702296.160439033</v>
      </c>
    </row>
    <row r="6046" spans="1:2" x14ac:dyDescent="0.25">
      <c r="A6046" s="65">
        <v>6045</v>
      </c>
      <c r="B6046" s="64">
        <v>29434078.085991938</v>
      </c>
    </row>
    <row r="6047" spans="1:2" x14ac:dyDescent="0.25">
      <c r="A6047" s="65">
        <v>6046</v>
      </c>
      <c r="B6047" s="64">
        <v>28658903.927868925</v>
      </c>
    </row>
    <row r="6048" spans="1:2" x14ac:dyDescent="0.25">
      <c r="A6048" s="65">
        <v>6047</v>
      </c>
      <c r="B6048" s="64">
        <v>29004241.470715795</v>
      </c>
    </row>
    <row r="6049" spans="1:2" x14ac:dyDescent="0.25">
      <c r="A6049" s="65">
        <v>6048</v>
      </c>
      <c r="B6049" s="64">
        <v>28891011.638243485</v>
      </c>
    </row>
    <row r="6050" spans="1:2" x14ac:dyDescent="0.25">
      <c r="A6050" s="65">
        <v>6049</v>
      </c>
      <c r="B6050" s="64">
        <v>30346653.147859424</v>
      </c>
    </row>
    <row r="6051" spans="1:2" x14ac:dyDescent="0.25">
      <c r="A6051" s="65">
        <v>6050</v>
      </c>
      <c r="B6051" s="64">
        <v>28828866.296348143</v>
      </c>
    </row>
    <row r="6052" spans="1:2" x14ac:dyDescent="0.25">
      <c r="A6052" s="65">
        <v>6051</v>
      </c>
      <c r="B6052" s="64">
        <v>28471036.145165805</v>
      </c>
    </row>
    <row r="6053" spans="1:2" x14ac:dyDescent="0.25">
      <c r="A6053" s="65">
        <v>6052</v>
      </c>
      <c r="B6053" s="64">
        <v>29095393.185688183</v>
      </c>
    </row>
    <row r="6054" spans="1:2" x14ac:dyDescent="0.25">
      <c r="A6054" s="65">
        <v>6053</v>
      </c>
      <c r="B6054" s="64">
        <v>28894127.304293726</v>
      </c>
    </row>
    <row r="6055" spans="1:2" x14ac:dyDescent="0.25">
      <c r="A6055" s="65">
        <v>6054</v>
      </c>
      <c r="B6055" s="64">
        <v>29379663.108266439</v>
      </c>
    </row>
    <row r="6056" spans="1:2" x14ac:dyDescent="0.25">
      <c r="A6056" s="65">
        <v>6055</v>
      </c>
      <c r="B6056" s="64">
        <v>28984774.758564193</v>
      </c>
    </row>
    <row r="6057" spans="1:2" x14ac:dyDescent="0.25">
      <c r="A6057" s="65">
        <v>6056</v>
      </c>
      <c r="B6057" s="64">
        <v>34703360.059771329</v>
      </c>
    </row>
    <row r="6058" spans="1:2" x14ac:dyDescent="0.25">
      <c r="A6058" s="65">
        <v>6057</v>
      </c>
      <c r="B6058" s="64">
        <v>28771301.737012517</v>
      </c>
    </row>
    <row r="6059" spans="1:2" x14ac:dyDescent="0.25">
      <c r="A6059" s="65">
        <v>6058</v>
      </c>
      <c r="B6059" s="64">
        <v>30532064.968300622</v>
      </c>
    </row>
    <row r="6060" spans="1:2" x14ac:dyDescent="0.25">
      <c r="A6060" s="65">
        <v>6059</v>
      </c>
      <c r="B6060" s="64">
        <v>29240349.198644876</v>
      </c>
    </row>
    <row r="6061" spans="1:2" x14ac:dyDescent="0.25">
      <c r="A6061" s="65">
        <v>6060</v>
      </c>
      <c r="B6061" s="64">
        <v>29887509.256563641</v>
      </c>
    </row>
    <row r="6062" spans="1:2" x14ac:dyDescent="0.25">
      <c r="A6062" s="65">
        <v>6061</v>
      </c>
      <c r="B6062" s="64">
        <v>29001432.757243309</v>
      </c>
    </row>
    <row r="6063" spans="1:2" x14ac:dyDescent="0.25">
      <c r="A6063" s="65">
        <v>6062</v>
      </c>
      <c r="B6063" s="64">
        <v>28847811.964281056</v>
      </c>
    </row>
    <row r="6064" spans="1:2" x14ac:dyDescent="0.25">
      <c r="A6064" s="65">
        <v>6063</v>
      </c>
      <c r="B6064" s="64">
        <v>32113747.842054889</v>
      </c>
    </row>
    <row r="6065" spans="1:2" x14ac:dyDescent="0.25">
      <c r="A6065" s="65">
        <v>6064</v>
      </c>
      <c r="B6065" s="64">
        <v>28837766.404800933</v>
      </c>
    </row>
    <row r="6066" spans="1:2" x14ac:dyDescent="0.25">
      <c r="A6066" s="65">
        <v>6065</v>
      </c>
      <c r="B6066" s="64">
        <v>28397312.304243494</v>
      </c>
    </row>
    <row r="6067" spans="1:2" x14ac:dyDescent="0.25">
      <c r="A6067" s="65">
        <v>6066</v>
      </c>
      <c r="B6067" s="64">
        <v>28755584.440928388</v>
      </c>
    </row>
    <row r="6068" spans="1:2" x14ac:dyDescent="0.25">
      <c r="A6068" s="65">
        <v>6067</v>
      </c>
      <c r="B6068" s="64">
        <v>29412716.318929922</v>
      </c>
    </row>
    <row r="6069" spans="1:2" x14ac:dyDescent="0.25">
      <c r="A6069" s="65">
        <v>6068</v>
      </c>
      <c r="B6069" s="64">
        <v>29295017.272805061</v>
      </c>
    </row>
    <row r="6070" spans="1:2" x14ac:dyDescent="0.25">
      <c r="A6070" s="65">
        <v>6069</v>
      </c>
      <c r="B6070" s="64">
        <v>28542940.978244409</v>
      </c>
    </row>
    <row r="6071" spans="1:2" x14ac:dyDescent="0.25">
      <c r="A6071" s="65">
        <v>6070</v>
      </c>
      <c r="B6071" s="64">
        <v>28854796.305567238</v>
      </c>
    </row>
    <row r="6072" spans="1:2" x14ac:dyDescent="0.25">
      <c r="A6072" s="65">
        <v>6071</v>
      </c>
      <c r="B6072" s="64">
        <v>28822050.296320137</v>
      </c>
    </row>
    <row r="6073" spans="1:2" x14ac:dyDescent="0.25">
      <c r="A6073" s="65">
        <v>6072</v>
      </c>
      <c r="B6073" s="64">
        <v>29225009.463472057</v>
      </c>
    </row>
    <row r="6074" spans="1:2" x14ac:dyDescent="0.25">
      <c r="A6074" s="65">
        <v>6073</v>
      </c>
      <c r="B6074" s="64">
        <v>29011992.259730592</v>
      </c>
    </row>
    <row r="6075" spans="1:2" x14ac:dyDescent="0.25">
      <c r="A6075" s="65">
        <v>6074</v>
      </c>
      <c r="B6075" s="64">
        <v>29157145.364969749</v>
      </c>
    </row>
    <row r="6076" spans="1:2" x14ac:dyDescent="0.25">
      <c r="A6076" s="65">
        <v>6075</v>
      </c>
      <c r="B6076" s="64">
        <v>28791900.636340939</v>
      </c>
    </row>
    <row r="6077" spans="1:2" x14ac:dyDescent="0.25">
      <c r="A6077" s="65">
        <v>6076</v>
      </c>
      <c r="B6077" s="64">
        <v>30318958.069338221</v>
      </c>
    </row>
    <row r="6078" spans="1:2" x14ac:dyDescent="0.25">
      <c r="A6078" s="65">
        <v>6077</v>
      </c>
      <c r="B6078" s="64">
        <v>28692637.368017428</v>
      </c>
    </row>
    <row r="6079" spans="1:2" x14ac:dyDescent="0.25">
      <c r="A6079" s="65">
        <v>6078</v>
      </c>
      <c r="B6079" s="64">
        <v>28901224.390845925</v>
      </c>
    </row>
    <row r="6080" spans="1:2" x14ac:dyDescent="0.25">
      <c r="A6080" s="65">
        <v>6079</v>
      </c>
      <c r="B6080" s="64">
        <v>30898513.659205899</v>
      </c>
    </row>
    <row r="6081" spans="1:2" x14ac:dyDescent="0.25">
      <c r="A6081" s="65">
        <v>6080</v>
      </c>
      <c r="B6081" s="64">
        <v>29857732.667962525</v>
      </c>
    </row>
    <row r="6082" spans="1:2" x14ac:dyDescent="0.25">
      <c r="A6082" s="65">
        <v>6081</v>
      </c>
      <c r="B6082" s="64">
        <v>29138823.085042149</v>
      </c>
    </row>
    <row r="6083" spans="1:2" x14ac:dyDescent="0.25">
      <c r="A6083" s="65">
        <v>6082</v>
      </c>
      <c r="B6083" s="64">
        <v>30610883.137810711</v>
      </c>
    </row>
    <row r="6084" spans="1:2" x14ac:dyDescent="0.25">
      <c r="A6084" s="65">
        <v>6083</v>
      </c>
      <c r="B6084" s="64">
        <v>28980217.283114139</v>
      </c>
    </row>
    <row r="6085" spans="1:2" x14ac:dyDescent="0.25">
      <c r="A6085" s="65">
        <v>6084</v>
      </c>
      <c r="B6085" s="64">
        <v>28662816.041309908</v>
      </c>
    </row>
    <row r="6086" spans="1:2" x14ac:dyDescent="0.25">
      <c r="A6086" s="65">
        <v>6085</v>
      </c>
      <c r="B6086" s="64">
        <v>29227623.588177446</v>
      </c>
    </row>
    <row r="6087" spans="1:2" x14ac:dyDescent="0.25">
      <c r="A6087" s="65">
        <v>6086</v>
      </c>
      <c r="B6087" s="64">
        <v>28938124.068255045</v>
      </c>
    </row>
    <row r="6088" spans="1:2" x14ac:dyDescent="0.25">
      <c r="A6088" s="65">
        <v>6087</v>
      </c>
      <c r="B6088" s="64">
        <v>28880822.112496935</v>
      </c>
    </row>
    <row r="6089" spans="1:2" x14ac:dyDescent="0.25">
      <c r="A6089" s="65">
        <v>6088</v>
      </c>
      <c r="B6089" s="64">
        <v>29568259.371772535</v>
      </c>
    </row>
    <row r="6090" spans="1:2" x14ac:dyDescent="0.25">
      <c r="A6090" s="65">
        <v>6089</v>
      </c>
      <c r="B6090" s="64">
        <v>30181126.194057625</v>
      </c>
    </row>
    <row r="6091" spans="1:2" x14ac:dyDescent="0.25">
      <c r="A6091" s="65">
        <v>6090</v>
      </c>
      <c r="B6091" s="64">
        <v>29184986.505531479</v>
      </c>
    </row>
    <row r="6092" spans="1:2" x14ac:dyDescent="0.25">
      <c r="A6092" s="65">
        <v>6091</v>
      </c>
      <c r="B6092" s="64">
        <v>29340204.344488371</v>
      </c>
    </row>
    <row r="6093" spans="1:2" x14ac:dyDescent="0.25">
      <c r="A6093" s="65">
        <v>6092</v>
      </c>
      <c r="B6093" s="64">
        <v>28536440.122115009</v>
      </c>
    </row>
    <row r="6094" spans="1:2" x14ac:dyDescent="0.25">
      <c r="A6094" s="65">
        <v>6093</v>
      </c>
      <c r="B6094" s="64">
        <v>28667596.590744354</v>
      </c>
    </row>
    <row r="6095" spans="1:2" x14ac:dyDescent="0.25">
      <c r="A6095" s="65">
        <v>6094</v>
      </c>
      <c r="B6095" s="64">
        <v>28749136.586677451</v>
      </c>
    </row>
    <row r="6096" spans="1:2" x14ac:dyDescent="0.25">
      <c r="A6096" s="65">
        <v>6095</v>
      </c>
      <c r="B6096" s="64">
        <v>33221832.530615117</v>
      </c>
    </row>
    <row r="6097" spans="1:2" x14ac:dyDescent="0.25">
      <c r="A6097" s="65">
        <v>6096</v>
      </c>
      <c r="B6097" s="64">
        <v>28656204.720785465</v>
      </c>
    </row>
    <row r="6098" spans="1:2" x14ac:dyDescent="0.25">
      <c r="A6098" s="65">
        <v>6097</v>
      </c>
      <c r="B6098" s="64">
        <v>28568583.74407893</v>
      </c>
    </row>
    <row r="6099" spans="1:2" x14ac:dyDescent="0.25">
      <c r="A6099" s="65">
        <v>6098</v>
      </c>
      <c r="B6099" s="64">
        <v>33530363.778529763</v>
      </c>
    </row>
    <row r="6100" spans="1:2" x14ac:dyDescent="0.25">
      <c r="A6100" s="65">
        <v>6099</v>
      </c>
      <c r="B6100" s="64">
        <v>29219156.826909747</v>
      </c>
    </row>
    <row r="6101" spans="1:2" x14ac:dyDescent="0.25">
      <c r="A6101" s="65">
        <v>6100</v>
      </c>
      <c r="B6101" s="64">
        <v>29836684.788982343</v>
      </c>
    </row>
    <row r="6102" spans="1:2" x14ac:dyDescent="0.25">
      <c r="A6102" s="65">
        <v>6101</v>
      </c>
      <c r="B6102" s="64">
        <v>31388570.229097642</v>
      </c>
    </row>
    <row r="6103" spans="1:2" x14ac:dyDescent="0.25">
      <c r="A6103" s="65">
        <v>6102</v>
      </c>
      <c r="B6103" s="64">
        <v>29851596.997638941</v>
      </c>
    </row>
    <row r="6104" spans="1:2" x14ac:dyDescent="0.25">
      <c r="A6104" s="65">
        <v>6103</v>
      </c>
      <c r="B6104" s="64">
        <v>29497317.50232083</v>
      </c>
    </row>
    <row r="6105" spans="1:2" x14ac:dyDescent="0.25">
      <c r="A6105" s="65">
        <v>6104</v>
      </c>
      <c r="B6105" s="64">
        <v>28751801.380168993</v>
      </c>
    </row>
    <row r="6106" spans="1:2" x14ac:dyDescent="0.25">
      <c r="A6106" s="65">
        <v>6105</v>
      </c>
      <c r="B6106" s="64">
        <v>29696757.060796406</v>
      </c>
    </row>
    <row r="6107" spans="1:2" x14ac:dyDescent="0.25">
      <c r="A6107" s="65">
        <v>6106</v>
      </c>
      <c r="B6107" s="64">
        <v>28907283.994578619</v>
      </c>
    </row>
    <row r="6108" spans="1:2" x14ac:dyDescent="0.25">
      <c r="A6108" s="65">
        <v>6107</v>
      </c>
      <c r="B6108" s="64">
        <v>29535096.453277003</v>
      </c>
    </row>
    <row r="6109" spans="1:2" x14ac:dyDescent="0.25">
      <c r="A6109" s="65">
        <v>6108</v>
      </c>
      <c r="B6109" s="64">
        <v>29889258.096591685</v>
      </c>
    </row>
    <row r="6110" spans="1:2" x14ac:dyDescent="0.25">
      <c r="A6110" s="65">
        <v>6109</v>
      </c>
      <c r="B6110" s="64">
        <v>28835610.75634006</v>
      </c>
    </row>
    <row r="6111" spans="1:2" x14ac:dyDescent="0.25">
      <c r="A6111" s="65">
        <v>6110</v>
      </c>
      <c r="B6111" s="64">
        <v>29921108.45276203</v>
      </c>
    </row>
    <row r="6112" spans="1:2" x14ac:dyDescent="0.25">
      <c r="A6112" s="65">
        <v>6111</v>
      </c>
      <c r="B6112" s="64">
        <v>28736938.750276253</v>
      </c>
    </row>
    <row r="6113" spans="1:2" x14ac:dyDescent="0.25">
      <c r="A6113" s="65">
        <v>6112</v>
      </c>
      <c r="B6113" s="64">
        <v>29989770.959854681</v>
      </c>
    </row>
    <row r="6114" spans="1:2" x14ac:dyDescent="0.25">
      <c r="A6114" s="65">
        <v>6113</v>
      </c>
      <c r="B6114" s="64">
        <v>29991462.657024365</v>
      </c>
    </row>
    <row r="6115" spans="1:2" x14ac:dyDescent="0.25">
      <c r="A6115" s="65">
        <v>6114</v>
      </c>
      <c r="B6115" s="64">
        <v>30899939.510828365</v>
      </c>
    </row>
    <row r="6116" spans="1:2" x14ac:dyDescent="0.25">
      <c r="A6116" s="65">
        <v>6115</v>
      </c>
      <c r="B6116" s="64">
        <v>29137620.134109352</v>
      </c>
    </row>
    <row r="6117" spans="1:2" x14ac:dyDescent="0.25">
      <c r="A6117" s="65">
        <v>6116</v>
      </c>
      <c r="B6117" s="64">
        <v>28541652.776165344</v>
      </c>
    </row>
    <row r="6118" spans="1:2" x14ac:dyDescent="0.25">
      <c r="A6118" s="65">
        <v>6117</v>
      </c>
      <c r="B6118" s="64">
        <v>28898745.139581624</v>
      </c>
    </row>
    <row r="6119" spans="1:2" x14ac:dyDescent="0.25">
      <c r="A6119" s="65">
        <v>6118</v>
      </c>
      <c r="B6119" s="64">
        <v>29289331.768429887</v>
      </c>
    </row>
    <row r="6120" spans="1:2" x14ac:dyDescent="0.25">
      <c r="A6120" s="65">
        <v>6119</v>
      </c>
      <c r="B6120" s="64">
        <v>29579995.944294222</v>
      </c>
    </row>
    <row r="6121" spans="1:2" x14ac:dyDescent="0.25">
      <c r="A6121" s="65">
        <v>6120</v>
      </c>
      <c r="B6121" s="64">
        <v>30795557.687178198</v>
      </c>
    </row>
    <row r="6122" spans="1:2" x14ac:dyDescent="0.25">
      <c r="A6122" s="65">
        <v>6121</v>
      </c>
      <c r="B6122" s="64">
        <v>28687407.499993332</v>
      </c>
    </row>
    <row r="6123" spans="1:2" x14ac:dyDescent="0.25">
      <c r="A6123" s="65">
        <v>6122</v>
      </c>
      <c r="B6123" s="64">
        <v>29994122.265119098</v>
      </c>
    </row>
    <row r="6124" spans="1:2" x14ac:dyDescent="0.25">
      <c r="A6124" s="65">
        <v>6123</v>
      </c>
      <c r="B6124" s="64">
        <v>28713864.647301018</v>
      </c>
    </row>
    <row r="6125" spans="1:2" x14ac:dyDescent="0.25">
      <c r="A6125" s="65">
        <v>6124</v>
      </c>
      <c r="B6125" s="64">
        <v>29951886.326861881</v>
      </c>
    </row>
    <row r="6126" spans="1:2" x14ac:dyDescent="0.25">
      <c r="A6126" s="65">
        <v>6125</v>
      </c>
      <c r="B6126" s="64">
        <v>28533270.081115697</v>
      </c>
    </row>
    <row r="6127" spans="1:2" x14ac:dyDescent="0.25">
      <c r="A6127" s="65">
        <v>6126</v>
      </c>
      <c r="B6127" s="64">
        <v>28574726.013519928</v>
      </c>
    </row>
    <row r="6128" spans="1:2" x14ac:dyDescent="0.25">
      <c r="A6128" s="65">
        <v>6127</v>
      </c>
      <c r="B6128" s="64">
        <v>28891087.36124029</v>
      </c>
    </row>
    <row r="6129" spans="1:2" x14ac:dyDescent="0.25">
      <c r="A6129" s="65">
        <v>6128</v>
      </c>
      <c r="B6129" s="64">
        <v>29149367.924485534</v>
      </c>
    </row>
    <row r="6130" spans="1:2" x14ac:dyDescent="0.25">
      <c r="A6130" s="65">
        <v>6129</v>
      </c>
      <c r="B6130" s="64">
        <v>29575555.982052047</v>
      </c>
    </row>
    <row r="6131" spans="1:2" x14ac:dyDescent="0.25">
      <c r="A6131" s="65">
        <v>6130</v>
      </c>
      <c r="B6131" s="64">
        <v>29331912.572204828</v>
      </c>
    </row>
    <row r="6132" spans="1:2" x14ac:dyDescent="0.25">
      <c r="A6132" s="65">
        <v>6131</v>
      </c>
      <c r="B6132" s="64">
        <v>29772919.084214944</v>
      </c>
    </row>
    <row r="6133" spans="1:2" x14ac:dyDescent="0.25">
      <c r="A6133" s="65">
        <v>6132</v>
      </c>
      <c r="B6133" s="64">
        <v>29987860.309472434</v>
      </c>
    </row>
    <row r="6134" spans="1:2" x14ac:dyDescent="0.25">
      <c r="A6134" s="65">
        <v>6133</v>
      </c>
      <c r="B6134" s="64">
        <v>28583612.282393001</v>
      </c>
    </row>
    <row r="6135" spans="1:2" x14ac:dyDescent="0.25">
      <c r="A6135" s="65">
        <v>6134</v>
      </c>
      <c r="B6135" s="64">
        <v>28534218.296506982</v>
      </c>
    </row>
    <row r="6136" spans="1:2" x14ac:dyDescent="0.25">
      <c r="A6136" s="65">
        <v>6135</v>
      </c>
      <c r="B6136" s="64">
        <v>29479232.154299833</v>
      </c>
    </row>
    <row r="6137" spans="1:2" x14ac:dyDescent="0.25">
      <c r="A6137" s="65">
        <v>6136</v>
      </c>
      <c r="B6137" s="64">
        <v>34010610.988187887</v>
      </c>
    </row>
    <row r="6138" spans="1:2" x14ac:dyDescent="0.25">
      <c r="A6138" s="65">
        <v>6137</v>
      </c>
      <c r="B6138" s="64">
        <v>29231707.033109229</v>
      </c>
    </row>
    <row r="6139" spans="1:2" x14ac:dyDescent="0.25">
      <c r="A6139" s="65">
        <v>6138</v>
      </c>
      <c r="B6139" s="64">
        <v>29480945.204418704</v>
      </c>
    </row>
    <row r="6140" spans="1:2" x14ac:dyDescent="0.25">
      <c r="A6140" s="65">
        <v>6139</v>
      </c>
      <c r="B6140" s="64">
        <v>29783724.471463706</v>
      </c>
    </row>
    <row r="6141" spans="1:2" x14ac:dyDescent="0.25">
      <c r="A6141" s="65">
        <v>6140</v>
      </c>
      <c r="B6141" s="64">
        <v>29719771.423599899</v>
      </c>
    </row>
    <row r="6142" spans="1:2" x14ac:dyDescent="0.25">
      <c r="A6142" s="65">
        <v>6141</v>
      </c>
      <c r="B6142" s="64">
        <v>28821677.726592593</v>
      </c>
    </row>
    <row r="6143" spans="1:2" x14ac:dyDescent="0.25">
      <c r="A6143" s="65">
        <v>6142</v>
      </c>
      <c r="B6143" s="64">
        <v>28742894.74586295</v>
      </c>
    </row>
    <row r="6144" spans="1:2" x14ac:dyDescent="0.25">
      <c r="A6144" s="65">
        <v>6143</v>
      </c>
      <c r="B6144" s="64">
        <v>33136825.607267089</v>
      </c>
    </row>
    <row r="6145" spans="1:2" x14ac:dyDescent="0.25">
      <c r="A6145" s="65">
        <v>6144</v>
      </c>
      <c r="B6145" s="64">
        <v>33340838.011607546</v>
      </c>
    </row>
    <row r="6146" spans="1:2" x14ac:dyDescent="0.25">
      <c r="A6146" s="65">
        <v>6145</v>
      </c>
      <c r="B6146" s="64">
        <v>29127249.674016509</v>
      </c>
    </row>
    <row r="6147" spans="1:2" x14ac:dyDescent="0.25">
      <c r="A6147" s="65">
        <v>6146</v>
      </c>
      <c r="B6147" s="64">
        <v>28954535.07177062</v>
      </c>
    </row>
    <row r="6148" spans="1:2" x14ac:dyDescent="0.25">
      <c r="A6148" s="65">
        <v>6147</v>
      </c>
      <c r="B6148" s="64">
        <v>29070135.527812976</v>
      </c>
    </row>
    <row r="6149" spans="1:2" x14ac:dyDescent="0.25">
      <c r="A6149" s="65">
        <v>6148</v>
      </c>
      <c r="B6149" s="64">
        <v>28806731.588056684</v>
      </c>
    </row>
    <row r="6150" spans="1:2" x14ac:dyDescent="0.25">
      <c r="A6150" s="65">
        <v>6149</v>
      </c>
      <c r="B6150" s="64">
        <v>28961408.924730156</v>
      </c>
    </row>
    <row r="6151" spans="1:2" x14ac:dyDescent="0.25">
      <c r="A6151" s="65">
        <v>6150</v>
      </c>
      <c r="B6151" s="64">
        <v>28917828.784859817</v>
      </c>
    </row>
    <row r="6152" spans="1:2" x14ac:dyDescent="0.25">
      <c r="A6152" s="65">
        <v>6151</v>
      </c>
      <c r="B6152" s="64">
        <v>28663969.218446758</v>
      </c>
    </row>
    <row r="6153" spans="1:2" x14ac:dyDescent="0.25">
      <c r="A6153" s="65">
        <v>6152</v>
      </c>
      <c r="B6153" s="64">
        <v>29166387.912497539</v>
      </c>
    </row>
    <row r="6154" spans="1:2" x14ac:dyDescent="0.25">
      <c r="A6154" s="65">
        <v>6153</v>
      </c>
      <c r="B6154" s="64">
        <v>28841564.394424953</v>
      </c>
    </row>
    <row r="6155" spans="1:2" x14ac:dyDescent="0.25">
      <c r="A6155" s="65">
        <v>6154</v>
      </c>
      <c r="B6155" s="64">
        <v>29221959.510280926</v>
      </c>
    </row>
    <row r="6156" spans="1:2" x14ac:dyDescent="0.25">
      <c r="A6156" s="65">
        <v>6155</v>
      </c>
      <c r="B6156" s="64">
        <v>28723050.193523068</v>
      </c>
    </row>
    <row r="6157" spans="1:2" x14ac:dyDescent="0.25">
      <c r="A6157" s="65">
        <v>6156</v>
      </c>
      <c r="B6157" s="64">
        <v>28722384.183038298</v>
      </c>
    </row>
    <row r="6158" spans="1:2" x14ac:dyDescent="0.25">
      <c r="A6158" s="65">
        <v>6157</v>
      </c>
      <c r="B6158" s="64">
        <v>33754949.149022989</v>
      </c>
    </row>
    <row r="6159" spans="1:2" x14ac:dyDescent="0.25">
      <c r="A6159" s="65">
        <v>6158</v>
      </c>
      <c r="B6159" s="64">
        <v>30437696.547792237</v>
      </c>
    </row>
    <row r="6160" spans="1:2" x14ac:dyDescent="0.25">
      <c r="A6160" s="65">
        <v>6159</v>
      </c>
      <c r="B6160" s="64">
        <v>29687791.103537895</v>
      </c>
    </row>
    <row r="6161" spans="1:2" x14ac:dyDescent="0.25">
      <c r="A6161" s="65">
        <v>6160</v>
      </c>
      <c r="B6161" s="64">
        <v>28812985.103758086</v>
      </c>
    </row>
    <row r="6162" spans="1:2" x14ac:dyDescent="0.25">
      <c r="A6162" s="65">
        <v>6161</v>
      </c>
      <c r="B6162" s="64">
        <v>29268536.959529601</v>
      </c>
    </row>
    <row r="6163" spans="1:2" x14ac:dyDescent="0.25">
      <c r="A6163" s="65">
        <v>6162</v>
      </c>
      <c r="B6163" s="64">
        <v>29612663.941955868</v>
      </c>
    </row>
    <row r="6164" spans="1:2" x14ac:dyDescent="0.25">
      <c r="A6164" s="65">
        <v>6163</v>
      </c>
      <c r="B6164" s="64">
        <v>28802484.206156891</v>
      </c>
    </row>
    <row r="6165" spans="1:2" x14ac:dyDescent="0.25">
      <c r="A6165" s="65">
        <v>6164</v>
      </c>
      <c r="B6165" s="64">
        <v>30728908.33555311</v>
      </c>
    </row>
    <row r="6166" spans="1:2" x14ac:dyDescent="0.25">
      <c r="A6166" s="65">
        <v>6165</v>
      </c>
      <c r="B6166" s="64">
        <v>29342475.142430376</v>
      </c>
    </row>
    <row r="6167" spans="1:2" x14ac:dyDescent="0.25">
      <c r="A6167" s="65">
        <v>6166</v>
      </c>
      <c r="B6167" s="64">
        <v>29004055.707493495</v>
      </c>
    </row>
    <row r="6168" spans="1:2" x14ac:dyDescent="0.25">
      <c r="A6168" s="65">
        <v>6167</v>
      </c>
      <c r="B6168" s="64">
        <v>33691895.544604465</v>
      </c>
    </row>
    <row r="6169" spans="1:2" x14ac:dyDescent="0.25">
      <c r="A6169" s="65">
        <v>6168</v>
      </c>
      <c r="B6169" s="64">
        <v>33077504.604160763</v>
      </c>
    </row>
    <row r="6170" spans="1:2" x14ac:dyDescent="0.25">
      <c r="A6170" s="65">
        <v>6169</v>
      </c>
      <c r="B6170" s="64">
        <v>29486932.925517909</v>
      </c>
    </row>
    <row r="6171" spans="1:2" x14ac:dyDescent="0.25">
      <c r="A6171" s="65">
        <v>6170</v>
      </c>
      <c r="B6171" s="64">
        <v>29134699.194516804</v>
      </c>
    </row>
    <row r="6172" spans="1:2" x14ac:dyDescent="0.25">
      <c r="A6172" s="65">
        <v>6171</v>
      </c>
      <c r="B6172" s="64">
        <v>29427653.891126603</v>
      </c>
    </row>
    <row r="6173" spans="1:2" x14ac:dyDescent="0.25">
      <c r="A6173" s="65">
        <v>6172</v>
      </c>
      <c r="B6173" s="64">
        <v>28699003.641734675</v>
      </c>
    </row>
    <row r="6174" spans="1:2" x14ac:dyDescent="0.25">
      <c r="A6174" s="65">
        <v>6173</v>
      </c>
      <c r="B6174" s="64">
        <v>28883633.049264248</v>
      </c>
    </row>
    <row r="6175" spans="1:2" x14ac:dyDescent="0.25">
      <c r="A6175" s="65">
        <v>6174</v>
      </c>
      <c r="B6175" s="64">
        <v>29575637.884644981</v>
      </c>
    </row>
    <row r="6176" spans="1:2" x14ac:dyDescent="0.25">
      <c r="A6176" s="65">
        <v>6175</v>
      </c>
      <c r="B6176" s="64">
        <v>30134923.988121308</v>
      </c>
    </row>
    <row r="6177" spans="1:2" x14ac:dyDescent="0.25">
      <c r="A6177" s="65">
        <v>6176</v>
      </c>
      <c r="B6177" s="64">
        <v>29180648.198743362</v>
      </c>
    </row>
    <row r="6178" spans="1:2" x14ac:dyDescent="0.25">
      <c r="A6178" s="65">
        <v>6177</v>
      </c>
      <c r="B6178" s="64">
        <v>29015806.824442536</v>
      </c>
    </row>
    <row r="6179" spans="1:2" x14ac:dyDescent="0.25">
      <c r="A6179" s="65">
        <v>6178</v>
      </c>
      <c r="B6179" s="64">
        <v>33361699.12487248</v>
      </c>
    </row>
    <row r="6180" spans="1:2" x14ac:dyDescent="0.25">
      <c r="A6180" s="65">
        <v>6179</v>
      </c>
      <c r="B6180" s="64">
        <v>28740741.516737908</v>
      </c>
    </row>
    <row r="6181" spans="1:2" x14ac:dyDescent="0.25">
      <c r="A6181" s="65">
        <v>6180</v>
      </c>
      <c r="B6181" s="64">
        <v>32718235.562172666</v>
      </c>
    </row>
    <row r="6182" spans="1:2" x14ac:dyDescent="0.25">
      <c r="A6182" s="65">
        <v>6181</v>
      </c>
      <c r="B6182" s="64">
        <v>29852547.769260418</v>
      </c>
    </row>
    <row r="6183" spans="1:2" x14ac:dyDescent="0.25">
      <c r="A6183" s="65">
        <v>6182</v>
      </c>
      <c r="B6183" s="64">
        <v>29222197.474973563</v>
      </c>
    </row>
    <row r="6184" spans="1:2" x14ac:dyDescent="0.25">
      <c r="A6184" s="65">
        <v>6183</v>
      </c>
      <c r="B6184" s="64">
        <v>29708193.555947281</v>
      </c>
    </row>
    <row r="6185" spans="1:2" x14ac:dyDescent="0.25">
      <c r="A6185" s="65">
        <v>6184</v>
      </c>
      <c r="B6185" s="64">
        <v>28716823.683850449</v>
      </c>
    </row>
    <row r="6186" spans="1:2" x14ac:dyDescent="0.25">
      <c r="A6186" s="65">
        <v>6185</v>
      </c>
      <c r="B6186" s="64">
        <v>28669828.413349856</v>
      </c>
    </row>
    <row r="6187" spans="1:2" x14ac:dyDescent="0.25">
      <c r="A6187" s="65">
        <v>6186</v>
      </c>
      <c r="B6187" s="64">
        <v>28888987.647983521</v>
      </c>
    </row>
    <row r="6188" spans="1:2" x14ac:dyDescent="0.25">
      <c r="A6188" s="65">
        <v>6187</v>
      </c>
      <c r="B6188" s="64">
        <v>29377783.06330011</v>
      </c>
    </row>
    <row r="6189" spans="1:2" x14ac:dyDescent="0.25">
      <c r="A6189" s="65">
        <v>6188</v>
      </c>
      <c r="B6189" s="64">
        <v>28510835.852102138</v>
      </c>
    </row>
    <row r="6190" spans="1:2" x14ac:dyDescent="0.25">
      <c r="A6190" s="65">
        <v>6189</v>
      </c>
      <c r="B6190" s="64">
        <v>29028773.011997893</v>
      </c>
    </row>
    <row r="6191" spans="1:2" x14ac:dyDescent="0.25">
      <c r="A6191" s="65">
        <v>6190</v>
      </c>
      <c r="B6191" s="64">
        <v>28664252.799660783</v>
      </c>
    </row>
    <row r="6192" spans="1:2" x14ac:dyDescent="0.25">
      <c r="A6192" s="65">
        <v>6191</v>
      </c>
      <c r="B6192" s="64">
        <v>29194715.197266649</v>
      </c>
    </row>
    <row r="6193" spans="1:2" x14ac:dyDescent="0.25">
      <c r="A6193" s="65">
        <v>6192</v>
      </c>
      <c r="B6193" s="64">
        <v>30413095.433153853</v>
      </c>
    </row>
    <row r="6194" spans="1:2" x14ac:dyDescent="0.25">
      <c r="A6194" s="65">
        <v>6193</v>
      </c>
      <c r="B6194" s="64">
        <v>29124397.219290148</v>
      </c>
    </row>
    <row r="6195" spans="1:2" x14ac:dyDescent="0.25">
      <c r="A6195" s="65">
        <v>6194</v>
      </c>
      <c r="B6195" s="64">
        <v>28853678.623039324</v>
      </c>
    </row>
    <row r="6196" spans="1:2" x14ac:dyDescent="0.25">
      <c r="A6196" s="65">
        <v>6195</v>
      </c>
      <c r="B6196" s="64">
        <v>30740072.381499678</v>
      </c>
    </row>
    <row r="6197" spans="1:2" x14ac:dyDescent="0.25">
      <c r="A6197" s="65">
        <v>6196</v>
      </c>
      <c r="B6197" s="64">
        <v>28918709.951661631</v>
      </c>
    </row>
    <row r="6198" spans="1:2" x14ac:dyDescent="0.25">
      <c r="A6198" s="65">
        <v>6197</v>
      </c>
      <c r="B6198" s="64">
        <v>28476865.379161403</v>
      </c>
    </row>
    <row r="6199" spans="1:2" x14ac:dyDescent="0.25">
      <c r="A6199" s="65">
        <v>6198</v>
      </c>
      <c r="B6199" s="64">
        <v>28593423.431126118</v>
      </c>
    </row>
    <row r="6200" spans="1:2" x14ac:dyDescent="0.25">
      <c r="A6200" s="65">
        <v>6199</v>
      </c>
      <c r="B6200" s="64">
        <v>29069424.516534146</v>
      </c>
    </row>
    <row r="6201" spans="1:2" x14ac:dyDescent="0.25">
      <c r="A6201" s="65">
        <v>6200</v>
      </c>
      <c r="B6201" s="64">
        <v>29344977.391674481</v>
      </c>
    </row>
    <row r="6202" spans="1:2" x14ac:dyDescent="0.25">
      <c r="A6202" s="65">
        <v>6201</v>
      </c>
      <c r="B6202" s="64">
        <v>29800271.999811612</v>
      </c>
    </row>
    <row r="6203" spans="1:2" x14ac:dyDescent="0.25">
      <c r="A6203" s="65">
        <v>6202</v>
      </c>
      <c r="B6203" s="64">
        <v>29552394.764670733</v>
      </c>
    </row>
    <row r="6204" spans="1:2" x14ac:dyDescent="0.25">
      <c r="A6204" s="65">
        <v>6203</v>
      </c>
      <c r="B6204" s="64">
        <v>28826142.556343302</v>
      </c>
    </row>
    <row r="6205" spans="1:2" x14ac:dyDescent="0.25">
      <c r="A6205" s="65">
        <v>6204</v>
      </c>
      <c r="B6205" s="64">
        <v>29119627.764993805</v>
      </c>
    </row>
    <row r="6206" spans="1:2" x14ac:dyDescent="0.25">
      <c r="A6206" s="65">
        <v>6205</v>
      </c>
      <c r="B6206" s="64">
        <v>29632663.416434359</v>
      </c>
    </row>
    <row r="6207" spans="1:2" x14ac:dyDescent="0.25">
      <c r="A6207" s="65">
        <v>6206</v>
      </c>
      <c r="B6207" s="64">
        <v>29759020.486416977</v>
      </c>
    </row>
    <row r="6208" spans="1:2" x14ac:dyDescent="0.25">
      <c r="A6208" s="65">
        <v>6207</v>
      </c>
      <c r="B6208" s="64">
        <v>29245044.562672097</v>
      </c>
    </row>
    <row r="6209" spans="1:2" x14ac:dyDescent="0.25">
      <c r="A6209" s="65">
        <v>6208</v>
      </c>
      <c r="B6209" s="64">
        <v>28673691.176973041</v>
      </c>
    </row>
    <row r="6210" spans="1:2" x14ac:dyDescent="0.25">
      <c r="A6210" s="65">
        <v>6209</v>
      </c>
      <c r="B6210" s="64">
        <v>28313910.397041202</v>
      </c>
    </row>
    <row r="6211" spans="1:2" x14ac:dyDescent="0.25">
      <c r="A6211" s="65">
        <v>6210</v>
      </c>
      <c r="B6211" s="64">
        <v>28789328.594725147</v>
      </c>
    </row>
    <row r="6212" spans="1:2" x14ac:dyDescent="0.25">
      <c r="A6212" s="65">
        <v>6211</v>
      </c>
      <c r="B6212" s="64">
        <v>28982736.574333567</v>
      </c>
    </row>
    <row r="6213" spans="1:2" x14ac:dyDescent="0.25">
      <c r="A6213" s="65">
        <v>6212</v>
      </c>
      <c r="B6213" s="64">
        <v>29324649.240428209</v>
      </c>
    </row>
    <row r="6214" spans="1:2" x14ac:dyDescent="0.25">
      <c r="A6214" s="65">
        <v>6213</v>
      </c>
      <c r="B6214" s="64">
        <v>29300335.202463228</v>
      </c>
    </row>
    <row r="6215" spans="1:2" x14ac:dyDescent="0.25">
      <c r="A6215" s="65">
        <v>6214</v>
      </c>
      <c r="B6215" s="64">
        <v>29192065.273404241</v>
      </c>
    </row>
    <row r="6216" spans="1:2" x14ac:dyDescent="0.25">
      <c r="A6216" s="65">
        <v>6215</v>
      </c>
      <c r="B6216" s="64">
        <v>28913652.33615559</v>
      </c>
    </row>
    <row r="6217" spans="1:2" x14ac:dyDescent="0.25">
      <c r="A6217" s="65">
        <v>6216</v>
      </c>
      <c r="B6217" s="64">
        <v>29648214.357402027</v>
      </c>
    </row>
    <row r="6218" spans="1:2" x14ac:dyDescent="0.25">
      <c r="A6218" s="65">
        <v>6217</v>
      </c>
      <c r="B6218" s="64">
        <v>28827628.537586864</v>
      </c>
    </row>
    <row r="6219" spans="1:2" x14ac:dyDescent="0.25">
      <c r="A6219" s="65">
        <v>6218</v>
      </c>
      <c r="B6219" s="64">
        <v>28649439.327167142</v>
      </c>
    </row>
    <row r="6220" spans="1:2" x14ac:dyDescent="0.25">
      <c r="A6220" s="65">
        <v>6219</v>
      </c>
      <c r="B6220" s="64">
        <v>28590970.84493944</v>
      </c>
    </row>
    <row r="6221" spans="1:2" x14ac:dyDescent="0.25">
      <c r="A6221" s="65">
        <v>6220</v>
      </c>
      <c r="B6221" s="64">
        <v>31082141.940957017</v>
      </c>
    </row>
    <row r="6222" spans="1:2" x14ac:dyDescent="0.25">
      <c r="A6222" s="65">
        <v>6221</v>
      </c>
      <c r="B6222" s="64">
        <v>29642391.336092804</v>
      </c>
    </row>
    <row r="6223" spans="1:2" x14ac:dyDescent="0.25">
      <c r="A6223" s="65">
        <v>6222</v>
      </c>
      <c r="B6223" s="64">
        <v>28625165.109744694</v>
      </c>
    </row>
    <row r="6224" spans="1:2" x14ac:dyDescent="0.25">
      <c r="A6224" s="65">
        <v>6223</v>
      </c>
      <c r="B6224" s="64">
        <v>28630962.737339254</v>
      </c>
    </row>
    <row r="6225" spans="1:2" x14ac:dyDescent="0.25">
      <c r="A6225" s="65">
        <v>6224</v>
      </c>
      <c r="B6225" s="64">
        <v>28824579.53222676</v>
      </c>
    </row>
    <row r="6226" spans="1:2" x14ac:dyDescent="0.25">
      <c r="A6226" s="65">
        <v>6225</v>
      </c>
      <c r="B6226" s="64">
        <v>29011041.646309346</v>
      </c>
    </row>
    <row r="6227" spans="1:2" x14ac:dyDescent="0.25">
      <c r="A6227" s="65">
        <v>6226</v>
      </c>
      <c r="B6227" s="64">
        <v>29015983.985643838</v>
      </c>
    </row>
    <row r="6228" spans="1:2" x14ac:dyDescent="0.25">
      <c r="A6228" s="65">
        <v>6227</v>
      </c>
      <c r="B6228" s="64">
        <v>28772953.476341899</v>
      </c>
    </row>
    <row r="6229" spans="1:2" x14ac:dyDescent="0.25">
      <c r="A6229" s="65">
        <v>6228</v>
      </c>
      <c r="B6229" s="64">
        <v>28812233.743223365</v>
      </c>
    </row>
    <row r="6230" spans="1:2" x14ac:dyDescent="0.25">
      <c r="A6230" s="65">
        <v>6229</v>
      </c>
      <c r="B6230" s="64">
        <v>29444301.503536664</v>
      </c>
    </row>
    <row r="6231" spans="1:2" x14ac:dyDescent="0.25">
      <c r="A6231" s="65">
        <v>6230</v>
      </c>
      <c r="B6231" s="64">
        <v>28688706.833064917</v>
      </c>
    </row>
    <row r="6232" spans="1:2" x14ac:dyDescent="0.25">
      <c r="A6232" s="65">
        <v>6231</v>
      </c>
      <c r="B6232" s="64">
        <v>29406789.488188915</v>
      </c>
    </row>
    <row r="6233" spans="1:2" x14ac:dyDescent="0.25">
      <c r="A6233" s="65">
        <v>6232</v>
      </c>
      <c r="B6233" s="64">
        <v>28742933.512689073</v>
      </c>
    </row>
    <row r="6234" spans="1:2" x14ac:dyDescent="0.25">
      <c r="A6234" s="65">
        <v>6233</v>
      </c>
      <c r="B6234" s="64">
        <v>28484971.697776023</v>
      </c>
    </row>
    <row r="6235" spans="1:2" x14ac:dyDescent="0.25">
      <c r="A6235" s="65">
        <v>6234</v>
      </c>
      <c r="B6235" s="64">
        <v>28763415.042942666</v>
      </c>
    </row>
    <row r="6236" spans="1:2" x14ac:dyDescent="0.25">
      <c r="A6236" s="65">
        <v>6235</v>
      </c>
      <c r="B6236" s="64">
        <v>30497348.227739066</v>
      </c>
    </row>
    <row r="6237" spans="1:2" x14ac:dyDescent="0.25">
      <c r="A6237" s="65">
        <v>6236</v>
      </c>
      <c r="B6237" s="64">
        <v>29322601.44821069</v>
      </c>
    </row>
    <row r="6238" spans="1:2" x14ac:dyDescent="0.25">
      <c r="A6238" s="65">
        <v>6237</v>
      </c>
      <c r="B6238" s="64">
        <v>30500242.194130532</v>
      </c>
    </row>
    <row r="6239" spans="1:2" x14ac:dyDescent="0.25">
      <c r="A6239" s="65">
        <v>6238</v>
      </c>
      <c r="B6239" s="64">
        <v>28769563.391792376</v>
      </c>
    </row>
    <row r="6240" spans="1:2" x14ac:dyDescent="0.25">
      <c r="A6240" s="65">
        <v>6239</v>
      </c>
      <c r="B6240" s="64">
        <v>29064961.05944882</v>
      </c>
    </row>
    <row r="6241" spans="1:2" x14ac:dyDescent="0.25">
      <c r="A6241" s="65">
        <v>6240</v>
      </c>
      <c r="B6241" s="64">
        <v>28538457.499091148</v>
      </c>
    </row>
    <row r="6242" spans="1:2" x14ac:dyDescent="0.25">
      <c r="A6242" s="65">
        <v>6241</v>
      </c>
      <c r="B6242" s="64">
        <v>29179727.783380151</v>
      </c>
    </row>
    <row r="6243" spans="1:2" x14ac:dyDescent="0.25">
      <c r="A6243" s="65">
        <v>6242</v>
      </c>
      <c r="B6243" s="64">
        <v>29700398.744471733</v>
      </c>
    </row>
    <row r="6244" spans="1:2" x14ac:dyDescent="0.25">
      <c r="A6244" s="65">
        <v>6243</v>
      </c>
      <c r="B6244" s="64">
        <v>28632931.334239058</v>
      </c>
    </row>
    <row r="6245" spans="1:2" x14ac:dyDescent="0.25">
      <c r="A6245" s="65">
        <v>6244</v>
      </c>
      <c r="B6245" s="64">
        <v>29396474.477051929</v>
      </c>
    </row>
    <row r="6246" spans="1:2" x14ac:dyDescent="0.25">
      <c r="A6246" s="65">
        <v>6245</v>
      </c>
      <c r="B6246" s="64">
        <v>29164974.692102872</v>
      </c>
    </row>
    <row r="6247" spans="1:2" x14ac:dyDescent="0.25">
      <c r="A6247" s="65">
        <v>6246</v>
      </c>
      <c r="B6247" s="64">
        <v>28717145.350549176</v>
      </c>
    </row>
    <row r="6248" spans="1:2" x14ac:dyDescent="0.25">
      <c r="A6248" s="65">
        <v>6247</v>
      </c>
      <c r="B6248" s="64">
        <v>28887426.259826455</v>
      </c>
    </row>
    <row r="6249" spans="1:2" x14ac:dyDescent="0.25">
      <c r="A6249" s="65">
        <v>6248</v>
      </c>
      <c r="B6249" s="64">
        <v>29513813.318855464</v>
      </c>
    </row>
    <row r="6250" spans="1:2" x14ac:dyDescent="0.25">
      <c r="A6250" s="65">
        <v>6249</v>
      </c>
      <c r="B6250" s="64">
        <v>34009102.682450898</v>
      </c>
    </row>
    <row r="6251" spans="1:2" x14ac:dyDescent="0.25">
      <c r="A6251" s="65">
        <v>6250</v>
      </c>
      <c r="B6251" s="64">
        <v>29121965.275992934</v>
      </c>
    </row>
    <row r="6252" spans="1:2" x14ac:dyDescent="0.25">
      <c r="A6252" s="65">
        <v>6251</v>
      </c>
      <c r="B6252" s="64">
        <v>29729271.626284018</v>
      </c>
    </row>
    <row r="6253" spans="1:2" x14ac:dyDescent="0.25">
      <c r="A6253" s="65">
        <v>6252</v>
      </c>
      <c r="B6253" s="64">
        <v>33473173.695205722</v>
      </c>
    </row>
    <row r="6254" spans="1:2" x14ac:dyDescent="0.25">
      <c r="A6254" s="65">
        <v>6253</v>
      </c>
      <c r="B6254" s="64">
        <v>28955086.356158856</v>
      </c>
    </row>
    <row r="6255" spans="1:2" x14ac:dyDescent="0.25">
      <c r="A6255" s="65">
        <v>6254</v>
      </c>
      <c r="B6255" s="64">
        <v>30066184.127521623</v>
      </c>
    </row>
    <row r="6256" spans="1:2" x14ac:dyDescent="0.25">
      <c r="A6256" s="65">
        <v>6255</v>
      </c>
      <c r="B6256" s="64">
        <v>29027768.70981266</v>
      </c>
    </row>
    <row r="6257" spans="1:2" x14ac:dyDescent="0.25">
      <c r="A6257" s="65">
        <v>6256</v>
      </c>
      <c r="B6257" s="64">
        <v>32792999.052081618</v>
      </c>
    </row>
    <row r="6258" spans="1:2" x14ac:dyDescent="0.25">
      <c r="A6258" s="65">
        <v>6257</v>
      </c>
      <c r="B6258" s="64">
        <v>29145734.402777754</v>
      </c>
    </row>
    <row r="6259" spans="1:2" x14ac:dyDescent="0.25">
      <c r="A6259" s="65">
        <v>6258</v>
      </c>
      <c r="B6259" s="64">
        <v>28879351.741818652</v>
      </c>
    </row>
    <row r="6260" spans="1:2" x14ac:dyDescent="0.25">
      <c r="A6260" s="65">
        <v>6259</v>
      </c>
      <c r="B6260" s="64">
        <v>29088147.721750755</v>
      </c>
    </row>
    <row r="6261" spans="1:2" x14ac:dyDescent="0.25">
      <c r="A6261" s="65">
        <v>6260</v>
      </c>
      <c r="B6261" s="64">
        <v>29482624.347643033</v>
      </c>
    </row>
    <row r="6262" spans="1:2" x14ac:dyDescent="0.25">
      <c r="A6262" s="65">
        <v>6261</v>
      </c>
      <c r="B6262" s="64">
        <v>29213596.119019371</v>
      </c>
    </row>
    <row r="6263" spans="1:2" x14ac:dyDescent="0.25">
      <c r="A6263" s="65">
        <v>6262</v>
      </c>
      <c r="B6263" s="64">
        <v>29173401.051162455</v>
      </c>
    </row>
    <row r="6264" spans="1:2" x14ac:dyDescent="0.25">
      <c r="A6264" s="65">
        <v>6263</v>
      </c>
      <c r="B6264" s="64">
        <v>28739517.545198157</v>
      </c>
    </row>
    <row r="6265" spans="1:2" x14ac:dyDescent="0.25">
      <c r="A6265" s="65">
        <v>6264</v>
      </c>
      <c r="B6265" s="64">
        <v>30157792.467492189</v>
      </c>
    </row>
    <row r="6266" spans="1:2" x14ac:dyDescent="0.25">
      <c r="A6266" s="65">
        <v>6265</v>
      </c>
      <c r="B6266" s="64">
        <v>29639176.045983668</v>
      </c>
    </row>
    <row r="6267" spans="1:2" x14ac:dyDescent="0.25">
      <c r="A6267" s="65">
        <v>6266</v>
      </c>
      <c r="B6267" s="64">
        <v>28678147.958051164</v>
      </c>
    </row>
    <row r="6268" spans="1:2" x14ac:dyDescent="0.25">
      <c r="A6268" s="65">
        <v>6267</v>
      </c>
      <c r="B6268" s="64">
        <v>28818297.475119393</v>
      </c>
    </row>
    <row r="6269" spans="1:2" x14ac:dyDescent="0.25">
      <c r="A6269" s="65">
        <v>6268</v>
      </c>
      <c r="B6269" s="64">
        <v>28878768.653936785</v>
      </c>
    </row>
    <row r="6270" spans="1:2" x14ac:dyDescent="0.25">
      <c r="A6270" s="65">
        <v>6269</v>
      </c>
      <c r="B6270" s="64">
        <v>30177472.114163116</v>
      </c>
    </row>
    <row r="6271" spans="1:2" x14ac:dyDescent="0.25">
      <c r="A6271" s="65">
        <v>6270</v>
      </c>
      <c r="B6271" s="64">
        <v>30055667.769337077</v>
      </c>
    </row>
    <row r="6272" spans="1:2" x14ac:dyDescent="0.25">
      <c r="A6272" s="65">
        <v>6271</v>
      </c>
      <c r="B6272" s="64">
        <v>29060816.055445306</v>
      </c>
    </row>
    <row r="6273" spans="1:2" x14ac:dyDescent="0.25">
      <c r="A6273" s="65">
        <v>6272</v>
      </c>
      <c r="B6273" s="64">
        <v>28816967.881132394</v>
      </c>
    </row>
    <row r="6274" spans="1:2" x14ac:dyDescent="0.25">
      <c r="A6274" s="65">
        <v>6273</v>
      </c>
      <c r="B6274" s="64">
        <v>28502527.086712096</v>
      </c>
    </row>
    <row r="6275" spans="1:2" x14ac:dyDescent="0.25">
      <c r="A6275" s="65">
        <v>6274</v>
      </c>
      <c r="B6275" s="64">
        <v>30138691.106073141</v>
      </c>
    </row>
    <row r="6276" spans="1:2" x14ac:dyDescent="0.25">
      <c r="A6276" s="65">
        <v>6275</v>
      </c>
      <c r="B6276" s="64">
        <v>29035883.113782451</v>
      </c>
    </row>
    <row r="6277" spans="1:2" x14ac:dyDescent="0.25">
      <c r="A6277" s="65">
        <v>6276</v>
      </c>
      <c r="B6277" s="64">
        <v>28744475.865359284</v>
      </c>
    </row>
    <row r="6278" spans="1:2" x14ac:dyDescent="0.25">
      <c r="A6278" s="65">
        <v>6277</v>
      </c>
      <c r="B6278" s="64">
        <v>29023342.864106517</v>
      </c>
    </row>
    <row r="6279" spans="1:2" x14ac:dyDescent="0.25">
      <c r="A6279" s="65">
        <v>6278</v>
      </c>
      <c r="B6279" s="64">
        <v>29809546.936205924</v>
      </c>
    </row>
    <row r="6280" spans="1:2" x14ac:dyDescent="0.25">
      <c r="A6280" s="65">
        <v>6279</v>
      </c>
      <c r="B6280" s="64">
        <v>28499494.474655308</v>
      </c>
    </row>
    <row r="6281" spans="1:2" x14ac:dyDescent="0.25">
      <c r="A6281" s="65">
        <v>6280</v>
      </c>
      <c r="B6281" s="64">
        <v>29241919.786405921</v>
      </c>
    </row>
    <row r="6282" spans="1:2" x14ac:dyDescent="0.25">
      <c r="A6282" s="65">
        <v>6281</v>
      </c>
      <c r="B6282" s="64">
        <v>29122011.194660347</v>
      </c>
    </row>
    <row r="6283" spans="1:2" x14ac:dyDescent="0.25">
      <c r="A6283" s="65">
        <v>6282</v>
      </c>
      <c r="B6283" s="64">
        <v>30007927.479093771</v>
      </c>
    </row>
    <row r="6284" spans="1:2" x14ac:dyDescent="0.25">
      <c r="A6284" s="65">
        <v>6283</v>
      </c>
      <c r="B6284" s="64">
        <v>29042061.209975783</v>
      </c>
    </row>
    <row r="6285" spans="1:2" x14ac:dyDescent="0.25">
      <c r="A6285" s="65">
        <v>6284</v>
      </c>
      <c r="B6285" s="64">
        <v>29971708.054329563</v>
      </c>
    </row>
    <row r="6286" spans="1:2" x14ac:dyDescent="0.25">
      <c r="A6286" s="65">
        <v>6285</v>
      </c>
      <c r="B6286" s="64">
        <v>29017317.714876298</v>
      </c>
    </row>
    <row r="6287" spans="1:2" x14ac:dyDescent="0.25">
      <c r="A6287" s="65">
        <v>6286</v>
      </c>
      <c r="B6287" s="64">
        <v>28880210.212249182</v>
      </c>
    </row>
    <row r="6288" spans="1:2" x14ac:dyDescent="0.25">
      <c r="A6288" s="65">
        <v>6287</v>
      </c>
      <c r="B6288" s="64">
        <v>28813063.404070605</v>
      </c>
    </row>
    <row r="6289" spans="1:2" x14ac:dyDescent="0.25">
      <c r="A6289" s="65">
        <v>6288</v>
      </c>
      <c r="B6289" s="64">
        <v>28915984.320670575</v>
      </c>
    </row>
    <row r="6290" spans="1:2" x14ac:dyDescent="0.25">
      <c r="A6290" s="65">
        <v>6289</v>
      </c>
      <c r="B6290" s="64">
        <v>28949096.725856584</v>
      </c>
    </row>
    <row r="6291" spans="1:2" x14ac:dyDescent="0.25">
      <c r="A6291" s="65">
        <v>6290</v>
      </c>
      <c r="B6291" s="64">
        <v>29116891.65198924</v>
      </c>
    </row>
    <row r="6292" spans="1:2" x14ac:dyDescent="0.25">
      <c r="A6292" s="65">
        <v>6291</v>
      </c>
      <c r="B6292" s="64">
        <v>34339748.74098812</v>
      </c>
    </row>
    <row r="6293" spans="1:2" x14ac:dyDescent="0.25">
      <c r="A6293" s="65">
        <v>6292</v>
      </c>
      <c r="B6293" s="64">
        <v>28796350.347664606</v>
      </c>
    </row>
    <row r="6294" spans="1:2" x14ac:dyDescent="0.25">
      <c r="A6294" s="65">
        <v>6293</v>
      </c>
      <c r="B6294" s="64">
        <v>30084706.048013184</v>
      </c>
    </row>
    <row r="6295" spans="1:2" x14ac:dyDescent="0.25">
      <c r="A6295" s="65">
        <v>6294</v>
      </c>
      <c r="B6295" s="64">
        <v>28328171.281268194</v>
      </c>
    </row>
    <row r="6296" spans="1:2" x14ac:dyDescent="0.25">
      <c r="A6296" s="65">
        <v>6295</v>
      </c>
      <c r="B6296" s="64">
        <v>29706124.430640839</v>
      </c>
    </row>
    <row r="6297" spans="1:2" x14ac:dyDescent="0.25">
      <c r="A6297" s="65">
        <v>6296</v>
      </c>
      <c r="B6297" s="64">
        <v>30427560.525146447</v>
      </c>
    </row>
    <row r="6298" spans="1:2" x14ac:dyDescent="0.25">
      <c r="A6298" s="65">
        <v>6297</v>
      </c>
      <c r="B6298" s="64">
        <v>34261480.726817712</v>
      </c>
    </row>
    <row r="6299" spans="1:2" x14ac:dyDescent="0.25">
      <c r="A6299" s="65">
        <v>6298</v>
      </c>
      <c r="B6299" s="64">
        <v>29464475.827320311</v>
      </c>
    </row>
    <row r="6300" spans="1:2" x14ac:dyDescent="0.25">
      <c r="A6300" s="65">
        <v>6299</v>
      </c>
      <c r="B6300" s="64">
        <v>28428932.280414999</v>
      </c>
    </row>
    <row r="6301" spans="1:2" x14ac:dyDescent="0.25">
      <c r="A6301" s="65">
        <v>6300</v>
      </c>
      <c r="B6301" s="64">
        <v>28830329.55488193</v>
      </c>
    </row>
    <row r="6302" spans="1:2" x14ac:dyDescent="0.25">
      <c r="A6302" s="65">
        <v>6301</v>
      </c>
      <c r="B6302" s="64">
        <v>28729661.600028552</v>
      </c>
    </row>
    <row r="6303" spans="1:2" x14ac:dyDescent="0.25">
      <c r="A6303" s="65">
        <v>6302</v>
      </c>
      <c r="B6303" s="64">
        <v>29587533.459513869</v>
      </c>
    </row>
    <row r="6304" spans="1:2" x14ac:dyDescent="0.25">
      <c r="A6304" s="65">
        <v>6303</v>
      </c>
      <c r="B6304" s="64">
        <v>28444729.686705209</v>
      </c>
    </row>
    <row r="6305" spans="1:2" x14ac:dyDescent="0.25">
      <c r="A6305" s="65">
        <v>6304</v>
      </c>
      <c r="B6305" s="64">
        <v>29009530.244215142</v>
      </c>
    </row>
    <row r="6306" spans="1:2" x14ac:dyDescent="0.25">
      <c r="A6306" s="65">
        <v>6305</v>
      </c>
      <c r="B6306" s="64">
        <v>29035812.823514108</v>
      </c>
    </row>
    <row r="6307" spans="1:2" x14ac:dyDescent="0.25">
      <c r="A6307" s="65">
        <v>6306</v>
      </c>
      <c r="B6307" s="64">
        <v>28705573.012969088</v>
      </c>
    </row>
    <row r="6308" spans="1:2" x14ac:dyDescent="0.25">
      <c r="A6308" s="65">
        <v>6307</v>
      </c>
      <c r="B6308" s="64">
        <v>28791481.174899876</v>
      </c>
    </row>
    <row r="6309" spans="1:2" x14ac:dyDescent="0.25">
      <c r="A6309" s="65">
        <v>6308</v>
      </c>
      <c r="B6309" s="64">
        <v>28874823.325969607</v>
      </c>
    </row>
    <row r="6310" spans="1:2" x14ac:dyDescent="0.25">
      <c r="A6310" s="65">
        <v>6309</v>
      </c>
      <c r="B6310" s="64">
        <v>29205584.2410005</v>
      </c>
    </row>
    <row r="6311" spans="1:2" x14ac:dyDescent="0.25">
      <c r="A6311" s="65">
        <v>6310</v>
      </c>
      <c r="B6311" s="64">
        <v>29971104.939547379</v>
      </c>
    </row>
    <row r="6312" spans="1:2" x14ac:dyDescent="0.25">
      <c r="A6312" s="65">
        <v>6311</v>
      </c>
      <c r="B6312" s="64">
        <v>30077667.463711828</v>
      </c>
    </row>
    <row r="6313" spans="1:2" x14ac:dyDescent="0.25">
      <c r="A6313" s="65">
        <v>6312</v>
      </c>
      <c r="B6313" s="64">
        <v>28450528.970832441</v>
      </c>
    </row>
    <row r="6314" spans="1:2" x14ac:dyDescent="0.25">
      <c r="A6314" s="65">
        <v>6313</v>
      </c>
      <c r="B6314" s="64">
        <v>29817180.623229239</v>
      </c>
    </row>
    <row r="6315" spans="1:2" x14ac:dyDescent="0.25">
      <c r="A6315" s="65">
        <v>6314</v>
      </c>
      <c r="B6315" s="64">
        <v>29372471.247281056</v>
      </c>
    </row>
    <row r="6316" spans="1:2" x14ac:dyDescent="0.25">
      <c r="A6316" s="65">
        <v>6315</v>
      </c>
      <c r="B6316" s="64">
        <v>29428690.119334809</v>
      </c>
    </row>
    <row r="6317" spans="1:2" x14ac:dyDescent="0.25">
      <c r="A6317" s="65">
        <v>6316</v>
      </c>
      <c r="B6317" s="64">
        <v>29160825.681177013</v>
      </c>
    </row>
    <row r="6318" spans="1:2" x14ac:dyDescent="0.25">
      <c r="A6318" s="65">
        <v>6317</v>
      </c>
      <c r="B6318" s="64">
        <v>28982068.657781281</v>
      </c>
    </row>
    <row r="6319" spans="1:2" x14ac:dyDescent="0.25">
      <c r="A6319" s="65">
        <v>6318</v>
      </c>
      <c r="B6319" s="64">
        <v>29441663.830542289</v>
      </c>
    </row>
    <row r="6320" spans="1:2" x14ac:dyDescent="0.25">
      <c r="A6320" s="65">
        <v>6319</v>
      </c>
      <c r="B6320" s="64">
        <v>28854639.030099832</v>
      </c>
    </row>
    <row r="6321" spans="1:2" x14ac:dyDescent="0.25">
      <c r="A6321" s="65">
        <v>6320</v>
      </c>
      <c r="B6321" s="64">
        <v>29645721.448077418</v>
      </c>
    </row>
    <row r="6322" spans="1:2" x14ac:dyDescent="0.25">
      <c r="A6322" s="65">
        <v>6321</v>
      </c>
      <c r="B6322" s="64">
        <v>29304313.463694204</v>
      </c>
    </row>
    <row r="6323" spans="1:2" x14ac:dyDescent="0.25">
      <c r="A6323" s="65">
        <v>6322</v>
      </c>
      <c r="B6323" s="64">
        <v>28610584.950522933</v>
      </c>
    </row>
    <row r="6324" spans="1:2" x14ac:dyDescent="0.25">
      <c r="A6324" s="65">
        <v>6323</v>
      </c>
      <c r="B6324" s="64">
        <v>29894125.491714139</v>
      </c>
    </row>
    <row r="6325" spans="1:2" x14ac:dyDescent="0.25">
      <c r="A6325" s="65">
        <v>6324</v>
      </c>
      <c r="B6325" s="64">
        <v>28559066.389167171</v>
      </c>
    </row>
    <row r="6326" spans="1:2" x14ac:dyDescent="0.25">
      <c r="A6326" s="65">
        <v>6325</v>
      </c>
      <c r="B6326" s="64">
        <v>28613606.716995008</v>
      </c>
    </row>
    <row r="6327" spans="1:2" x14ac:dyDescent="0.25">
      <c r="A6327" s="65">
        <v>6326</v>
      </c>
      <c r="B6327" s="64">
        <v>30672147.92148</v>
      </c>
    </row>
    <row r="6328" spans="1:2" x14ac:dyDescent="0.25">
      <c r="A6328" s="65">
        <v>6327</v>
      </c>
      <c r="B6328" s="64">
        <v>30788294.212487891</v>
      </c>
    </row>
    <row r="6329" spans="1:2" x14ac:dyDescent="0.25">
      <c r="A6329" s="65">
        <v>6328</v>
      </c>
      <c r="B6329" s="64">
        <v>28766893.529193055</v>
      </c>
    </row>
    <row r="6330" spans="1:2" x14ac:dyDescent="0.25">
      <c r="A6330" s="65">
        <v>6329</v>
      </c>
      <c r="B6330" s="64">
        <v>29164609.42934972</v>
      </c>
    </row>
    <row r="6331" spans="1:2" x14ac:dyDescent="0.25">
      <c r="A6331" s="65">
        <v>6330</v>
      </c>
      <c r="B6331" s="64">
        <v>29554656.385598976</v>
      </c>
    </row>
    <row r="6332" spans="1:2" x14ac:dyDescent="0.25">
      <c r="A6332" s="65">
        <v>6331</v>
      </c>
      <c r="B6332" s="64">
        <v>28725912.174628612</v>
      </c>
    </row>
    <row r="6333" spans="1:2" x14ac:dyDescent="0.25">
      <c r="A6333" s="65">
        <v>6332</v>
      </c>
      <c r="B6333" s="64">
        <v>29547240.915138189</v>
      </c>
    </row>
    <row r="6334" spans="1:2" x14ac:dyDescent="0.25">
      <c r="A6334" s="65">
        <v>6333</v>
      </c>
      <c r="B6334" s="64">
        <v>28845683.289936241</v>
      </c>
    </row>
    <row r="6335" spans="1:2" x14ac:dyDescent="0.25">
      <c r="A6335" s="65">
        <v>6334</v>
      </c>
      <c r="B6335" s="64">
        <v>29730297.17690625</v>
      </c>
    </row>
    <row r="6336" spans="1:2" x14ac:dyDescent="0.25">
      <c r="A6336" s="65">
        <v>6335</v>
      </c>
      <c r="B6336" s="64">
        <v>30495736.852609828</v>
      </c>
    </row>
    <row r="6337" spans="1:2" x14ac:dyDescent="0.25">
      <c r="A6337" s="65">
        <v>6336</v>
      </c>
      <c r="B6337" s="64">
        <v>29495160.624123432</v>
      </c>
    </row>
    <row r="6338" spans="1:2" x14ac:dyDescent="0.25">
      <c r="A6338" s="65">
        <v>6337</v>
      </c>
      <c r="B6338" s="64">
        <v>33051769.837151635</v>
      </c>
    </row>
    <row r="6339" spans="1:2" x14ac:dyDescent="0.25">
      <c r="A6339" s="65">
        <v>6338</v>
      </c>
      <c r="B6339" s="64">
        <v>30395193.517697331</v>
      </c>
    </row>
    <row r="6340" spans="1:2" x14ac:dyDescent="0.25">
      <c r="A6340" s="65">
        <v>6339</v>
      </c>
      <c r="B6340" s="64">
        <v>28773493.029336188</v>
      </c>
    </row>
    <row r="6341" spans="1:2" x14ac:dyDescent="0.25">
      <c r="A6341" s="65">
        <v>6340</v>
      </c>
      <c r="B6341" s="64">
        <v>29541251.405200295</v>
      </c>
    </row>
    <row r="6342" spans="1:2" x14ac:dyDescent="0.25">
      <c r="A6342" s="65">
        <v>6341</v>
      </c>
      <c r="B6342" s="64">
        <v>29165227.262721553</v>
      </c>
    </row>
    <row r="6343" spans="1:2" x14ac:dyDescent="0.25">
      <c r="A6343" s="65">
        <v>6342</v>
      </c>
      <c r="B6343" s="64">
        <v>29351236.974478811</v>
      </c>
    </row>
    <row r="6344" spans="1:2" x14ac:dyDescent="0.25">
      <c r="A6344" s="65">
        <v>6343</v>
      </c>
      <c r="B6344" s="64">
        <v>29697507.440268017</v>
      </c>
    </row>
    <row r="6345" spans="1:2" x14ac:dyDescent="0.25">
      <c r="A6345" s="65">
        <v>6344</v>
      </c>
      <c r="B6345" s="64">
        <v>28853068.846005842</v>
      </c>
    </row>
    <row r="6346" spans="1:2" x14ac:dyDescent="0.25">
      <c r="A6346" s="65">
        <v>6345</v>
      </c>
      <c r="B6346" s="64">
        <v>29111947.807419501</v>
      </c>
    </row>
    <row r="6347" spans="1:2" x14ac:dyDescent="0.25">
      <c r="A6347" s="65">
        <v>6346</v>
      </c>
      <c r="B6347" s="64">
        <v>29379606.113665797</v>
      </c>
    </row>
    <row r="6348" spans="1:2" x14ac:dyDescent="0.25">
      <c r="A6348" s="65">
        <v>6347</v>
      </c>
      <c r="B6348" s="64">
        <v>28911296.536790308</v>
      </c>
    </row>
    <row r="6349" spans="1:2" x14ac:dyDescent="0.25">
      <c r="A6349" s="65">
        <v>6348</v>
      </c>
      <c r="B6349" s="64">
        <v>28608761.500871889</v>
      </c>
    </row>
    <row r="6350" spans="1:2" x14ac:dyDescent="0.25">
      <c r="A6350" s="65">
        <v>6349</v>
      </c>
      <c r="B6350" s="64">
        <v>31070495.003236067</v>
      </c>
    </row>
    <row r="6351" spans="1:2" x14ac:dyDescent="0.25">
      <c r="A6351" s="65">
        <v>6350</v>
      </c>
      <c r="B6351" s="64">
        <v>28672128.298879419</v>
      </c>
    </row>
    <row r="6352" spans="1:2" x14ac:dyDescent="0.25">
      <c r="A6352" s="65">
        <v>6351</v>
      </c>
      <c r="B6352" s="64">
        <v>28506524.428014252</v>
      </c>
    </row>
    <row r="6353" spans="1:2" x14ac:dyDescent="0.25">
      <c r="A6353" s="65">
        <v>6352</v>
      </c>
      <c r="B6353" s="64">
        <v>30075905.52592409</v>
      </c>
    </row>
    <row r="6354" spans="1:2" x14ac:dyDescent="0.25">
      <c r="A6354" s="65">
        <v>6353</v>
      </c>
      <c r="B6354" s="64">
        <v>30089355.876457021</v>
      </c>
    </row>
    <row r="6355" spans="1:2" x14ac:dyDescent="0.25">
      <c r="A6355" s="65">
        <v>6354</v>
      </c>
      <c r="B6355" s="64">
        <v>28950873.173900291</v>
      </c>
    </row>
    <row r="6356" spans="1:2" x14ac:dyDescent="0.25">
      <c r="A6356" s="65">
        <v>6355</v>
      </c>
      <c r="B6356" s="64">
        <v>29161979.757337604</v>
      </c>
    </row>
    <row r="6357" spans="1:2" x14ac:dyDescent="0.25">
      <c r="A6357" s="65">
        <v>6356</v>
      </c>
      <c r="B6357" s="64">
        <v>30188381.773393873</v>
      </c>
    </row>
    <row r="6358" spans="1:2" x14ac:dyDescent="0.25">
      <c r="A6358" s="65">
        <v>6357</v>
      </c>
      <c r="B6358" s="64">
        <v>29012214.00491241</v>
      </c>
    </row>
    <row r="6359" spans="1:2" x14ac:dyDescent="0.25">
      <c r="A6359" s="65">
        <v>6358</v>
      </c>
      <c r="B6359" s="64">
        <v>29899459.344345428</v>
      </c>
    </row>
    <row r="6360" spans="1:2" x14ac:dyDescent="0.25">
      <c r="A6360" s="65">
        <v>6359</v>
      </c>
      <c r="B6360" s="64">
        <v>29312896.479468174</v>
      </c>
    </row>
    <row r="6361" spans="1:2" x14ac:dyDescent="0.25">
      <c r="A6361" s="65">
        <v>6360</v>
      </c>
      <c r="B6361" s="64">
        <v>30475744.655455787</v>
      </c>
    </row>
    <row r="6362" spans="1:2" x14ac:dyDescent="0.25">
      <c r="A6362" s="65">
        <v>6361</v>
      </c>
      <c r="B6362" s="64">
        <v>29611333.29233915</v>
      </c>
    </row>
    <row r="6363" spans="1:2" x14ac:dyDescent="0.25">
      <c r="A6363" s="65">
        <v>6362</v>
      </c>
      <c r="B6363" s="64">
        <v>29325015.426432479</v>
      </c>
    </row>
    <row r="6364" spans="1:2" x14ac:dyDescent="0.25">
      <c r="A6364" s="65">
        <v>6363</v>
      </c>
      <c r="B6364" s="64">
        <v>29307671.092562858</v>
      </c>
    </row>
    <row r="6365" spans="1:2" x14ac:dyDescent="0.25">
      <c r="A6365" s="65">
        <v>6364</v>
      </c>
      <c r="B6365" s="64">
        <v>29708699.141003374</v>
      </c>
    </row>
    <row r="6366" spans="1:2" x14ac:dyDescent="0.25">
      <c r="A6366" s="65">
        <v>6365</v>
      </c>
      <c r="B6366" s="64">
        <v>29118002.030199286</v>
      </c>
    </row>
    <row r="6367" spans="1:2" x14ac:dyDescent="0.25">
      <c r="A6367" s="65">
        <v>6366</v>
      </c>
      <c r="B6367" s="64">
        <v>29060916.834811501</v>
      </c>
    </row>
    <row r="6368" spans="1:2" x14ac:dyDescent="0.25">
      <c r="A6368" s="65">
        <v>6367</v>
      </c>
      <c r="B6368" s="64">
        <v>28681974.39064689</v>
      </c>
    </row>
    <row r="6369" spans="1:2" x14ac:dyDescent="0.25">
      <c r="A6369" s="65">
        <v>6368</v>
      </c>
      <c r="B6369" s="64">
        <v>29277079.703234341</v>
      </c>
    </row>
    <row r="6370" spans="1:2" x14ac:dyDescent="0.25">
      <c r="A6370" s="65">
        <v>6369</v>
      </c>
      <c r="B6370" s="64">
        <v>28617622.489061337</v>
      </c>
    </row>
    <row r="6371" spans="1:2" x14ac:dyDescent="0.25">
      <c r="A6371" s="65">
        <v>6370</v>
      </c>
      <c r="B6371" s="64">
        <v>30396636.513556741</v>
      </c>
    </row>
    <row r="6372" spans="1:2" x14ac:dyDescent="0.25">
      <c r="A6372" s="65">
        <v>6371</v>
      </c>
      <c r="B6372" s="64">
        <v>29591145.561457191</v>
      </c>
    </row>
    <row r="6373" spans="1:2" x14ac:dyDescent="0.25">
      <c r="A6373" s="65">
        <v>6372</v>
      </c>
      <c r="B6373" s="64">
        <v>29295009.105750702</v>
      </c>
    </row>
    <row r="6374" spans="1:2" x14ac:dyDescent="0.25">
      <c r="A6374" s="65">
        <v>6373</v>
      </c>
      <c r="B6374" s="64">
        <v>29239529.211523943</v>
      </c>
    </row>
    <row r="6375" spans="1:2" x14ac:dyDescent="0.25">
      <c r="A6375" s="65">
        <v>6374</v>
      </c>
      <c r="B6375" s="64">
        <v>28869873.980088595</v>
      </c>
    </row>
    <row r="6376" spans="1:2" x14ac:dyDescent="0.25">
      <c r="A6376" s="65">
        <v>6375</v>
      </c>
      <c r="B6376" s="64">
        <v>28846531.315930791</v>
      </c>
    </row>
    <row r="6377" spans="1:2" x14ac:dyDescent="0.25">
      <c r="A6377" s="65">
        <v>6376</v>
      </c>
      <c r="B6377" s="64">
        <v>29495583.472105961</v>
      </c>
    </row>
    <row r="6378" spans="1:2" x14ac:dyDescent="0.25">
      <c r="A6378" s="65">
        <v>6377</v>
      </c>
      <c r="B6378" s="64">
        <v>29609707.767696291</v>
      </c>
    </row>
    <row r="6379" spans="1:2" x14ac:dyDescent="0.25">
      <c r="A6379" s="65">
        <v>6378</v>
      </c>
      <c r="B6379" s="64">
        <v>28799676.371992216</v>
      </c>
    </row>
    <row r="6380" spans="1:2" x14ac:dyDescent="0.25">
      <c r="A6380" s="65">
        <v>6379</v>
      </c>
      <c r="B6380" s="64">
        <v>28324078.630989023</v>
      </c>
    </row>
    <row r="6381" spans="1:2" x14ac:dyDescent="0.25">
      <c r="A6381" s="65">
        <v>6380</v>
      </c>
      <c r="B6381" s="64">
        <v>28897812.054075129</v>
      </c>
    </row>
    <row r="6382" spans="1:2" x14ac:dyDescent="0.25">
      <c r="A6382" s="65">
        <v>6381</v>
      </c>
      <c r="B6382" s="64">
        <v>29384604.491419036</v>
      </c>
    </row>
    <row r="6383" spans="1:2" x14ac:dyDescent="0.25">
      <c r="A6383" s="65">
        <v>6382</v>
      </c>
      <c r="B6383" s="64">
        <v>29035699.443089869</v>
      </c>
    </row>
    <row r="6384" spans="1:2" x14ac:dyDescent="0.25">
      <c r="A6384" s="65">
        <v>6383</v>
      </c>
      <c r="B6384" s="64">
        <v>29609861.66534603</v>
      </c>
    </row>
    <row r="6385" spans="1:2" x14ac:dyDescent="0.25">
      <c r="A6385" s="65">
        <v>6384</v>
      </c>
      <c r="B6385" s="64">
        <v>29438028.247820031</v>
      </c>
    </row>
    <row r="6386" spans="1:2" x14ac:dyDescent="0.25">
      <c r="A6386" s="65">
        <v>6385</v>
      </c>
      <c r="B6386" s="64">
        <v>29212949.05983277</v>
      </c>
    </row>
    <row r="6387" spans="1:2" x14ac:dyDescent="0.25">
      <c r="A6387" s="65">
        <v>6386</v>
      </c>
      <c r="B6387" s="64">
        <v>29900171.405257549</v>
      </c>
    </row>
    <row r="6388" spans="1:2" x14ac:dyDescent="0.25">
      <c r="A6388" s="65">
        <v>6387</v>
      </c>
      <c r="B6388" s="64">
        <v>29107491.356172293</v>
      </c>
    </row>
    <row r="6389" spans="1:2" x14ac:dyDescent="0.25">
      <c r="A6389" s="65">
        <v>6388</v>
      </c>
      <c r="B6389" s="64">
        <v>28438642.268928602</v>
      </c>
    </row>
    <row r="6390" spans="1:2" x14ac:dyDescent="0.25">
      <c r="A6390" s="65">
        <v>6389</v>
      </c>
      <c r="B6390" s="64">
        <v>29520133.115255181</v>
      </c>
    </row>
    <row r="6391" spans="1:2" x14ac:dyDescent="0.25">
      <c r="A6391" s="65">
        <v>6390</v>
      </c>
      <c r="B6391" s="64">
        <v>29443139.975184768</v>
      </c>
    </row>
    <row r="6392" spans="1:2" x14ac:dyDescent="0.25">
      <c r="A6392" s="65">
        <v>6391</v>
      </c>
      <c r="B6392" s="64">
        <v>29368349.82442436</v>
      </c>
    </row>
    <row r="6393" spans="1:2" x14ac:dyDescent="0.25">
      <c r="A6393" s="65">
        <v>6392</v>
      </c>
      <c r="B6393" s="64">
        <v>29218917.774248019</v>
      </c>
    </row>
    <row r="6394" spans="1:2" x14ac:dyDescent="0.25">
      <c r="A6394" s="65">
        <v>6393</v>
      </c>
      <c r="B6394" s="64">
        <v>28843755.723148417</v>
      </c>
    </row>
    <row r="6395" spans="1:2" x14ac:dyDescent="0.25">
      <c r="A6395" s="65">
        <v>6394</v>
      </c>
      <c r="B6395" s="64">
        <v>30189895.222780604</v>
      </c>
    </row>
    <row r="6396" spans="1:2" x14ac:dyDescent="0.25">
      <c r="A6396" s="65">
        <v>6395</v>
      </c>
      <c r="B6396" s="64">
        <v>29135191.788623087</v>
      </c>
    </row>
    <row r="6397" spans="1:2" x14ac:dyDescent="0.25">
      <c r="A6397" s="65">
        <v>6396</v>
      </c>
      <c r="B6397" s="64">
        <v>29205579.01806587</v>
      </c>
    </row>
    <row r="6398" spans="1:2" x14ac:dyDescent="0.25">
      <c r="A6398" s="65">
        <v>6397</v>
      </c>
      <c r="B6398" s="64">
        <v>28768928.256726637</v>
      </c>
    </row>
    <row r="6399" spans="1:2" x14ac:dyDescent="0.25">
      <c r="A6399" s="65">
        <v>6398</v>
      </c>
      <c r="B6399" s="64">
        <v>29090735.91290864</v>
      </c>
    </row>
    <row r="6400" spans="1:2" x14ac:dyDescent="0.25">
      <c r="A6400" s="65">
        <v>6399</v>
      </c>
      <c r="B6400" s="64">
        <v>28503910.687547382</v>
      </c>
    </row>
    <row r="6401" spans="1:2" x14ac:dyDescent="0.25">
      <c r="A6401" s="65">
        <v>6400</v>
      </c>
      <c r="B6401" s="64">
        <v>28565782.65839329</v>
      </c>
    </row>
    <row r="6402" spans="1:2" x14ac:dyDescent="0.25">
      <c r="A6402" s="65">
        <v>6401</v>
      </c>
      <c r="B6402" s="64">
        <v>29691579.745630618</v>
      </c>
    </row>
    <row r="6403" spans="1:2" x14ac:dyDescent="0.25">
      <c r="A6403" s="65">
        <v>6402</v>
      </c>
      <c r="B6403" s="64">
        <v>29956063.606601063</v>
      </c>
    </row>
    <row r="6404" spans="1:2" x14ac:dyDescent="0.25">
      <c r="A6404" s="65">
        <v>6403</v>
      </c>
      <c r="B6404" s="64">
        <v>28895335.302288551</v>
      </c>
    </row>
    <row r="6405" spans="1:2" x14ac:dyDescent="0.25">
      <c r="A6405" s="65">
        <v>6404</v>
      </c>
      <c r="B6405" s="64">
        <v>29632753.071022667</v>
      </c>
    </row>
    <row r="6406" spans="1:2" x14ac:dyDescent="0.25">
      <c r="A6406" s="65">
        <v>6405</v>
      </c>
      <c r="B6406" s="64">
        <v>28953369.036377639</v>
      </c>
    </row>
    <row r="6407" spans="1:2" x14ac:dyDescent="0.25">
      <c r="A6407" s="65">
        <v>6406</v>
      </c>
      <c r="B6407" s="64">
        <v>28766104.091808829</v>
      </c>
    </row>
    <row r="6408" spans="1:2" x14ac:dyDescent="0.25">
      <c r="A6408" s="65">
        <v>6407</v>
      </c>
      <c r="B6408" s="64">
        <v>30295808.339844156</v>
      </c>
    </row>
    <row r="6409" spans="1:2" x14ac:dyDescent="0.25">
      <c r="A6409" s="65">
        <v>6408</v>
      </c>
      <c r="B6409" s="64">
        <v>30532534.423036929</v>
      </c>
    </row>
    <row r="6410" spans="1:2" x14ac:dyDescent="0.25">
      <c r="A6410" s="65">
        <v>6409</v>
      </c>
      <c r="B6410" s="64">
        <v>28637506.99585592</v>
      </c>
    </row>
    <row r="6411" spans="1:2" x14ac:dyDescent="0.25">
      <c r="A6411" s="65">
        <v>6410</v>
      </c>
      <c r="B6411" s="64">
        <v>28838049.94578011</v>
      </c>
    </row>
    <row r="6412" spans="1:2" x14ac:dyDescent="0.25">
      <c r="A6412" s="65">
        <v>6411</v>
      </c>
      <c r="B6412" s="64">
        <v>29130462.829126019</v>
      </c>
    </row>
    <row r="6413" spans="1:2" x14ac:dyDescent="0.25">
      <c r="A6413" s="65">
        <v>6412</v>
      </c>
      <c r="B6413" s="64">
        <v>30799068.732985251</v>
      </c>
    </row>
    <row r="6414" spans="1:2" x14ac:dyDescent="0.25">
      <c r="A6414" s="65">
        <v>6413</v>
      </c>
      <c r="B6414" s="64">
        <v>30206336.528777257</v>
      </c>
    </row>
    <row r="6415" spans="1:2" x14ac:dyDescent="0.25">
      <c r="A6415" s="65">
        <v>6414</v>
      </c>
      <c r="B6415" s="64">
        <v>29017483.379873347</v>
      </c>
    </row>
    <row r="6416" spans="1:2" x14ac:dyDescent="0.25">
      <c r="A6416" s="65">
        <v>6415</v>
      </c>
      <c r="B6416" s="64">
        <v>30117294.054453131</v>
      </c>
    </row>
    <row r="6417" spans="1:2" x14ac:dyDescent="0.25">
      <c r="A6417" s="65">
        <v>6416</v>
      </c>
      <c r="B6417" s="64">
        <v>29827701.609142497</v>
      </c>
    </row>
    <row r="6418" spans="1:2" x14ac:dyDescent="0.25">
      <c r="A6418" s="65">
        <v>6417</v>
      </c>
      <c r="B6418" s="64">
        <v>28989343.796718575</v>
      </c>
    </row>
    <row r="6419" spans="1:2" x14ac:dyDescent="0.25">
      <c r="A6419" s="65">
        <v>6418</v>
      </c>
      <c r="B6419" s="64">
        <v>28755452.313453972</v>
      </c>
    </row>
    <row r="6420" spans="1:2" x14ac:dyDescent="0.25">
      <c r="A6420" s="65">
        <v>6419</v>
      </c>
      <c r="B6420" s="64">
        <v>29109396.700312085</v>
      </c>
    </row>
    <row r="6421" spans="1:2" x14ac:dyDescent="0.25">
      <c r="A6421" s="65">
        <v>6420</v>
      </c>
      <c r="B6421" s="64">
        <v>28997141.07069673</v>
      </c>
    </row>
    <row r="6422" spans="1:2" x14ac:dyDescent="0.25">
      <c r="A6422" s="65">
        <v>6421</v>
      </c>
      <c r="B6422" s="64">
        <v>28952639.202612039</v>
      </c>
    </row>
    <row r="6423" spans="1:2" x14ac:dyDescent="0.25">
      <c r="A6423" s="65">
        <v>6422</v>
      </c>
      <c r="B6423" s="64">
        <v>28590973.596580815</v>
      </c>
    </row>
    <row r="6424" spans="1:2" x14ac:dyDescent="0.25">
      <c r="A6424" s="65">
        <v>6423</v>
      </c>
      <c r="B6424" s="64">
        <v>29953545.895747978</v>
      </c>
    </row>
    <row r="6425" spans="1:2" x14ac:dyDescent="0.25">
      <c r="A6425" s="65">
        <v>6424</v>
      </c>
      <c r="B6425" s="64">
        <v>30308803.066275984</v>
      </c>
    </row>
    <row r="6426" spans="1:2" x14ac:dyDescent="0.25">
      <c r="A6426" s="65">
        <v>6425</v>
      </c>
      <c r="B6426" s="64">
        <v>29727653.458949924</v>
      </c>
    </row>
    <row r="6427" spans="1:2" x14ac:dyDescent="0.25">
      <c r="A6427" s="65">
        <v>6426</v>
      </c>
      <c r="B6427" s="64">
        <v>29184113.491931122</v>
      </c>
    </row>
    <row r="6428" spans="1:2" x14ac:dyDescent="0.25">
      <c r="A6428" s="65">
        <v>6427</v>
      </c>
      <c r="B6428" s="64">
        <v>29719622.179125834</v>
      </c>
    </row>
    <row r="6429" spans="1:2" x14ac:dyDescent="0.25">
      <c r="A6429" s="65">
        <v>6428</v>
      </c>
      <c r="B6429" s="64">
        <v>30348312.473292176</v>
      </c>
    </row>
    <row r="6430" spans="1:2" x14ac:dyDescent="0.25">
      <c r="A6430" s="65">
        <v>6429</v>
      </c>
      <c r="B6430" s="64">
        <v>28438654.579483006</v>
      </c>
    </row>
    <row r="6431" spans="1:2" x14ac:dyDescent="0.25">
      <c r="A6431" s="65">
        <v>6430</v>
      </c>
      <c r="B6431" s="64">
        <v>28610187.886771578</v>
      </c>
    </row>
    <row r="6432" spans="1:2" x14ac:dyDescent="0.25">
      <c r="A6432" s="65">
        <v>6431</v>
      </c>
      <c r="B6432" s="64">
        <v>29056010.931130178</v>
      </c>
    </row>
    <row r="6433" spans="1:2" x14ac:dyDescent="0.25">
      <c r="A6433" s="65">
        <v>6432</v>
      </c>
      <c r="B6433" s="64">
        <v>30127066.192932889</v>
      </c>
    </row>
    <row r="6434" spans="1:2" x14ac:dyDescent="0.25">
      <c r="A6434" s="65">
        <v>6433</v>
      </c>
      <c r="B6434" s="64">
        <v>31294795.618509334</v>
      </c>
    </row>
    <row r="6435" spans="1:2" x14ac:dyDescent="0.25">
      <c r="A6435" s="65">
        <v>6434</v>
      </c>
      <c r="B6435" s="64">
        <v>28601538.483433619</v>
      </c>
    </row>
    <row r="6436" spans="1:2" x14ac:dyDescent="0.25">
      <c r="A6436" s="65">
        <v>6435</v>
      </c>
      <c r="B6436" s="64">
        <v>31002935.401480537</v>
      </c>
    </row>
    <row r="6437" spans="1:2" x14ac:dyDescent="0.25">
      <c r="A6437" s="65">
        <v>6436</v>
      </c>
      <c r="B6437" s="64">
        <v>29242748.203571845</v>
      </c>
    </row>
    <row r="6438" spans="1:2" x14ac:dyDescent="0.25">
      <c r="A6438" s="65">
        <v>6437</v>
      </c>
      <c r="B6438" s="64">
        <v>28648508.79962064</v>
      </c>
    </row>
    <row r="6439" spans="1:2" x14ac:dyDescent="0.25">
      <c r="A6439" s="65">
        <v>6438</v>
      </c>
      <c r="B6439" s="64">
        <v>29029986.873103414</v>
      </c>
    </row>
    <row r="6440" spans="1:2" x14ac:dyDescent="0.25">
      <c r="A6440" s="65">
        <v>6439</v>
      </c>
      <c r="B6440" s="64">
        <v>28436765.581442673</v>
      </c>
    </row>
    <row r="6441" spans="1:2" x14ac:dyDescent="0.25">
      <c r="A6441" s="65">
        <v>6440</v>
      </c>
      <c r="B6441" s="64">
        <v>29973382.118944164</v>
      </c>
    </row>
    <row r="6442" spans="1:2" x14ac:dyDescent="0.25">
      <c r="A6442" s="65">
        <v>6441</v>
      </c>
      <c r="B6442" s="64">
        <v>28810775.960270751</v>
      </c>
    </row>
    <row r="6443" spans="1:2" x14ac:dyDescent="0.25">
      <c r="A6443" s="65">
        <v>6442</v>
      </c>
      <c r="B6443" s="64">
        <v>29270537.397229072</v>
      </c>
    </row>
    <row r="6444" spans="1:2" x14ac:dyDescent="0.25">
      <c r="A6444" s="65">
        <v>6443</v>
      </c>
      <c r="B6444" s="64">
        <v>30010284.261404544</v>
      </c>
    </row>
    <row r="6445" spans="1:2" x14ac:dyDescent="0.25">
      <c r="A6445" s="65">
        <v>6444</v>
      </c>
      <c r="B6445" s="64">
        <v>28801744.337749373</v>
      </c>
    </row>
    <row r="6446" spans="1:2" x14ac:dyDescent="0.25">
      <c r="A6446" s="65">
        <v>6445</v>
      </c>
      <c r="B6446" s="64">
        <v>32722303.994019348</v>
      </c>
    </row>
    <row r="6447" spans="1:2" x14ac:dyDescent="0.25">
      <c r="A6447" s="65">
        <v>6446</v>
      </c>
      <c r="B6447" s="64">
        <v>29947000.033765033</v>
      </c>
    </row>
    <row r="6448" spans="1:2" x14ac:dyDescent="0.25">
      <c r="A6448" s="65">
        <v>6447</v>
      </c>
      <c r="B6448" s="64">
        <v>30552408.803769525</v>
      </c>
    </row>
    <row r="6449" spans="1:2" x14ac:dyDescent="0.25">
      <c r="A6449" s="65">
        <v>6448</v>
      </c>
      <c r="B6449" s="64">
        <v>29939311.319645789</v>
      </c>
    </row>
    <row r="6450" spans="1:2" x14ac:dyDescent="0.25">
      <c r="A6450" s="65">
        <v>6449</v>
      </c>
      <c r="B6450" s="64">
        <v>29057614.641831234</v>
      </c>
    </row>
    <row r="6451" spans="1:2" x14ac:dyDescent="0.25">
      <c r="A6451" s="65">
        <v>6450</v>
      </c>
      <c r="B6451" s="64">
        <v>29677246.319621447</v>
      </c>
    </row>
    <row r="6452" spans="1:2" x14ac:dyDescent="0.25">
      <c r="A6452" s="65">
        <v>6451</v>
      </c>
      <c r="B6452" s="64">
        <v>28773522.90973774</v>
      </c>
    </row>
    <row r="6453" spans="1:2" x14ac:dyDescent="0.25">
      <c r="A6453" s="65">
        <v>6452</v>
      </c>
      <c r="B6453" s="64">
        <v>28944489.450112402</v>
      </c>
    </row>
    <row r="6454" spans="1:2" x14ac:dyDescent="0.25">
      <c r="A6454" s="65">
        <v>6453</v>
      </c>
      <c r="B6454" s="64">
        <v>29192257.49913957</v>
      </c>
    </row>
    <row r="6455" spans="1:2" x14ac:dyDescent="0.25">
      <c r="A6455" s="65">
        <v>6454</v>
      </c>
      <c r="B6455" s="64">
        <v>28624199.417835075</v>
      </c>
    </row>
    <row r="6456" spans="1:2" x14ac:dyDescent="0.25">
      <c r="A6456" s="65">
        <v>6455</v>
      </c>
      <c r="B6456" s="64">
        <v>34174151.488998458</v>
      </c>
    </row>
    <row r="6457" spans="1:2" x14ac:dyDescent="0.25">
      <c r="A6457" s="65">
        <v>6456</v>
      </c>
      <c r="B6457" s="64">
        <v>29201577.305000309</v>
      </c>
    </row>
    <row r="6458" spans="1:2" x14ac:dyDescent="0.25">
      <c r="A6458" s="65">
        <v>6457</v>
      </c>
      <c r="B6458" s="64">
        <v>29390621.777183216</v>
      </c>
    </row>
    <row r="6459" spans="1:2" x14ac:dyDescent="0.25">
      <c r="A6459" s="65">
        <v>6458</v>
      </c>
      <c r="B6459" s="64">
        <v>29658154.088476624</v>
      </c>
    </row>
    <row r="6460" spans="1:2" x14ac:dyDescent="0.25">
      <c r="A6460" s="65">
        <v>6459</v>
      </c>
      <c r="B6460" s="64">
        <v>33281212.21744613</v>
      </c>
    </row>
    <row r="6461" spans="1:2" x14ac:dyDescent="0.25">
      <c r="A6461" s="65">
        <v>6460</v>
      </c>
      <c r="B6461" s="64">
        <v>29768394.649178274</v>
      </c>
    </row>
    <row r="6462" spans="1:2" x14ac:dyDescent="0.25">
      <c r="A6462" s="65">
        <v>6461</v>
      </c>
      <c r="B6462" s="64">
        <v>30644076.326970406</v>
      </c>
    </row>
    <row r="6463" spans="1:2" x14ac:dyDescent="0.25">
      <c r="A6463" s="65">
        <v>6462</v>
      </c>
      <c r="B6463" s="64">
        <v>29438052.315163795</v>
      </c>
    </row>
    <row r="6464" spans="1:2" x14ac:dyDescent="0.25">
      <c r="A6464" s="65">
        <v>6463</v>
      </c>
      <c r="B6464" s="64">
        <v>29425623.613837019</v>
      </c>
    </row>
    <row r="6465" spans="1:2" x14ac:dyDescent="0.25">
      <c r="A6465" s="65">
        <v>6464</v>
      </c>
      <c r="B6465" s="64">
        <v>30152564.109562039</v>
      </c>
    </row>
    <row r="6466" spans="1:2" x14ac:dyDescent="0.25">
      <c r="A6466" s="65">
        <v>6465</v>
      </c>
      <c r="B6466" s="64">
        <v>28713481.051329724</v>
      </c>
    </row>
    <row r="6467" spans="1:2" x14ac:dyDescent="0.25">
      <c r="A6467" s="65">
        <v>6466</v>
      </c>
      <c r="B6467" s="64">
        <v>28951463.78442828</v>
      </c>
    </row>
    <row r="6468" spans="1:2" x14ac:dyDescent="0.25">
      <c r="A6468" s="65">
        <v>6467</v>
      </c>
      <c r="B6468" s="64">
        <v>29098303.365086608</v>
      </c>
    </row>
    <row r="6469" spans="1:2" x14ac:dyDescent="0.25">
      <c r="A6469" s="65">
        <v>6468</v>
      </c>
      <c r="B6469" s="64">
        <v>29062010.587494321</v>
      </c>
    </row>
    <row r="6470" spans="1:2" x14ac:dyDescent="0.25">
      <c r="A6470" s="65">
        <v>6469</v>
      </c>
      <c r="B6470" s="64">
        <v>29212671.510270443</v>
      </c>
    </row>
    <row r="6471" spans="1:2" x14ac:dyDescent="0.25">
      <c r="A6471" s="65">
        <v>6470</v>
      </c>
      <c r="B6471" s="64">
        <v>28837131.202294342</v>
      </c>
    </row>
    <row r="6472" spans="1:2" x14ac:dyDescent="0.25">
      <c r="A6472" s="65">
        <v>6471</v>
      </c>
      <c r="B6472" s="64">
        <v>28648139.718718112</v>
      </c>
    </row>
    <row r="6473" spans="1:2" x14ac:dyDescent="0.25">
      <c r="A6473" s="65">
        <v>6472</v>
      </c>
      <c r="B6473" s="64">
        <v>28938209.235074099</v>
      </c>
    </row>
    <row r="6474" spans="1:2" x14ac:dyDescent="0.25">
      <c r="A6474" s="65">
        <v>6473</v>
      </c>
      <c r="B6474" s="64">
        <v>28902655.055655293</v>
      </c>
    </row>
    <row r="6475" spans="1:2" x14ac:dyDescent="0.25">
      <c r="A6475" s="65">
        <v>6474</v>
      </c>
      <c r="B6475" s="64">
        <v>28570682.762592211</v>
      </c>
    </row>
    <row r="6476" spans="1:2" x14ac:dyDescent="0.25">
      <c r="A6476" s="65">
        <v>6475</v>
      </c>
      <c r="B6476" s="64">
        <v>29085020.163999248</v>
      </c>
    </row>
    <row r="6477" spans="1:2" x14ac:dyDescent="0.25">
      <c r="A6477" s="65">
        <v>6476</v>
      </c>
      <c r="B6477" s="64">
        <v>28740805.477160607</v>
      </c>
    </row>
    <row r="6478" spans="1:2" x14ac:dyDescent="0.25">
      <c r="A6478" s="65">
        <v>6477</v>
      </c>
      <c r="B6478" s="64">
        <v>29357161.762794048</v>
      </c>
    </row>
    <row r="6479" spans="1:2" x14ac:dyDescent="0.25">
      <c r="A6479" s="65">
        <v>6478</v>
      </c>
      <c r="B6479" s="64">
        <v>29485463.497458145</v>
      </c>
    </row>
    <row r="6480" spans="1:2" x14ac:dyDescent="0.25">
      <c r="A6480" s="65">
        <v>6479</v>
      </c>
      <c r="B6480" s="64">
        <v>28627973.39436622</v>
      </c>
    </row>
    <row r="6481" spans="1:2" x14ac:dyDescent="0.25">
      <c r="A6481" s="65">
        <v>6480</v>
      </c>
      <c r="B6481" s="64">
        <v>29280233.186798602</v>
      </c>
    </row>
    <row r="6482" spans="1:2" x14ac:dyDescent="0.25">
      <c r="A6482" s="65">
        <v>6481</v>
      </c>
      <c r="B6482" s="64">
        <v>29356642.977712195</v>
      </c>
    </row>
    <row r="6483" spans="1:2" x14ac:dyDescent="0.25">
      <c r="A6483" s="65">
        <v>6482</v>
      </c>
      <c r="B6483" s="64">
        <v>28530792.036945518</v>
      </c>
    </row>
    <row r="6484" spans="1:2" x14ac:dyDescent="0.25">
      <c r="A6484" s="65">
        <v>6483</v>
      </c>
      <c r="B6484" s="64">
        <v>29287612.971661434</v>
      </c>
    </row>
    <row r="6485" spans="1:2" x14ac:dyDescent="0.25">
      <c r="A6485" s="65">
        <v>6484</v>
      </c>
      <c r="B6485" s="64">
        <v>29341219.848107483</v>
      </c>
    </row>
    <row r="6486" spans="1:2" x14ac:dyDescent="0.25">
      <c r="A6486" s="65">
        <v>6485</v>
      </c>
      <c r="B6486" s="64">
        <v>30534099.39493284</v>
      </c>
    </row>
    <row r="6487" spans="1:2" x14ac:dyDescent="0.25">
      <c r="A6487" s="65">
        <v>6486</v>
      </c>
      <c r="B6487" s="64">
        <v>28821100.7178718</v>
      </c>
    </row>
    <row r="6488" spans="1:2" x14ac:dyDescent="0.25">
      <c r="A6488" s="65">
        <v>6487</v>
      </c>
      <c r="B6488" s="64">
        <v>29615307.596904464</v>
      </c>
    </row>
    <row r="6489" spans="1:2" x14ac:dyDescent="0.25">
      <c r="A6489" s="65">
        <v>6488</v>
      </c>
      <c r="B6489" s="64">
        <v>29632526.794796165</v>
      </c>
    </row>
    <row r="6490" spans="1:2" x14ac:dyDescent="0.25">
      <c r="A6490" s="65">
        <v>6489</v>
      </c>
      <c r="B6490" s="64">
        <v>28637502.566206053</v>
      </c>
    </row>
    <row r="6491" spans="1:2" x14ac:dyDescent="0.25">
      <c r="A6491" s="65">
        <v>6490</v>
      </c>
      <c r="B6491" s="64">
        <v>29504852.208225369</v>
      </c>
    </row>
    <row r="6492" spans="1:2" x14ac:dyDescent="0.25">
      <c r="A6492" s="65">
        <v>6491</v>
      </c>
      <c r="B6492" s="64">
        <v>29738099.907645665</v>
      </c>
    </row>
    <row r="6493" spans="1:2" x14ac:dyDescent="0.25">
      <c r="A6493" s="65">
        <v>6492</v>
      </c>
      <c r="B6493" s="64">
        <v>28977534.20137728</v>
      </c>
    </row>
    <row r="6494" spans="1:2" x14ac:dyDescent="0.25">
      <c r="A6494" s="65">
        <v>6493</v>
      </c>
      <c r="B6494" s="64">
        <v>28678458.000239842</v>
      </c>
    </row>
    <row r="6495" spans="1:2" x14ac:dyDescent="0.25">
      <c r="A6495" s="65">
        <v>6494</v>
      </c>
      <c r="B6495" s="64">
        <v>29150777.65889867</v>
      </c>
    </row>
    <row r="6496" spans="1:2" x14ac:dyDescent="0.25">
      <c r="A6496" s="65">
        <v>6495</v>
      </c>
      <c r="B6496" s="64">
        <v>28472307.970639415</v>
      </c>
    </row>
    <row r="6497" spans="1:2" x14ac:dyDescent="0.25">
      <c r="A6497" s="65">
        <v>6496</v>
      </c>
      <c r="B6497" s="64">
        <v>28436186.381824292</v>
      </c>
    </row>
    <row r="6498" spans="1:2" x14ac:dyDescent="0.25">
      <c r="A6498" s="65">
        <v>6497</v>
      </c>
      <c r="B6498" s="64">
        <v>28642302.318603396</v>
      </c>
    </row>
    <row r="6499" spans="1:2" x14ac:dyDescent="0.25">
      <c r="A6499" s="65">
        <v>6498</v>
      </c>
      <c r="B6499" s="64">
        <v>28882790.776406452</v>
      </c>
    </row>
    <row r="6500" spans="1:2" x14ac:dyDescent="0.25">
      <c r="A6500" s="65">
        <v>6499</v>
      </c>
      <c r="B6500" s="64">
        <v>29324583.191120286</v>
      </c>
    </row>
    <row r="6501" spans="1:2" x14ac:dyDescent="0.25">
      <c r="A6501" s="65">
        <v>6500</v>
      </c>
      <c r="B6501" s="64">
        <v>29957006.001682203</v>
      </c>
    </row>
    <row r="6502" spans="1:2" x14ac:dyDescent="0.25">
      <c r="A6502" s="65">
        <v>6501</v>
      </c>
      <c r="B6502" s="64">
        <v>28973681.241251092</v>
      </c>
    </row>
    <row r="6503" spans="1:2" x14ac:dyDescent="0.25">
      <c r="A6503" s="65">
        <v>6502</v>
      </c>
      <c r="B6503" s="64">
        <v>28939286.233444933</v>
      </c>
    </row>
    <row r="6504" spans="1:2" x14ac:dyDescent="0.25">
      <c r="A6504" s="65">
        <v>6503</v>
      </c>
      <c r="B6504" s="64">
        <v>29692154.611432135</v>
      </c>
    </row>
    <row r="6505" spans="1:2" x14ac:dyDescent="0.25">
      <c r="A6505" s="65">
        <v>6504</v>
      </c>
      <c r="B6505" s="64">
        <v>28897551.609752025</v>
      </c>
    </row>
    <row r="6506" spans="1:2" x14ac:dyDescent="0.25">
      <c r="A6506" s="65">
        <v>6505</v>
      </c>
      <c r="B6506" s="64">
        <v>31157556.314956233</v>
      </c>
    </row>
    <row r="6507" spans="1:2" x14ac:dyDescent="0.25">
      <c r="A6507" s="65">
        <v>6506</v>
      </c>
      <c r="B6507" s="64">
        <v>28710444.038376503</v>
      </c>
    </row>
    <row r="6508" spans="1:2" x14ac:dyDescent="0.25">
      <c r="A6508" s="65">
        <v>6507</v>
      </c>
      <c r="B6508" s="64">
        <v>28997809.226354759</v>
      </c>
    </row>
    <row r="6509" spans="1:2" x14ac:dyDescent="0.25">
      <c r="A6509" s="65">
        <v>6508</v>
      </c>
      <c r="B6509" s="64">
        <v>30461122.82913034</v>
      </c>
    </row>
    <row r="6510" spans="1:2" x14ac:dyDescent="0.25">
      <c r="A6510" s="65">
        <v>6509</v>
      </c>
      <c r="B6510" s="64">
        <v>29888297.861168485</v>
      </c>
    </row>
    <row r="6511" spans="1:2" x14ac:dyDescent="0.25">
      <c r="A6511" s="65">
        <v>6510</v>
      </c>
      <c r="B6511" s="64">
        <v>28743493.936304834</v>
      </c>
    </row>
    <row r="6512" spans="1:2" x14ac:dyDescent="0.25">
      <c r="A6512" s="65">
        <v>6511</v>
      </c>
      <c r="B6512" s="64">
        <v>28635963.410042427</v>
      </c>
    </row>
    <row r="6513" spans="1:2" x14ac:dyDescent="0.25">
      <c r="A6513" s="65">
        <v>6512</v>
      </c>
      <c r="B6513" s="64">
        <v>29260230.888551924</v>
      </c>
    </row>
    <row r="6514" spans="1:2" x14ac:dyDescent="0.25">
      <c r="A6514" s="65">
        <v>6513</v>
      </c>
      <c r="B6514" s="64">
        <v>29442924.411980808</v>
      </c>
    </row>
    <row r="6515" spans="1:2" x14ac:dyDescent="0.25">
      <c r="A6515" s="65">
        <v>6514</v>
      </c>
      <c r="B6515" s="64">
        <v>33973696.561753921</v>
      </c>
    </row>
    <row r="6516" spans="1:2" x14ac:dyDescent="0.25">
      <c r="A6516" s="65">
        <v>6515</v>
      </c>
      <c r="B6516" s="64">
        <v>29149738.268029235</v>
      </c>
    </row>
    <row r="6517" spans="1:2" x14ac:dyDescent="0.25">
      <c r="A6517" s="65">
        <v>6516</v>
      </c>
      <c r="B6517" s="64">
        <v>29502130.04128737</v>
      </c>
    </row>
    <row r="6518" spans="1:2" x14ac:dyDescent="0.25">
      <c r="A6518" s="65">
        <v>6517</v>
      </c>
      <c r="B6518" s="64">
        <v>28927753.794031382</v>
      </c>
    </row>
    <row r="6519" spans="1:2" x14ac:dyDescent="0.25">
      <c r="A6519" s="65">
        <v>6518</v>
      </c>
      <c r="B6519" s="64">
        <v>28486669.280732106</v>
      </c>
    </row>
    <row r="6520" spans="1:2" x14ac:dyDescent="0.25">
      <c r="A6520" s="65">
        <v>6519</v>
      </c>
      <c r="B6520" s="64">
        <v>28606971.025951337</v>
      </c>
    </row>
    <row r="6521" spans="1:2" x14ac:dyDescent="0.25">
      <c r="A6521" s="65">
        <v>6520</v>
      </c>
      <c r="B6521" s="64">
        <v>29021821.408509936</v>
      </c>
    </row>
    <row r="6522" spans="1:2" x14ac:dyDescent="0.25">
      <c r="A6522" s="65">
        <v>6521</v>
      </c>
      <c r="B6522" s="64">
        <v>29380930.160741288</v>
      </c>
    </row>
    <row r="6523" spans="1:2" x14ac:dyDescent="0.25">
      <c r="A6523" s="65">
        <v>6522</v>
      </c>
      <c r="B6523" s="64">
        <v>29269338.93025507</v>
      </c>
    </row>
    <row r="6524" spans="1:2" x14ac:dyDescent="0.25">
      <c r="A6524" s="65">
        <v>6523</v>
      </c>
      <c r="B6524" s="64">
        <v>29155665.769871321</v>
      </c>
    </row>
    <row r="6525" spans="1:2" x14ac:dyDescent="0.25">
      <c r="A6525" s="65">
        <v>6524</v>
      </c>
      <c r="B6525" s="64">
        <v>28354277.879143406</v>
      </c>
    </row>
    <row r="6526" spans="1:2" x14ac:dyDescent="0.25">
      <c r="A6526" s="65">
        <v>6525</v>
      </c>
      <c r="B6526" s="64">
        <v>29209065.881939065</v>
      </c>
    </row>
    <row r="6527" spans="1:2" x14ac:dyDescent="0.25">
      <c r="A6527" s="65">
        <v>6526</v>
      </c>
      <c r="B6527" s="64">
        <v>28558133.00617462</v>
      </c>
    </row>
    <row r="6528" spans="1:2" x14ac:dyDescent="0.25">
      <c r="A6528" s="65">
        <v>6527</v>
      </c>
      <c r="B6528" s="64">
        <v>29521491.745541751</v>
      </c>
    </row>
    <row r="6529" spans="1:2" x14ac:dyDescent="0.25">
      <c r="A6529" s="65">
        <v>6528</v>
      </c>
      <c r="B6529" s="64">
        <v>28997766.191293921</v>
      </c>
    </row>
    <row r="6530" spans="1:2" x14ac:dyDescent="0.25">
      <c r="A6530" s="65">
        <v>6529</v>
      </c>
      <c r="B6530" s="64">
        <v>29264821.957202826</v>
      </c>
    </row>
    <row r="6531" spans="1:2" x14ac:dyDescent="0.25">
      <c r="A6531" s="65">
        <v>6530</v>
      </c>
      <c r="B6531" s="64">
        <v>28800565.550077986</v>
      </c>
    </row>
    <row r="6532" spans="1:2" x14ac:dyDescent="0.25">
      <c r="A6532" s="65">
        <v>6531</v>
      </c>
      <c r="B6532" s="64">
        <v>30187253.998863909</v>
      </c>
    </row>
    <row r="6533" spans="1:2" x14ac:dyDescent="0.25">
      <c r="A6533" s="65">
        <v>6532</v>
      </c>
      <c r="B6533" s="64">
        <v>30037333.921138547</v>
      </c>
    </row>
    <row r="6534" spans="1:2" x14ac:dyDescent="0.25">
      <c r="A6534" s="65">
        <v>6533</v>
      </c>
      <c r="B6534" s="64">
        <v>30194208.84653784</v>
      </c>
    </row>
    <row r="6535" spans="1:2" x14ac:dyDescent="0.25">
      <c r="A6535" s="65">
        <v>6534</v>
      </c>
      <c r="B6535" s="64">
        <v>28624047.299367249</v>
      </c>
    </row>
    <row r="6536" spans="1:2" x14ac:dyDescent="0.25">
      <c r="A6536" s="65">
        <v>6535</v>
      </c>
      <c r="B6536" s="64">
        <v>29092195.013455365</v>
      </c>
    </row>
    <row r="6537" spans="1:2" x14ac:dyDescent="0.25">
      <c r="A6537" s="65">
        <v>6536</v>
      </c>
      <c r="B6537" s="64">
        <v>28873819.484657533</v>
      </c>
    </row>
    <row r="6538" spans="1:2" x14ac:dyDescent="0.25">
      <c r="A6538" s="65">
        <v>6537</v>
      </c>
      <c r="B6538" s="64">
        <v>30997386.32784909</v>
      </c>
    </row>
    <row r="6539" spans="1:2" x14ac:dyDescent="0.25">
      <c r="A6539" s="65">
        <v>6538</v>
      </c>
      <c r="B6539" s="64">
        <v>29032429.176158089</v>
      </c>
    </row>
    <row r="6540" spans="1:2" x14ac:dyDescent="0.25">
      <c r="A6540" s="65">
        <v>6539</v>
      </c>
      <c r="B6540" s="64">
        <v>28756551.494290236</v>
      </c>
    </row>
    <row r="6541" spans="1:2" x14ac:dyDescent="0.25">
      <c r="A6541" s="65">
        <v>6540</v>
      </c>
      <c r="B6541" s="64">
        <v>28617296.347322702</v>
      </c>
    </row>
    <row r="6542" spans="1:2" x14ac:dyDescent="0.25">
      <c r="A6542" s="65">
        <v>6541</v>
      </c>
      <c r="B6542" s="64">
        <v>29182372.130599778</v>
      </c>
    </row>
    <row r="6543" spans="1:2" x14ac:dyDescent="0.25">
      <c r="A6543" s="65">
        <v>6542</v>
      </c>
      <c r="B6543" s="64">
        <v>32525389.389409807</v>
      </c>
    </row>
    <row r="6544" spans="1:2" x14ac:dyDescent="0.25">
      <c r="A6544" s="65">
        <v>6543</v>
      </c>
      <c r="B6544" s="64">
        <v>29058940.048540127</v>
      </c>
    </row>
    <row r="6545" spans="1:2" x14ac:dyDescent="0.25">
      <c r="A6545" s="65">
        <v>6544</v>
      </c>
      <c r="B6545" s="64">
        <v>28649289.999574255</v>
      </c>
    </row>
    <row r="6546" spans="1:2" x14ac:dyDescent="0.25">
      <c r="A6546" s="65">
        <v>6545</v>
      </c>
      <c r="B6546" s="64">
        <v>28336740.062030118</v>
      </c>
    </row>
    <row r="6547" spans="1:2" x14ac:dyDescent="0.25">
      <c r="A6547" s="65">
        <v>6546</v>
      </c>
      <c r="B6547" s="64">
        <v>37692692.35875845</v>
      </c>
    </row>
    <row r="6548" spans="1:2" x14ac:dyDescent="0.25">
      <c r="A6548" s="65">
        <v>6547</v>
      </c>
      <c r="B6548" s="64">
        <v>30029062.462131727</v>
      </c>
    </row>
    <row r="6549" spans="1:2" x14ac:dyDescent="0.25">
      <c r="A6549" s="65">
        <v>6548</v>
      </c>
      <c r="B6549" s="64">
        <v>29823803.371048931</v>
      </c>
    </row>
    <row r="6550" spans="1:2" x14ac:dyDescent="0.25">
      <c r="A6550" s="65">
        <v>6549</v>
      </c>
      <c r="B6550" s="64">
        <v>30665940.407035604</v>
      </c>
    </row>
    <row r="6551" spans="1:2" x14ac:dyDescent="0.25">
      <c r="A6551" s="65">
        <v>6550</v>
      </c>
      <c r="B6551" s="64">
        <v>28777847.495976426</v>
      </c>
    </row>
    <row r="6552" spans="1:2" x14ac:dyDescent="0.25">
      <c r="A6552" s="65">
        <v>6551</v>
      </c>
      <c r="B6552" s="64">
        <v>28727881.550414238</v>
      </c>
    </row>
    <row r="6553" spans="1:2" x14ac:dyDescent="0.25">
      <c r="A6553" s="65">
        <v>6552</v>
      </c>
      <c r="B6553" s="64">
        <v>29836729.320389323</v>
      </c>
    </row>
    <row r="6554" spans="1:2" x14ac:dyDescent="0.25">
      <c r="A6554" s="65">
        <v>6553</v>
      </c>
      <c r="B6554" s="64">
        <v>29169404.632381745</v>
      </c>
    </row>
    <row r="6555" spans="1:2" x14ac:dyDescent="0.25">
      <c r="A6555" s="65">
        <v>6554</v>
      </c>
      <c r="B6555" s="64">
        <v>29747521.827627674</v>
      </c>
    </row>
    <row r="6556" spans="1:2" x14ac:dyDescent="0.25">
      <c r="A6556" s="65">
        <v>6555</v>
      </c>
      <c r="B6556" s="64">
        <v>28985310.037177611</v>
      </c>
    </row>
    <row r="6557" spans="1:2" x14ac:dyDescent="0.25">
      <c r="A6557" s="65">
        <v>6556</v>
      </c>
      <c r="B6557" s="64">
        <v>29705199.109721512</v>
      </c>
    </row>
    <row r="6558" spans="1:2" x14ac:dyDescent="0.25">
      <c r="A6558" s="65">
        <v>6557</v>
      </c>
      <c r="B6558" s="64">
        <v>29247165.913806248</v>
      </c>
    </row>
    <row r="6559" spans="1:2" x14ac:dyDescent="0.25">
      <c r="A6559" s="65">
        <v>6558</v>
      </c>
      <c r="B6559" s="64">
        <v>28875708.597765006</v>
      </c>
    </row>
    <row r="6560" spans="1:2" x14ac:dyDescent="0.25">
      <c r="A6560" s="65">
        <v>6559</v>
      </c>
      <c r="B6560" s="64">
        <v>28321882.630606949</v>
      </c>
    </row>
    <row r="6561" spans="1:2" x14ac:dyDescent="0.25">
      <c r="A6561" s="65">
        <v>6560</v>
      </c>
      <c r="B6561" s="64">
        <v>28537892.000964578</v>
      </c>
    </row>
    <row r="6562" spans="1:2" x14ac:dyDescent="0.25">
      <c r="A6562" s="65">
        <v>6561</v>
      </c>
      <c r="B6562" s="64">
        <v>30135944.220071856</v>
      </c>
    </row>
    <row r="6563" spans="1:2" x14ac:dyDescent="0.25">
      <c r="A6563" s="65">
        <v>6562</v>
      </c>
      <c r="B6563" s="64">
        <v>29848252.372998323</v>
      </c>
    </row>
    <row r="6564" spans="1:2" x14ac:dyDescent="0.25">
      <c r="A6564" s="65">
        <v>6563</v>
      </c>
      <c r="B6564" s="64">
        <v>28581716.104678724</v>
      </c>
    </row>
    <row r="6565" spans="1:2" x14ac:dyDescent="0.25">
      <c r="A6565" s="65">
        <v>6564</v>
      </c>
      <c r="B6565" s="64">
        <v>29086052.667419385</v>
      </c>
    </row>
    <row r="6566" spans="1:2" x14ac:dyDescent="0.25">
      <c r="A6566" s="65">
        <v>6565</v>
      </c>
      <c r="B6566" s="64">
        <v>29310824.925565328</v>
      </c>
    </row>
    <row r="6567" spans="1:2" x14ac:dyDescent="0.25">
      <c r="A6567" s="65">
        <v>6566</v>
      </c>
      <c r="B6567" s="64">
        <v>29242852.250047058</v>
      </c>
    </row>
    <row r="6568" spans="1:2" x14ac:dyDescent="0.25">
      <c r="A6568" s="65">
        <v>6567</v>
      </c>
      <c r="B6568" s="64">
        <v>28565449.797981739</v>
      </c>
    </row>
    <row r="6569" spans="1:2" x14ac:dyDescent="0.25">
      <c r="A6569" s="65">
        <v>6568</v>
      </c>
      <c r="B6569" s="64">
        <v>28802935.902255241</v>
      </c>
    </row>
    <row r="6570" spans="1:2" x14ac:dyDescent="0.25">
      <c r="A6570" s="65">
        <v>6569</v>
      </c>
      <c r="B6570" s="64">
        <v>29489535.241198026</v>
      </c>
    </row>
    <row r="6571" spans="1:2" x14ac:dyDescent="0.25">
      <c r="A6571" s="65">
        <v>6570</v>
      </c>
      <c r="B6571" s="64">
        <v>28976217.954064138</v>
      </c>
    </row>
    <row r="6572" spans="1:2" x14ac:dyDescent="0.25">
      <c r="A6572" s="65">
        <v>6571</v>
      </c>
      <c r="B6572" s="64">
        <v>28875822.189234532</v>
      </c>
    </row>
    <row r="6573" spans="1:2" x14ac:dyDescent="0.25">
      <c r="A6573" s="65">
        <v>6572</v>
      </c>
      <c r="B6573" s="64">
        <v>28830516.584317714</v>
      </c>
    </row>
    <row r="6574" spans="1:2" x14ac:dyDescent="0.25">
      <c r="A6574" s="65">
        <v>6573</v>
      </c>
      <c r="B6574" s="64">
        <v>28663912.608309951</v>
      </c>
    </row>
    <row r="6575" spans="1:2" x14ac:dyDescent="0.25">
      <c r="A6575" s="65">
        <v>6574</v>
      </c>
      <c r="B6575" s="64">
        <v>33942388.577057056</v>
      </c>
    </row>
    <row r="6576" spans="1:2" x14ac:dyDescent="0.25">
      <c r="A6576" s="65">
        <v>6575</v>
      </c>
      <c r="B6576" s="64">
        <v>29888014.458384763</v>
      </c>
    </row>
    <row r="6577" spans="1:2" x14ac:dyDescent="0.25">
      <c r="A6577" s="65">
        <v>6576</v>
      </c>
      <c r="B6577" s="64">
        <v>34550385.55047179</v>
      </c>
    </row>
    <row r="6578" spans="1:2" x14ac:dyDescent="0.25">
      <c r="A6578" s="65">
        <v>6577</v>
      </c>
      <c r="B6578" s="64">
        <v>28981539.234158549</v>
      </c>
    </row>
    <row r="6579" spans="1:2" x14ac:dyDescent="0.25">
      <c r="A6579" s="65">
        <v>6578</v>
      </c>
      <c r="B6579" s="64">
        <v>28729444.070941236</v>
      </c>
    </row>
    <row r="6580" spans="1:2" x14ac:dyDescent="0.25">
      <c r="A6580" s="65">
        <v>6579</v>
      </c>
      <c r="B6580" s="64">
        <v>29342859.333491609</v>
      </c>
    </row>
    <row r="6581" spans="1:2" x14ac:dyDescent="0.25">
      <c r="A6581" s="65">
        <v>6580</v>
      </c>
      <c r="B6581" s="64">
        <v>30300306.260922547</v>
      </c>
    </row>
    <row r="6582" spans="1:2" x14ac:dyDescent="0.25">
      <c r="A6582" s="65">
        <v>6581</v>
      </c>
      <c r="B6582" s="64">
        <v>30116673.671503425</v>
      </c>
    </row>
    <row r="6583" spans="1:2" x14ac:dyDescent="0.25">
      <c r="A6583" s="65">
        <v>6582</v>
      </c>
      <c r="B6583" s="64">
        <v>28805547.043026462</v>
      </c>
    </row>
    <row r="6584" spans="1:2" x14ac:dyDescent="0.25">
      <c r="A6584" s="65">
        <v>6583</v>
      </c>
      <c r="B6584" s="64">
        <v>29497497.839903407</v>
      </c>
    </row>
    <row r="6585" spans="1:2" x14ac:dyDescent="0.25">
      <c r="A6585" s="65">
        <v>6584</v>
      </c>
      <c r="B6585" s="64">
        <v>29703899.255472187</v>
      </c>
    </row>
    <row r="6586" spans="1:2" x14ac:dyDescent="0.25">
      <c r="A6586" s="65">
        <v>6585</v>
      </c>
      <c r="B6586" s="64">
        <v>29307121.115603335</v>
      </c>
    </row>
    <row r="6587" spans="1:2" x14ac:dyDescent="0.25">
      <c r="A6587" s="65">
        <v>6586</v>
      </c>
      <c r="B6587" s="64">
        <v>30471395.030351188</v>
      </c>
    </row>
    <row r="6588" spans="1:2" x14ac:dyDescent="0.25">
      <c r="A6588" s="65">
        <v>6587</v>
      </c>
      <c r="B6588" s="64">
        <v>29520010.252328314</v>
      </c>
    </row>
    <row r="6589" spans="1:2" x14ac:dyDescent="0.25">
      <c r="A6589" s="65">
        <v>6588</v>
      </c>
      <c r="B6589" s="64">
        <v>29725857.629132181</v>
      </c>
    </row>
    <row r="6590" spans="1:2" x14ac:dyDescent="0.25">
      <c r="A6590" s="65">
        <v>6589</v>
      </c>
      <c r="B6590" s="64">
        <v>35261541.519318596</v>
      </c>
    </row>
    <row r="6591" spans="1:2" x14ac:dyDescent="0.25">
      <c r="A6591" s="65">
        <v>6590</v>
      </c>
      <c r="B6591" s="64">
        <v>28724965.088561706</v>
      </c>
    </row>
    <row r="6592" spans="1:2" x14ac:dyDescent="0.25">
      <c r="A6592" s="65">
        <v>6591</v>
      </c>
      <c r="B6592" s="64">
        <v>29396535.07290186</v>
      </c>
    </row>
    <row r="6593" spans="1:2" x14ac:dyDescent="0.25">
      <c r="A6593" s="65">
        <v>6592</v>
      </c>
      <c r="B6593" s="64">
        <v>30168371.409789532</v>
      </c>
    </row>
    <row r="6594" spans="1:2" x14ac:dyDescent="0.25">
      <c r="A6594" s="65">
        <v>6593</v>
      </c>
      <c r="B6594" s="64">
        <v>28998852.643998489</v>
      </c>
    </row>
    <row r="6595" spans="1:2" x14ac:dyDescent="0.25">
      <c r="A6595" s="65">
        <v>6594</v>
      </c>
      <c r="B6595" s="64">
        <v>28505339.311940569</v>
      </c>
    </row>
    <row r="6596" spans="1:2" x14ac:dyDescent="0.25">
      <c r="A6596" s="65">
        <v>6595</v>
      </c>
      <c r="B6596" s="64">
        <v>28652647.017739363</v>
      </c>
    </row>
    <row r="6597" spans="1:2" x14ac:dyDescent="0.25">
      <c r="A6597" s="65">
        <v>6596</v>
      </c>
      <c r="B6597" s="64">
        <v>29442315.885073777</v>
      </c>
    </row>
    <row r="6598" spans="1:2" x14ac:dyDescent="0.25">
      <c r="A6598" s="65">
        <v>6597</v>
      </c>
      <c r="B6598" s="64">
        <v>28866514.069691814</v>
      </c>
    </row>
    <row r="6599" spans="1:2" x14ac:dyDescent="0.25">
      <c r="A6599" s="65">
        <v>6598</v>
      </c>
      <c r="B6599" s="64">
        <v>28614867.533589795</v>
      </c>
    </row>
    <row r="6600" spans="1:2" x14ac:dyDescent="0.25">
      <c r="A6600" s="65">
        <v>6599</v>
      </c>
      <c r="B6600" s="64">
        <v>28808702.973531999</v>
      </c>
    </row>
    <row r="6601" spans="1:2" x14ac:dyDescent="0.25">
      <c r="A6601" s="65">
        <v>6600</v>
      </c>
      <c r="B6601" s="64">
        <v>29048897.870877966</v>
      </c>
    </row>
    <row r="6602" spans="1:2" x14ac:dyDescent="0.25">
      <c r="A6602" s="65">
        <v>6601</v>
      </c>
      <c r="B6602" s="64">
        <v>29691641.910037447</v>
      </c>
    </row>
    <row r="6603" spans="1:2" x14ac:dyDescent="0.25">
      <c r="A6603" s="65">
        <v>6602</v>
      </c>
      <c r="B6603" s="64">
        <v>30736169.154886678</v>
      </c>
    </row>
    <row r="6604" spans="1:2" x14ac:dyDescent="0.25">
      <c r="A6604" s="65">
        <v>6603</v>
      </c>
      <c r="B6604" s="64">
        <v>28756937.141571913</v>
      </c>
    </row>
    <row r="6605" spans="1:2" x14ac:dyDescent="0.25">
      <c r="A6605" s="65">
        <v>6604</v>
      </c>
      <c r="B6605" s="64">
        <v>31145704.915306475</v>
      </c>
    </row>
    <row r="6606" spans="1:2" x14ac:dyDescent="0.25">
      <c r="A6606" s="65">
        <v>6605</v>
      </c>
      <c r="B6606" s="64">
        <v>29781573.723659631</v>
      </c>
    </row>
    <row r="6607" spans="1:2" x14ac:dyDescent="0.25">
      <c r="A6607" s="65">
        <v>6606</v>
      </c>
      <c r="B6607" s="64">
        <v>28861609.291961689</v>
      </c>
    </row>
    <row r="6608" spans="1:2" x14ac:dyDescent="0.25">
      <c r="A6608" s="65">
        <v>6607</v>
      </c>
      <c r="B6608" s="64">
        <v>28835199.951530002</v>
      </c>
    </row>
    <row r="6609" spans="1:2" x14ac:dyDescent="0.25">
      <c r="A6609" s="65">
        <v>6608</v>
      </c>
      <c r="B6609" s="64">
        <v>29032501.46189905</v>
      </c>
    </row>
    <row r="6610" spans="1:2" x14ac:dyDescent="0.25">
      <c r="A6610" s="65">
        <v>6609</v>
      </c>
      <c r="B6610" s="64">
        <v>29730972.30636197</v>
      </c>
    </row>
    <row r="6611" spans="1:2" x14ac:dyDescent="0.25">
      <c r="A6611" s="65">
        <v>6610</v>
      </c>
      <c r="B6611" s="64">
        <v>28784529.836439725</v>
      </c>
    </row>
    <row r="6612" spans="1:2" x14ac:dyDescent="0.25">
      <c r="A6612" s="65">
        <v>6611</v>
      </c>
      <c r="B6612" s="64">
        <v>28706630.277892295</v>
      </c>
    </row>
    <row r="6613" spans="1:2" x14ac:dyDescent="0.25">
      <c r="A6613" s="65">
        <v>6612</v>
      </c>
      <c r="B6613" s="64">
        <v>28971555.752333917</v>
      </c>
    </row>
    <row r="6614" spans="1:2" x14ac:dyDescent="0.25">
      <c r="A6614" s="65">
        <v>6613</v>
      </c>
      <c r="B6614" s="64">
        <v>29392277.534733739</v>
      </c>
    </row>
    <row r="6615" spans="1:2" x14ac:dyDescent="0.25">
      <c r="A6615" s="65">
        <v>6614</v>
      </c>
      <c r="B6615" s="64">
        <v>29807135.778599285</v>
      </c>
    </row>
    <row r="6616" spans="1:2" x14ac:dyDescent="0.25">
      <c r="A6616" s="65">
        <v>6615</v>
      </c>
      <c r="B6616" s="64">
        <v>29018710.009077936</v>
      </c>
    </row>
    <row r="6617" spans="1:2" x14ac:dyDescent="0.25">
      <c r="A6617" s="65">
        <v>6616</v>
      </c>
      <c r="B6617" s="64">
        <v>29210394.477589462</v>
      </c>
    </row>
    <row r="6618" spans="1:2" x14ac:dyDescent="0.25">
      <c r="A6618" s="65">
        <v>6617</v>
      </c>
      <c r="B6618" s="64">
        <v>28885492.803523753</v>
      </c>
    </row>
    <row r="6619" spans="1:2" x14ac:dyDescent="0.25">
      <c r="A6619" s="65">
        <v>6618</v>
      </c>
      <c r="B6619" s="64">
        <v>29781878.731169075</v>
      </c>
    </row>
    <row r="6620" spans="1:2" x14ac:dyDescent="0.25">
      <c r="A6620" s="65">
        <v>6619</v>
      </c>
      <c r="B6620" s="64">
        <v>28670270.055591721</v>
      </c>
    </row>
    <row r="6621" spans="1:2" x14ac:dyDescent="0.25">
      <c r="A6621" s="65">
        <v>6620</v>
      </c>
      <c r="B6621" s="64">
        <v>29438277.359033268</v>
      </c>
    </row>
    <row r="6622" spans="1:2" x14ac:dyDescent="0.25">
      <c r="A6622" s="65">
        <v>6621</v>
      </c>
      <c r="B6622" s="64">
        <v>28602977.511052966</v>
      </c>
    </row>
    <row r="6623" spans="1:2" x14ac:dyDescent="0.25">
      <c r="A6623" s="65">
        <v>6622</v>
      </c>
      <c r="B6623" s="64">
        <v>29406449.937599037</v>
      </c>
    </row>
    <row r="6624" spans="1:2" x14ac:dyDescent="0.25">
      <c r="A6624" s="65">
        <v>6623</v>
      </c>
      <c r="B6624" s="64">
        <v>28590411.722776514</v>
      </c>
    </row>
    <row r="6625" spans="1:2" x14ac:dyDescent="0.25">
      <c r="A6625" s="65">
        <v>6624</v>
      </c>
      <c r="B6625" s="64">
        <v>29018136.994182948</v>
      </c>
    </row>
    <row r="6626" spans="1:2" x14ac:dyDescent="0.25">
      <c r="A6626" s="65">
        <v>6625</v>
      </c>
      <c r="B6626" s="64">
        <v>30190107.863069344</v>
      </c>
    </row>
    <row r="6627" spans="1:2" x14ac:dyDescent="0.25">
      <c r="A6627" s="65">
        <v>6626</v>
      </c>
      <c r="B6627" s="64">
        <v>28636113.672545422</v>
      </c>
    </row>
    <row r="6628" spans="1:2" x14ac:dyDescent="0.25">
      <c r="A6628" s="65">
        <v>6627</v>
      </c>
      <c r="B6628" s="64">
        <v>28928568.831046507</v>
      </c>
    </row>
    <row r="6629" spans="1:2" x14ac:dyDescent="0.25">
      <c r="A6629" s="65">
        <v>6628</v>
      </c>
      <c r="B6629" s="64">
        <v>29112501.024804946</v>
      </c>
    </row>
    <row r="6630" spans="1:2" x14ac:dyDescent="0.25">
      <c r="A6630" s="65">
        <v>6629</v>
      </c>
      <c r="B6630" s="64">
        <v>29250364.398632813</v>
      </c>
    </row>
    <row r="6631" spans="1:2" x14ac:dyDescent="0.25">
      <c r="A6631" s="65">
        <v>6630</v>
      </c>
      <c r="B6631" s="64">
        <v>28892957.381316081</v>
      </c>
    </row>
    <row r="6632" spans="1:2" x14ac:dyDescent="0.25">
      <c r="A6632" s="65">
        <v>6631</v>
      </c>
      <c r="B6632" s="64">
        <v>29374882.909096595</v>
      </c>
    </row>
    <row r="6633" spans="1:2" x14ac:dyDescent="0.25">
      <c r="A6633" s="65">
        <v>6632</v>
      </c>
      <c r="B6633" s="64">
        <v>28923770.562659539</v>
      </c>
    </row>
    <row r="6634" spans="1:2" x14ac:dyDescent="0.25">
      <c r="A6634" s="65">
        <v>6633</v>
      </c>
      <c r="B6634" s="64">
        <v>29260266.037823077</v>
      </c>
    </row>
    <row r="6635" spans="1:2" x14ac:dyDescent="0.25">
      <c r="A6635" s="65">
        <v>6634</v>
      </c>
      <c r="B6635" s="64">
        <v>29080533.678243421</v>
      </c>
    </row>
    <row r="6636" spans="1:2" x14ac:dyDescent="0.25">
      <c r="A6636" s="65">
        <v>6635</v>
      </c>
      <c r="B6636" s="64">
        <v>28454042.775167827</v>
      </c>
    </row>
    <row r="6637" spans="1:2" x14ac:dyDescent="0.25">
      <c r="A6637" s="65">
        <v>6636</v>
      </c>
      <c r="B6637" s="64">
        <v>28811418.925795581</v>
      </c>
    </row>
    <row r="6638" spans="1:2" x14ac:dyDescent="0.25">
      <c r="A6638" s="65">
        <v>6637</v>
      </c>
      <c r="B6638" s="64">
        <v>30166221.511162926</v>
      </c>
    </row>
    <row r="6639" spans="1:2" x14ac:dyDescent="0.25">
      <c r="A6639" s="65">
        <v>6638</v>
      </c>
      <c r="B6639" s="64">
        <v>29565832.616479192</v>
      </c>
    </row>
    <row r="6640" spans="1:2" x14ac:dyDescent="0.25">
      <c r="A6640" s="65">
        <v>6639</v>
      </c>
      <c r="B6640" s="64">
        <v>29341899.195823308</v>
      </c>
    </row>
    <row r="6641" spans="1:2" x14ac:dyDescent="0.25">
      <c r="A6641" s="65">
        <v>6640</v>
      </c>
      <c r="B6641" s="64">
        <v>28521559.478955872</v>
      </c>
    </row>
    <row r="6642" spans="1:2" x14ac:dyDescent="0.25">
      <c r="A6642" s="65">
        <v>6641</v>
      </c>
      <c r="B6642" s="64">
        <v>28908562.315348376</v>
      </c>
    </row>
    <row r="6643" spans="1:2" x14ac:dyDescent="0.25">
      <c r="A6643" s="65">
        <v>6642</v>
      </c>
      <c r="B6643" s="64">
        <v>29143336.212358508</v>
      </c>
    </row>
    <row r="6644" spans="1:2" x14ac:dyDescent="0.25">
      <c r="A6644" s="65">
        <v>6643</v>
      </c>
      <c r="B6644" s="64">
        <v>29223091.427015927</v>
      </c>
    </row>
    <row r="6645" spans="1:2" x14ac:dyDescent="0.25">
      <c r="A6645" s="65">
        <v>6644</v>
      </c>
      <c r="B6645" s="64">
        <v>29516911.069203224</v>
      </c>
    </row>
    <row r="6646" spans="1:2" x14ac:dyDescent="0.25">
      <c r="A6646" s="65">
        <v>6645</v>
      </c>
      <c r="B6646" s="64">
        <v>29844167.256802712</v>
      </c>
    </row>
    <row r="6647" spans="1:2" x14ac:dyDescent="0.25">
      <c r="A6647" s="65">
        <v>6646</v>
      </c>
      <c r="B6647" s="64">
        <v>28549988.179577813</v>
      </c>
    </row>
    <row r="6648" spans="1:2" x14ac:dyDescent="0.25">
      <c r="A6648" s="65">
        <v>6647</v>
      </c>
      <c r="B6648" s="64">
        <v>29143855.439523667</v>
      </c>
    </row>
    <row r="6649" spans="1:2" x14ac:dyDescent="0.25">
      <c r="A6649" s="65">
        <v>6648</v>
      </c>
      <c r="B6649" s="64">
        <v>29824192.570315756</v>
      </c>
    </row>
    <row r="6650" spans="1:2" x14ac:dyDescent="0.25">
      <c r="A6650" s="65">
        <v>6649</v>
      </c>
      <c r="B6650" s="64">
        <v>30394238.123091932</v>
      </c>
    </row>
    <row r="6651" spans="1:2" x14ac:dyDescent="0.25">
      <c r="A6651" s="65">
        <v>6650</v>
      </c>
      <c r="B6651" s="64">
        <v>28819370.042029992</v>
      </c>
    </row>
    <row r="6652" spans="1:2" x14ac:dyDescent="0.25">
      <c r="A6652" s="65">
        <v>6651</v>
      </c>
      <c r="B6652" s="64">
        <v>30026692.664142858</v>
      </c>
    </row>
    <row r="6653" spans="1:2" x14ac:dyDescent="0.25">
      <c r="A6653" s="65">
        <v>6652</v>
      </c>
      <c r="B6653" s="64">
        <v>29044879.630730197</v>
      </c>
    </row>
    <row r="6654" spans="1:2" x14ac:dyDescent="0.25">
      <c r="A6654" s="65">
        <v>6653</v>
      </c>
      <c r="B6654" s="64">
        <v>30031852.789129499</v>
      </c>
    </row>
    <row r="6655" spans="1:2" x14ac:dyDescent="0.25">
      <c r="A6655" s="65">
        <v>6654</v>
      </c>
      <c r="B6655" s="64">
        <v>28936277.724230751</v>
      </c>
    </row>
    <row r="6656" spans="1:2" x14ac:dyDescent="0.25">
      <c r="A6656" s="65">
        <v>6655</v>
      </c>
      <c r="B6656" s="64">
        <v>29515303.377042998</v>
      </c>
    </row>
    <row r="6657" spans="1:2" x14ac:dyDescent="0.25">
      <c r="A6657" s="65">
        <v>6656</v>
      </c>
      <c r="B6657" s="64">
        <v>30744458.795786224</v>
      </c>
    </row>
    <row r="6658" spans="1:2" x14ac:dyDescent="0.25">
      <c r="A6658" s="65">
        <v>6657</v>
      </c>
      <c r="B6658" s="64">
        <v>29092416.660082854</v>
      </c>
    </row>
    <row r="6659" spans="1:2" x14ac:dyDescent="0.25">
      <c r="A6659" s="65">
        <v>6658</v>
      </c>
      <c r="B6659" s="64">
        <v>28867245.326887868</v>
      </c>
    </row>
    <row r="6660" spans="1:2" x14ac:dyDescent="0.25">
      <c r="A6660" s="65">
        <v>6659</v>
      </c>
      <c r="B6660" s="64">
        <v>29681548.633491993</v>
      </c>
    </row>
    <row r="6661" spans="1:2" x14ac:dyDescent="0.25">
      <c r="A6661" s="65">
        <v>6660</v>
      </c>
      <c r="B6661" s="64">
        <v>29144406.286853027</v>
      </c>
    </row>
    <row r="6662" spans="1:2" x14ac:dyDescent="0.25">
      <c r="A6662" s="65">
        <v>6661</v>
      </c>
      <c r="B6662" s="64">
        <v>30041196.920993809</v>
      </c>
    </row>
    <row r="6663" spans="1:2" x14ac:dyDescent="0.25">
      <c r="A6663" s="65">
        <v>6662</v>
      </c>
      <c r="B6663" s="64">
        <v>28686534.264833353</v>
      </c>
    </row>
    <row r="6664" spans="1:2" x14ac:dyDescent="0.25">
      <c r="A6664" s="65">
        <v>6663</v>
      </c>
      <c r="B6664" s="64">
        <v>28947181.833635282</v>
      </c>
    </row>
    <row r="6665" spans="1:2" x14ac:dyDescent="0.25">
      <c r="A6665" s="65">
        <v>6664</v>
      </c>
      <c r="B6665" s="64">
        <v>28705423.468379121</v>
      </c>
    </row>
    <row r="6666" spans="1:2" x14ac:dyDescent="0.25">
      <c r="A6666" s="65">
        <v>6665</v>
      </c>
      <c r="B6666" s="64">
        <v>28762299.952889994</v>
      </c>
    </row>
    <row r="6667" spans="1:2" x14ac:dyDescent="0.25">
      <c r="A6667" s="65">
        <v>6666</v>
      </c>
      <c r="B6667" s="64">
        <v>29772864.420436803</v>
      </c>
    </row>
    <row r="6668" spans="1:2" x14ac:dyDescent="0.25">
      <c r="A6668" s="65">
        <v>6667</v>
      </c>
      <c r="B6668" s="64">
        <v>28631893.409235951</v>
      </c>
    </row>
    <row r="6669" spans="1:2" x14ac:dyDescent="0.25">
      <c r="A6669" s="65">
        <v>6668</v>
      </c>
      <c r="B6669" s="64">
        <v>30166396.626929592</v>
      </c>
    </row>
    <row r="6670" spans="1:2" x14ac:dyDescent="0.25">
      <c r="A6670" s="65">
        <v>6669</v>
      </c>
      <c r="B6670" s="64">
        <v>29091577.124310475</v>
      </c>
    </row>
    <row r="6671" spans="1:2" x14ac:dyDescent="0.25">
      <c r="A6671" s="65">
        <v>6670</v>
      </c>
      <c r="B6671" s="64">
        <v>28888925.585871872</v>
      </c>
    </row>
    <row r="6672" spans="1:2" x14ac:dyDescent="0.25">
      <c r="A6672" s="65">
        <v>6671</v>
      </c>
      <c r="B6672" s="64">
        <v>29105293.298170358</v>
      </c>
    </row>
    <row r="6673" spans="1:2" x14ac:dyDescent="0.25">
      <c r="A6673" s="65">
        <v>6672</v>
      </c>
      <c r="B6673" s="64">
        <v>28868865.514447253</v>
      </c>
    </row>
    <row r="6674" spans="1:2" x14ac:dyDescent="0.25">
      <c r="A6674" s="65">
        <v>6673</v>
      </c>
      <c r="B6674" s="64">
        <v>28710924.070688933</v>
      </c>
    </row>
    <row r="6675" spans="1:2" x14ac:dyDescent="0.25">
      <c r="A6675" s="65">
        <v>6674</v>
      </c>
      <c r="B6675" s="64">
        <v>28569822.38968556</v>
      </c>
    </row>
    <row r="6676" spans="1:2" x14ac:dyDescent="0.25">
      <c r="A6676" s="65">
        <v>6675</v>
      </c>
      <c r="B6676" s="64">
        <v>29545782.745993465</v>
      </c>
    </row>
    <row r="6677" spans="1:2" x14ac:dyDescent="0.25">
      <c r="A6677" s="65">
        <v>6676</v>
      </c>
      <c r="B6677" s="64">
        <v>29574452.199408069</v>
      </c>
    </row>
    <row r="6678" spans="1:2" x14ac:dyDescent="0.25">
      <c r="A6678" s="65">
        <v>6677</v>
      </c>
      <c r="B6678" s="64">
        <v>28858465.984602213</v>
      </c>
    </row>
    <row r="6679" spans="1:2" x14ac:dyDescent="0.25">
      <c r="A6679" s="65">
        <v>6678</v>
      </c>
      <c r="B6679" s="64">
        <v>28598371.041643336</v>
      </c>
    </row>
    <row r="6680" spans="1:2" x14ac:dyDescent="0.25">
      <c r="A6680" s="65">
        <v>6679</v>
      </c>
      <c r="B6680" s="64">
        <v>33440300.04132976</v>
      </c>
    </row>
    <row r="6681" spans="1:2" x14ac:dyDescent="0.25">
      <c r="A6681" s="65">
        <v>6680</v>
      </c>
      <c r="B6681" s="64">
        <v>30168105.45124631</v>
      </c>
    </row>
    <row r="6682" spans="1:2" x14ac:dyDescent="0.25">
      <c r="A6682" s="65">
        <v>6681</v>
      </c>
      <c r="B6682" s="64">
        <v>29403202.389153</v>
      </c>
    </row>
    <row r="6683" spans="1:2" x14ac:dyDescent="0.25">
      <c r="A6683" s="65">
        <v>6682</v>
      </c>
      <c r="B6683" s="64">
        <v>28932188.021249887</v>
      </c>
    </row>
    <row r="6684" spans="1:2" x14ac:dyDescent="0.25">
      <c r="A6684" s="65">
        <v>6683</v>
      </c>
      <c r="B6684" s="64">
        <v>28515739.727433156</v>
      </c>
    </row>
    <row r="6685" spans="1:2" x14ac:dyDescent="0.25">
      <c r="A6685" s="65">
        <v>6684</v>
      </c>
      <c r="B6685" s="64">
        <v>29504419.298722379</v>
      </c>
    </row>
    <row r="6686" spans="1:2" x14ac:dyDescent="0.25">
      <c r="A6686" s="65">
        <v>6685</v>
      </c>
      <c r="B6686" s="64">
        <v>28561643.119922645</v>
      </c>
    </row>
    <row r="6687" spans="1:2" x14ac:dyDescent="0.25">
      <c r="A6687" s="65">
        <v>6686</v>
      </c>
      <c r="B6687" s="64">
        <v>29000144.214591492</v>
      </c>
    </row>
    <row r="6688" spans="1:2" x14ac:dyDescent="0.25">
      <c r="A6688" s="65">
        <v>6687</v>
      </c>
      <c r="B6688" s="64">
        <v>28679000.905097164</v>
      </c>
    </row>
    <row r="6689" spans="1:2" x14ac:dyDescent="0.25">
      <c r="A6689" s="65">
        <v>6688</v>
      </c>
      <c r="B6689" s="64">
        <v>28938037.609397829</v>
      </c>
    </row>
    <row r="6690" spans="1:2" x14ac:dyDescent="0.25">
      <c r="A6690" s="65">
        <v>6689</v>
      </c>
      <c r="B6690" s="64">
        <v>28934435.854446433</v>
      </c>
    </row>
    <row r="6691" spans="1:2" x14ac:dyDescent="0.25">
      <c r="A6691" s="65">
        <v>6690</v>
      </c>
      <c r="B6691" s="64">
        <v>29304360.216778964</v>
      </c>
    </row>
    <row r="6692" spans="1:2" x14ac:dyDescent="0.25">
      <c r="A6692" s="65">
        <v>6691</v>
      </c>
      <c r="B6692" s="64">
        <v>29268729.597798601</v>
      </c>
    </row>
    <row r="6693" spans="1:2" x14ac:dyDescent="0.25">
      <c r="A6693" s="65">
        <v>6692</v>
      </c>
      <c r="B6693" s="64">
        <v>28571254.838842589</v>
      </c>
    </row>
    <row r="6694" spans="1:2" x14ac:dyDescent="0.25">
      <c r="A6694" s="65">
        <v>6693</v>
      </c>
      <c r="B6694" s="64">
        <v>28528706.296902973</v>
      </c>
    </row>
    <row r="6695" spans="1:2" x14ac:dyDescent="0.25">
      <c r="A6695" s="65">
        <v>6694</v>
      </c>
      <c r="B6695" s="64">
        <v>29344580.87977891</v>
      </c>
    </row>
    <row r="6696" spans="1:2" x14ac:dyDescent="0.25">
      <c r="A6696" s="65">
        <v>6695</v>
      </c>
      <c r="B6696" s="64">
        <v>31439329.09511207</v>
      </c>
    </row>
    <row r="6697" spans="1:2" x14ac:dyDescent="0.25">
      <c r="A6697" s="65">
        <v>6696</v>
      </c>
      <c r="B6697" s="64">
        <v>29806126.138448276</v>
      </c>
    </row>
    <row r="6698" spans="1:2" x14ac:dyDescent="0.25">
      <c r="A6698" s="65">
        <v>6697</v>
      </c>
      <c r="B6698" s="64">
        <v>29084372.664437331</v>
      </c>
    </row>
    <row r="6699" spans="1:2" x14ac:dyDescent="0.25">
      <c r="A6699" s="65">
        <v>6698</v>
      </c>
      <c r="B6699" s="64">
        <v>29013227.474726401</v>
      </c>
    </row>
    <row r="6700" spans="1:2" x14ac:dyDescent="0.25">
      <c r="A6700" s="65">
        <v>6699</v>
      </c>
      <c r="B6700" s="64">
        <v>30079901.903838124</v>
      </c>
    </row>
    <row r="6701" spans="1:2" x14ac:dyDescent="0.25">
      <c r="A6701" s="65">
        <v>6700</v>
      </c>
      <c r="B6701" s="64">
        <v>28934591.725663073</v>
      </c>
    </row>
    <row r="6702" spans="1:2" x14ac:dyDescent="0.25">
      <c r="A6702" s="65">
        <v>6701</v>
      </c>
      <c r="B6702" s="64">
        <v>29057696.184921563</v>
      </c>
    </row>
    <row r="6703" spans="1:2" x14ac:dyDescent="0.25">
      <c r="A6703" s="65">
        <v>6702</v>
      </c>
      <c r="B6703" s="64">
        <v>28387265.037865117</v>
      </c>
    </row>
    <row r="6704" spans="1:2" x14ac:dyDescent="0.25">
      <c r="A6704" s="65">
        <v>6703</v>
      </c>
      <c r="B6704" s="64">
        <v>28463423.537383411</v>
      </c>
    </row>
    <row r="6705" spans="1:2" x14ac:dyDescent="0.25">
      <c r="A6705" s="65">
        <v>6704</v>
      </c>
      <c r="B6705" s="64">
        <v>28791293.57480514</v>
      </c>
    </row>
    <row r="6706" spans="1:2" x14ac:dyDescent="0.25">
      <c r="A6706" s="65">
        <v>6705</v>
      </c>
      <c r="B6706" s="64">
        <v>29982490.064386103</v>
      </c>
    </row>
    <row r="6707" spans="1:2" x14ac:dyDescent="0.25">
      <c r="A6707" s="65">
        <v>6706</v>
      </c>
      <c r="B6707" s="64">
        <v>30199698.051993087</v>
      </c>
    </row>
    <row r="6708" spans="1:2" x14ac:dyDescent="0.25">
      <c r="A6708" s="65">
        <v>6707</v>
      </c>
      <c r="B6708" s="64">
        <v>30145276.387225341</v>
      </c>
    </row>
    <row r="6709" spans="1:2" x14ac:dyDescent="0.25">
      <c r="A6709" s="65">
        <v>6708</v>
      </c>
      <c r="B6709" s="64">
        <v>28880338.34798418</v>
      </c>
    </row>
    <row r="6710" spans="1:2" x14ac:dyDescent="0.25">
      <c r="A6710" s="65">
        <v>6709</v>
      </c>
      <c r="B6710" s="64">
        <v>28787551.903809551</v>
      </c>
    </row>
    <row r="6711" spans="1:2" x14ac:dyDescent="0.25">
      <c r="A6711" s="65">
        <v>6710</v>
      </c>
      <c r="B6711" s="64">
        <v>29169574.750434712</v>
      </c>
    </row>
    <row r="6712" spans="1:2" x14ac:dyDescent="0.25">
      <c r="A6712" s="65">
        <v>6711</v>
      </c>
      <c r="B6712" s="64">
        <v>29080432.341946565</v>
      </c>
    </row>
    <row r="6713" spans="1:2" x14ac:dyDescent="0.25">
      <c r="A6713" s="65">
        <v>6712</v>
      </c>
      <c r="B6713" s="64">
        <v>28765995.627384707</v>
      </c>
    </row>
    <row r="6714" spans="1:2" x14ac:dyDescent="0.25">
      <c r="A6714" s="65">
        <v>6713</v>
      </c>
      <c r="B6714" s="64">
        <v>28901172.268334117</v>
      </c>
    </row>
    <row r="6715" spans="1:2" x14ac:dyDescent="0.25">
      <c r="A6715" s="65">
        <v>6714</v>
      </c>
      <c r="B6715" s="64">
        <v>29473563.664474063</v>
      </c>
    </row>
    <row r="6716" spans="1:2" x14ac:dyDescent="0.25">
      <c r="A6716" s="65">
        <v>6715</v>
      </c>
      <c r="B6716" s="64">
        <v>31569333.29838264</v>
      </c>
    </row>
    <row r="6717" spans="1:2" x14ac:dyDescent="0.25">
      <c r="A6717" s="65">
        <v>6716</v>
      </c>
      <c r="B6717" s="64">
        <v>28678974.72184046</v>
      </c>
    </row>
    <row r="6718" spans="1:2" x14ac:dyDescent="0.25">
      <c r="A6718" s="65">
        <v>6717</v>
      </c>
      <c r="B6718" s="64">
        <v>29322235.852806602</v>
      </c>
    </row>
    <row r="6719" spans="1:2" x14ac:dyDescent="0.25">
      <c r="A6719" s="65">
        <v>6718</v>
      </c>
      <c r="B6719" s="64">
        <v>29057717.822921183</v>
      </c>
    </row>
    <row r="6720" spans="1:2" x14ac:dyDescent="0.25">
      <c r="A6720" s="65">
        <v>6719</v>
      </c>
      <c r="B6720" s="64">
        <v>29474654.741581164</v>
      </c>
    </row>
    <row r="6721" spans="1:2" x14ac:dyDescent="0.25">
      <c r="A6721" s="65">
        <v>6720</v>
      </c>
      <c r="B6721" s="64">
        <v>29557851.481894735</v>
      </c>
    </row>
    <row r="6722" spans="1:2" x14ac:dyDescent="0.25">
      <c r="A6722" s="65">
        <v>6721</v>
      </c>
      <c r="B6722" s="64">
        <v>29333975.340709697</v>
      </c>
    </row>
    <row r="6723" spans="1:2" x14ac:dyDescent="0.25">
      <c r="A6723" s="65">
        <v>6722</v>
      </c>
      <c r="B6723" s="64">
        <v>29110292.711999703</v>
      </c>
    </row>
    <row r="6724" spans="1:2" x14ac:dyDescent="0.25">
      <c r="A6724" s="65">
        <v>6723</v>
      </c>
      <c r="B6724" s="64">
        <v>29486611.689761695</v>
      </c>
    </row>
    <row r="6725" spans="1:2" x14ac:dyDescent="0.25">
      <c r="A6725" s="65">
        <v>6724</v>
      </c>
      <c r="B6725" s="64">
        <v>28370134.150149763</v>
      </c>
    </row>
    <row r="6726" spans="1:2" x14ac:dyDescent="0.25">
      <c r="A6726" s="65">
        <v>6725</v>
      </c>
      <c r="B6726" s="64">
        <v>29928245.753543016</v>
      </c>
    </row>
    <row r="6727" spans="1:2" x14ac:dyDescent="0.25">
      <c r="A6727" s="65">
        <v>6726</v>
      </c>
      <c r="B6727" s="64">
        <v>29052553.460461382</v>
      </c>
    </row>
    <row r="6728" spans="1:2" x14ac:dyDescent="0.25">
      <c r="A6728" s="65">
        <v>6727</v>
      </c>
      <c r="B6728" s="64">
        <v>28976130.514369521</v>
      </c>
    </row>
    <row r="6729" spans="1:2" x14ac:dyDescent="0.25">
      <c r="A6729" s="65">
        <v>6728</v>
      </c>
      <c r="B6729" s="64">
        <v>28705794.696245112</v>
      </c>
    </row>
    <row r="6730" spans="1:2" x14ac:dyDescent="0.25">
      <c r="A6730" s="65">
        <v>6729</v>
      </c>
      <c r="B6730" s="64">
        <v>33181466.60040367</v>
      </c>
    </row>
    <row r="6731" spans="1:2" x14ac:dyDescent="0.25">
      <c r="A6731" s="65">
        <v>6730</v>
      </c>
      <c r="B6731" s="64">
        <v>28496960.441906765</v>
      </c>
    </row>
    <row r="6732" spans="1:2" x14ac:dyDescent="0.25">
      <c r="A6732" s="65">
        <v>6731</v>
      </c>
      <c r="B6732" s="64">
        <v>29389104.397656787</v>
      </c>
    </row>
    <row r="6733" spans="1:2" x14ac:dyDescent="0.25">
      <c r="A6733" s="65">
        <v>6732</v>
      </c>
      <c r="B6733" s="64">
        <v>30245627.23993931</v>
      </c>
    </row>
    <row r="6734" spans="1:2" x14ac:dyDescent="0.25">
      <c r="A6734" s="65">
        <v>6733</v>
      </c>
      <c r="B6734" s="64">
        <v>30326204.880512096</v>
      </c>
    </row>
    <row r="6735" spans="1:2" x14ac:dyDescent="0.25">
      <c r="A6735" s="65">
        <v>6734</v>
      </c>
      <c r="B6735" s="64">
        <v>28523220.358684603</v>
      </c>
    </row>
    <row r="6736" spans="1:2" x14ac:dyDescent="0.25">
      <c r="A6736" s="65">
        <v>6735</v>
      </c>
      <c r="B6736" s="64">
        <v>28590514.261029832</v>
      </c>
    </row>
    <row r="6737" spans="1:2" x14ac:dyDescent="0.25">
      <c r="A6737" s="65">
        <v>6736</v>
      </c>
      <c r="B6737" s="64">
        <v>29449716.62376399</v>
      </c>
    </row>
    <row r="6738" spans="1:2" x14ac:dyDescent="0.25">
      <c r="A6738" s="65">
        <v>6737</v>
      </c>
      <c r="B6738" s="64">
        <v>30090878.753890458</v>
      </c>
    </row>
    <row r="6739" spans="1:2" x14ac:dyDescent="0.25">
      <c r="A6739" s="65">
        <v>6738</v>
      </c>
      <c r="B6739" s="64">
        <v>28730608.751456015</v>
      </c>
    </row>
    <row r="6740" spans="1:2" x14ac:dyDescent="0.25">
      <c r="A6740" s="65">
        <v>6739</v>
      </c>
      <c r="B6740" s="64">
        <v>29018010.225576121</v>
      </c>
    </row>
    <row r="6741" spans="1:2" x14ac:dyDescent="0.25">
      <c r="A6741" s="65">
        <v>6740</v>
      </c>
      <c r="B6741" s="64">
        <v>29915895.058008973</v>
      </c>
    </row>
    <row r="6742" spans="1:2" x14ac:dyDescent="0.25">
      <c r="A6742" s="65">
        <v>6741</v>
      </c>
      <c r="B6742" s="64">
        <v>29026526.825019959</v>
      </c>
    </row>
    <row r="6743" spans="1:2" x14ac:dyDescent="0.25">
      <c r="A6743" s="65">
        <v>6742</v>
      </c>
      <c r="B6743" s="64">
        <v>28664690.14642572</v>
      </c>
    </row>
    <row r="6744" spans="1:2" x14ac:dyDescent="0.25">
      <c r="A6744" s="65">
        <v>6743</v>
      </c>
      <c r="B6744" s="64">
        <v>28458007.395692654</v>
      </c>
    </row>
    <row r="6745" spans="1:2" x14ac:dyDescent="0.25">
      <c r="A6745" s="65">
        <v>6744</v>
      </c>
      <c r="B6745" s="64">
        <v>29757605.053658593</v>
      </c>
    </row>
    <row r="6746" spans="1:2" x14ac:dyDescent="0.25">
      <c r="A6746" s="65">
        <v>6745</v>
      </c>
      <c r="B6746" s="64">
        <v>29113033.5280076</v>
      </c>
    </row>
    <row r="6747" spans="1:2" x14ac:dyDescent="0.25">
      <c r="A6747" s="65">
        <v>6746</v>
      </c>
      <c r="B6747" s="64">
        <v>28695087.089945283</v>
      </c>
    </row>
    <row r="6748" spans="1:2" x14ac:dyDescent="0.25">
      <c r="A6748" s="65">
        <v>6747</v>
      </c>
      <c r="B6748" s="64">
        <v>29302229.252837013</v>
      </c>
    </row>
    <row r="6749" spans="1:2" x14ac:dyDescent="0.25">
      <c r="A6749" s="65">
        <v>6748</v>
      </c>
      <c r="B6749" s="64">
        <v>30401706.687539894</v>
      </c>
    </row>
    <row r="6750" spans="1:2" x14ac:dyDescent="0.25">
      <c r="A6750" s="65">
        <v>6749</v>
      </c>
      <c r="B6750" s="64">
        <v>30230789.113476314</v>
      </c>
    </row>
    <row r="6751" spans="1:2" x14ac:dyDescent="0.25">
      <c r="A6751" s="65">
        <v>6750</v>
      </c>
      <c r="B6751" s="64">
        <v>29000208.807987809</v>
      </c>
    </row>
    <row r="6752" spans="1:2" x14ac:dyDescent="0.25">
      <c r="A6752" s="65">
        <v>6751</v>
      </c>
      <c r="B6752" s="64">
        <v>30001916.001573786</v>
      </c>
    </row>
    <row r="6753" spans="1:2" x14ac:dyDescent="0.25">
      <c r="A6753" s="65">
        <v>6752</v>
      </c>
      <c r="B6753" s="64">
        <v>29021982.136764154</v>
      </c>
    </row>
    <row r="6754" spans="1:2" x14ac:dyDescent="0.25">
      <c r="A6754" s="65">
        <v>6753</v>
      </c>
      <c r="B6754" s="64">
        <v>29700618.314963914</v>
      </c>
    </row>
    <row r="6755" spans="1:2" x14ac:dyDescent="0.25">
      <c r="A6755" s="65">
        <v>6754</v>
      </c>
      <c r="B6755" s="64">
        <v>28704232.165467419</v>
      </c>
    </row>
    <row r="6756" spans="1:2" x14ac:dyDescent="0.25">
      <c r="A6756" s="65">
        <v>6755</v>
      </c>
      <c r="B6756" s="64">
        <v>30265345.394830339</v>
      </c>
    </row>
    <row r="6757" spans="1:2" x14ac:dyDescent="0.25">
      <c r="A6757" s="65">
        <v>6756</v>
      </c>
      <c r="B6757" s="64">
        <v>29061626.849728689</v>
      </c>
    </row>
    <row r="6758" spans="1:2" x14ac:dyDescent="0.25">
      <c r="A6758" s="65">
        <v>6757</v>
      </c>
      <c r="B6758" s="64">
        <v>29336803.532481447</v>
      </c>
    </row>
    <row r="6759" spans="1:2" x14ac:dyDescent="0.25">
      <c r="A6759" s="65">
        <v>6758</v>
      </c>
      <c r="B6759" s="64">
        <v>28748902.935187459</v>
      </c>
    </row>
    <row r="6760" spans="1:2" x14ac:dyDescent="0.25">
      <c r="A6760" s="65">
        <v>6759</v>
      </c>
      <c r="B6760" s="64">
        <v>30043369.907501467</v>
      </c>
    </row>
    <row r="6761" spans="1:2" x14ac:dyDescent="0.25">
      <c r="A6761" s="65">
        <v>6760</v>
      </c>
      <c r="B6761" s="64">
        <v>30811387.941955004</v>
      </c>
    </row>
    <row r="6762" spans="1:2" x14ac:dyDescent="0.25">
      <c r="A6762" s="65">
        <v>6761</v>
      </c>
      <c r="B6762" s="64">
        <v>28792680.063717108</v>
      </c>
    </row>
    <row r="6763" spans="1:2" x14ac:dyDescent="0.25">
      <c r="A6763" s="65">
        <v>6762</v>
      </c>
      <c r="B6763" s="64">
        <v>28964581.703497775</v>
      </c>
    </row>
    <row r="6764" spans="1:2" x14ac:dyDescent="0.25">
      <c r="A6764" s="65">
        <v>6763</v>
      </c>
      <c r="B6764" s="64">
        <v>29846338.367876045</v>
      </c>
    </row>
    <row r="6765" spans="1:2" x14ac:dyDescent="0.25">
      <c r="A6765" s="65">
        <v>6764</v>
      </c>
      <c r="B6765" s="64">
        <v>29009847.537324224</v>
      </c>
    </row>
    <row r="6766" spans="1:2" x14ac:dyDescent="0.25">
      <c r="A6766" s="65">
        <v>6765</v>
      </c>
      <c r="B6766" s="64">
        <v>30132483.015137434</v>
      </c>
    </row>
    <row r="6767" spans="1:2" x14ac:dyDescent="0.25">
      <c r="A6767" s="65">
        <v>6766</v>
      </c>
      <c r="B6767" s="64">
        <v>29244290.105700146</v>
      </c>
    </row>
    <row r="6768" spans="1:2" x14ac:dyDescent="0.25">
      <c r="A6768" s="65">
        <v>6767</v>
      </c>
      <c r="B6768" s="64">
        <v>28798085.678911317</v>
      </c>
    </row>
    <row r="6769" spans="1:2" x14ac:dyDescent="0.25">
      <c r="A6769" s="65">
        <v>6768</v>
      </c>
      <c r="B6769" s="64">
        <v>29255576.831998102</v>
      </c>
    </row>
    <row r="6770" spans="1:2" x14ac:dyDescent="0.25">
      <c r="A6770" s="65">
        <v>6769</v>
      </c>
      <c r="B6770" s="64">
        <v>29968864.029401042</v>
      </c>
    </row>
    <row r="6771" spans="1:2" x14ac:dyDescent="0.25">
      <c r="A6771" s="65">
        <v>6770</v>
      </c>
      <c r="B6771" s="64">
        <v>30096310.12146765</v>
      </c>
    </row>
    <row r="6772" spans="1:2" x14ac:dyDescent="0.25">
      <c r="A6772" s="65">
        <v>6771</v>
      </c>
      <c r="B6772" s="64">
        <v>28707686.959843986</v>
      </c>
    </row>
    <row r="6773" spans="1:2" x14ac:dyDescent="0.25">
      <c r="A6773" s="65">
        <v>6772</v>
      </c>
      <c r="B6773" s="64">
        <v>32817452.934988026</v>
      </c>
    </row>
    <row r="6774" spans="1:2" x14ac:dyDescent="0.25">
      <c r="A6774" s="65">
        <v>6773</v>
      </c>
      <c r="B6774" s="64">
        <v>30664508.203209121</v>
      </c>
    </row>
    <row r="6775" spans="1:2" x14ac:dyDescent="0.25">
      <c r="A6775" s="65">
        <v>6774</v>
      </c>
      <c r="B6775" s="64">
        <v>29658739.833196521</v>
      </c>
    </row>
    <row r="6776" spans="1:2" x14ac:dyDescent="0.25">
      <c r="A6776" s="65">
        <v>6775</v>
      </c>
      <c r="B6776" s="64">
        <v>28657612.959491882</v>
      </c>
    </row>
    <row r="6777" spans="1:2" x14ac:dyDescent="0.25">
      <c r="A6777" s="65">
        <v>6776</v>
      </c>
      <c r="B6777" s="64">
        <v>28981793.306716662</v>
      </c>
    </row>
    <row r="6778" spans="1:2" x14ac:dyDescent="0.25">
      <c r="A6778" s="65">
        <v>6777</v>
      </c>
      <c r="B6778" s="64">
        <v>29152962.473142371</v>
      </c>
    </row>
    <row r="6779" spans="1:2" x14ac:dyDescent="0.25">
      <c r="A6779" s="65">
        <v>6778</v>
      </c>
      <c r="B6779" s="64">
        <v>28698567.00083106</v>
      </c>
    </row>
    <row r="6780" spans="1:2" x14ac:dyDescent="0.25">
      <c r="A6780" s="65">
        <v>6779</v>
      </c>
      <c r="B6780" s="64">
        <v>28540866.117771421</v>
      </c>
    </row>
    <row r="6781" spans="1:2" x14ac:dyDescent="0.25">
      <c r="A6781" s="65">
        <v>6780</v>
      </c>
      <c r="B6781" s="64">
        <v>28552200.469053768</v>
      </c>
    </row>
    <row r="6782" spans="1:2" x14ac:dyDescent="0.25">
      <c r="A6782" s="65">
        <v>6781</v>
      </c>
      <c r="B6782" s="64">
        <v>29094230.132622901</v>
      </c>
    </row>
    <row r="6783" spans="1:2" x14ac:dyDescent="0.25">
      <c r="A6783" s="65">
        <v>6782</v>
      </c>
      <c r="B6783" s="64">
        <v>29784587.835358098</v>
      </c>
    </row>
    <row r="6784" spans="1:2" x14ac:dyDescent="0.25">
      <c r="A6784" s="65">
        <v>6783</v>
      </c>
      <c r="B6784" s="64">
        <v>29102283.990831733</v>
      </c>
    </row>
    <row r="6785" spans="1:2" x14ac:dyDescent="0.25">
      <c r="A6785" s="65">
        <v>6784</v>
      </c>
      <c r="B6785" s="64">
        <v>33592908.046935275</v>
      </c>
    </row>
    <row r="6786" spans="1:2" x14ac:dyDescent="0.25">
      <c r="A6786" s="65">
        <v>6785</v>
      </c>
      <c r="B6786" s="64">
        <v>28658862.99452899</v>
      </c>
    </row>
    <row r="6787" spans="1:2" x14ac:dyDescent="0.25">
      <c r="A6787" s="65">
        <v>6786</v>
      </c>
      <c r="B6787" s="64">
        <v>28849983.650076032</v>
      </c>
    </row>
    <row r="6788" spans="1:2" x14ac:dyDescent="0.25">
      <c r="A6788" s="65">
        <v>6787</v>
      </c>
      <c r="B6788" s="64">
        <v>28589229.776470501</v>
      </c>
    </row>
    <row r="6789" spans="1:2" x14ac:dyDescent="0.25">
      <c r="A6789" s="65">
        <v>6788</v>
      </c>
      <c r="B6789" s="64">
        <v>28985998.261693627</v>
      </c>
    </row>
    <row r="6790" spans="1:2" x14ac:dyDescent="0.25">
      <c r="A6790" s="65">
        <v>6789</v>
      </c>
      <c r="B6790" s="64">
        <v>28313338.944984209</v>
      </c>
    </row>
    <row r="6791" spans="1:2" x14ac:dyDescent="0.25">
      <c r="A6791" s="65">
        <v>6790</v>
      </c>
      <c r="B6791" s="64">
        <v>28531870.221447796</v>
      </c>
    </row>
    <row r="6792" spans="1:2" x14ac:dyDescent="0.25">
      <c r="A6792" s="65">
        <v>6791</v>
      </c>
      <c r="B6792" s="64">
        <v>30599598.916058246</v>
      </c>
    </row>
    <row r="6793" spans="1:2" x14ac:dyDescent="0.25">
      <c r="A6793" s="65">
        <v>6792</v>
      </c>
      <c r="B6793" s="64">
        <v>29363530.196717527</v>
      </c>
    </row>
    <row r="6794" spans="1:2" x14ac:dyDescent="0.25">
      <c r="A6794" s="65">
        <v>6793</v>
      </c>
      <c r="B6794" s="64">
        <v>29072843.642070282</v>
      </c>
    </row>
    <row r="6795" spans="1:2" x14ac:dyDescent="0.25">
      <c r="A6795" s="65">
        <v>6794</v>
      </c>
      <c r="B6795" s="64">
        <v>29115626.984392367</v>
      </c>
    </row>
    <row r="6796" spans="1:2" x14ac:dyDescent="0.25">
      <c r="A6796" s="65">
        <v>6795</v>
      </c>
      <c r="B6796" s="64">
        <v>29223463.272021655</v>
      </c>
    </row>
    <row r="6797" spans="1:2" x14ac:dyDescent="0.25">
      <c r="A6797" s="65">
        <v>6796</v>
      </c>
      <c r="B6797" s="64">
        <v>28536737.344151724</v>
      </c>
    </row>
    <row r="6798" spans="1:2" x14ac:dyDescent="0.25">
      <c r="A6798" s="65">
        <v>6797</v>
      </c>
      <c r="B6798" s="64">
        <v>28697518.762731336</v>
      </c>
    </row>
    <row r="6799" spans="1:2" x14ac:dyDescent="0.25">
      <c r="A6799" s="65">
        <v>6798</v>
      </c>
      <c r="B6799" s="64">
        <v>29477463.069141999</v>
      </c>
    </row>
    <row r="6800" spans="1:2" x14ac:dyDescent="0.25">
      <c r="A6800" s="65">
        <v>6799</v>
      </c>
      <c r="B6800" s="64">
        <v>28593200.694690213</v>
      </c>
    </row>
    <row r="6801" spans="1:2" x14ac:dyDescent="0.25">
      <c r="A6801" s="65">
        <v>6800</v>
      </c>
      <c r="B6801" s="64">
        <v>30908689.939661846</v>
      </c>
    </row>
    <row r="6802" spans="1:2" x14ac:dyDescent="0.25">
      <c r="A6802" s="65">
        <v>6801</v>
      </c>
      <c r="B6802" s="64">
        <v>30537329.349804055</v>
      </c>
    </row>
    <row r="6803" spans="1:2" x14ac:dyDescent="0.25">
      <c r="A6803" s="65">
        <v>6802</v>
      </c>
      <c r="B6803" s="64">
        <v>28708741.822893683</v>
      </c>
    </row>
    <row r="6804" spans="1:2" x14ac:dyDescent="0.25">
      <c r="A6804" s="65">
        <v>6803</v>
      </c>
      <c r="B6804" s="64">
        <v>30616443.94975182</v>
      </c>
    </row>
    <row r="6805" spans="1:2" x14ac:dyDescent="0.25">
      <c r="A6805" s="65">
        <v>6804</v>
      </c>
      <c r="B6805" s="64">
        <v>28958370.102773409</v>
      </c>
    </row>
    <row r="6806" spans="1:2" x14ac:dyDescent="0.25">
      <c r="A6806" s="65">
        <v>6805</v>
      </c>
      <c r="B6806" s="64">
        <v>29291429.933065571</v>
      </c>
    </row>
    <row r="6807" spans="1:2" x14ac:dyDescent="0.25">
      <c r="A6807" s="65">
        <v>6806</v>
      </c>
      <c r="B6807" s="64">
        <v>29606362.648972355</v>
      </c>
    </row>
    <row r="6808" spans="1:2" x14ac:dyDescent="0.25">
      <c r="A6808" s="65">
        <v>6807</v>
      </c>
      <c r="B6808" s="64">
        <v>28957941.981188647</v>
      </c>
    </row>
    <row r="6809" spans="1:2" x14ac:dyDescent="0.25">
      <c r="A6809" s="65">
        <v>6808</v>
      </c>
      <c r="B6809" s="64">
        <v>28556797.281426899</v>
      </c>
    </row>
    <row r="6810" spans="1:2" x14ac:dyDescent="0.25">
      <c r="A6810" s="65">
        <v>6809</v>
      </c>
      <c r="B6810" s="64">
        <v>28701535.053500276</v>
      </c>
    </row>
    <row r="6811" spans="1:2" x14ac:dyDescent="0.25">
      <c r="A6811" s="65">
        <v>6810</v>
      </c>
      <c r="B6811" s="64">
        <v>28729779.806094073</v>
      </c>
    </row>
    <row r="6812" spans="1:2" x14ac:dyDescent="0.25">
      <c r="A6812" s="65">
        <v>6811</v>
      </c>
      <c r="B6812" s="64">
        <v>29183294.353011645</v>
      </c>
    </row>
    <row r="6813" spans="1:2" x14ac:dyDescent="0.25">
      <c r="A6813" s="65">
        <v>6812</v>
      </c>
      <c r="B6813" s="64">
        <v>30978032.441815987</v>
      </c>
    </row>
    <row r="6814" spans="1:2" x14ac:dyDescent="0.25">
      <c r="A6814" s="65">
        <v>6813</v>
      </c>
      <c r="B6814" s="64">
        <v>28841375.985527441</v>
      </c>
    </row>
    <row r="6815" spans="1:2" x14ac:dyDescent="0.25">
      <c r="A6815" s="65">
        <v>6814</v>
      </c>
      <c r="B6815" s="64">
        <v>33239881.355398063</v>
      </c>
    </row>
    <row r="6816" spans="1:2" x14ac:dyDescent="0.25">
      <c r="A6816" s="65">
        <v>6815</v>
      </c>
      <c r="B6816" s="64">
        <v>33360352.960951969</v>
      </c>
    </row>
    <row r="6817" spans="1:2" x14ac:dyDescent="0.25">
      <c r="A6817" s="65">
        <v>6816</v>
      </c>
      <c r="B6817" s="64">
        <v>29238610.329326976</v>
      </c>
    </row>
    <row r="6818" spans="1:2" x14ac:dyDescent="0.25">
      <c r="A6818" s="65">
        <v>6817</v>
      </c>
      <c r="B6818" s="64">
        <v>28679536.853425432</v>
      </c>
    </row>
    <row r="6819" spans="1:2" x14ac:dyDescent="0.25">
      <c r="A6819" s="65">
        <v>6818</v>
      </c>
      <c r="B6819" s="64">
        <v>28783557.226272233</v>
      </c>
    </row>
    <row r="6820" spans="1:2" x14ac:dyDescent="0.25">
      <c r="A6820" s="65">
        <v>6819</v>
      </c>
      <c r="B6820" s="64">
        <v>29761578.449344523</v>
      </c>
    </row>
    <row r="6821" spans="1:2" x14ac:dyDescent="0.25">
      <c r="A6821" s="65">
        <v>6820</v>
      </c>
      <c r="B6821" s="64">
        <v>29709804.206211697</v>
      </c>
    </row>
    <row r="6822" spans="1:2" x14ac:dyDescent="0.25">
      <c r="A6822" s="65">
        <v>6821</v>
      </c>
      <c r="B6822" s="64">
        <v>28842556.884100344</v>
      </c>
    </row>
    <row r="6823" spans="1:2" x14ac:dyDescent="0.25">
      <c r="A6823" s="65">
        <v>6822</v>
      </c>
      <c r="B6823" s="64">
        <v>28742277.854953412</v>
      </c>
    </row>
    <row r="6824" spans="1:2" x14ac:dyDescent="0.25">
      <c r="A6824" s="65">
        <v>6823</v>
      </c>
      <c r="B6824" s="64">
        <v>28614614.954802651</v>
      </c>
    </row>
    <row r="6825" spans="1:2" x14ac:dyDescent="0.25">
      <c r="A6825" s="65">
        <v>6824</v>
      </c>
      <c r="B6825" s="64">
        <v>33171313.14897773</v>
      </c>
    </row>
    <row r="6826" spans="1:2" x14ac:dyDescent="0.25">
      <c r="A6826" s="65">
        <v>6825</v>
      </c>
      <c r="B6826" s="64">
        <v>28694164.042165894</v>
      </c>
    </row>
    <row r="6827" spans="1:2" x14ac:dyDescent="0.25">
      <c r="A6827" s="65">
        <v>6826</v>
      </c>
      <c r="B6827" s="64">
        <v>30016646.250869721</v>
      </c>
    </row>
    <row r="6828" spans="1:2" x14ac:dyDescent="0.25">
      <c r="A6828" s="65">
        <v>6827</v>
      </c>
      <c r="B6828" s="64">
        <v>28943831.891746398</v>
      </c>
    </row>
    <row r="6829" spans="1:2" x14ac:dyDescent="0.25">
      <c r="A6829" s="65">
        <v>6828</v>
      </c>
      <c r="B6829" s="64">
        <v>29520272.050612219</v>
      </c>
    </row>
    <row r="6830" spans="1:2" x14ac:dyDescent="0.25">
      <c r="A6830" s="65">
        <v>6829</v>
      </c>
      <c r="B6830" s="64">
        <v>29856898.747623045</v>
      </c>
    </row>
    <row r="6831" spans="1:2" x14ac:dyDescent="0.25">
      <c r="A6831" s="65">
        <v>6830</v>
      </c>
      <c r="B6831" s="64">
        <v>28998479.219085846</v>
      </c>
    </row>
    <row r="6832" spans="1:2" x14ac:dyDescent="0.25">
      <c r="A6832" s="65">
        <v>6831</v>
      </c>
      <c r="B6832" s="64">
        <v>28699011.871950928</v>
      </c>
    </row>
    <row r="6833" spans="1:2" x14ac:dyDescent="0.25">
      <c r="A6833" s="65">
        <v>6832</v>
      </c>
      <c r="B6833" s="64">
        <v>29561156.04285273</v>
      </c>
    </row>
    <row r="6834" spans="1:2" x14ac:dyDescent="0.25">
      <c r="A6834" s="65">
        <v>6833</v>
      </c>
      <c r="B6834" s="64">
        <v>29135156.403278276</v>
      </c>
    </row>
    <row r="6835" spans="1:2" x14ac:dyDescent="0.25">
      <c r="A6835" s="65">
        <v>6834</v>
      </c>
      <c r="B6835" s="64">
        <v>29478673.435581159</v>
      </c>
    </row>
    <row r="6836" spans="1:2" x14ac:dyDescent="0.25">
      <c r="A6836" s="65">
        <v>6835</v>
      </c>
      <c r="B6836" s="64">
        <v>29873968.187844157</v>
      </c>
    </row>
    <row r="6837" spans="1:2" x14ac:dyDescent="0.25">
      <c r="A6837" s="65">
        <v>6836</v>
      </c>
      <c r="B6837" s="64">
        <v>29278370.915244851</v>
      </c>
    </row>
    <row r="6838" spans="1:2" x14ac:dyDescent="0.25">
      <c r="A6838" s="65">
        <v>6837</v>
      </c>
      <c r="B6838" s="64">
        <v>32977379.782017615</v>
      </c>
    </row>
    <row r="6839" spans="1:2" x14ac:dyDescent="0.25">
      <c r="A6839" s="65">
        <v>6838</v>
      </c>
      <c r="B6839" s="64">
        <v>29298563.132155281</v>
      </c>
    </row>
    <row r="6840" spans="1:2" x14ac:dyDescent="0.25">
      <c r="A6840" s="65">
        <v>6839</v>
      </c>
      <c r="B6840" s="64">
        <v>29046565.414638236</v>
      </c>
    </row>
    <row r="6841" spans="1:2" x14ac:dyDescent="0.25">
      <c r="A6841" s="65">
        <v>6840</v>
      </c>
      <c r="B6841" s="64">
        <v>28511455.765507817</v>
      </c>
    </row>
    <row r="6842" spans="1:2" x14ac:dyDescent="0.25">
      <c r="A6842" s="65">
        <v>6841</v>
      </c>
      <c r="B6842" s="64">
        <v>28996450.497878999</v>
      </c>
    </row>
    <row r="6843" spans="1:2" x14ac:dyDescent="0.25">
      <c r="A6843" s="65">
        <v>6842</v>
      </c>
      <c r="B6843" s="64">
        <v>29594795.95734939</v>
      </c>
    </row>
    <row r="6844" spans="1:2" x14ac:dyDescent="0.25">
      <c r="A6844" s="65">
        <v>6843</v>
      </c>
      <c r="B6844" s="64">
        <v>29640525.782539304</v>
      </c>
    </row>
    <row r="6845" spans="1:2" x14ac:dyDescent="0.25">
      <c r="A6845" s="65">
        <v>6844</v>
      </c>
      <c r="B6845" s="64">
        <v>28632110.687235862</v>
      </c>
    </row>
    <row r="6846" spans="1:2" x14ac:dyDescent="0.25">
      <c r="A6846" s="65">
        <v>6845</v>
      </c>
      <c r="B6846" s="64">
        <v>29911897.793397781</v>
      </c>
    </row>
    <row r="6847" spans="1:2" x14ac:dyDescent="0.25">
      <c r="A6847" s="65">
        <v>6846</v>
      </c>
      <c r="B6847" s="64">
        <v>28854711.989116404</v>
      </c>
    </row>
    <row r="6848" spans="1:2" x14ac:dyDescent="0.25">
      <c r="A6848" s="65">
        <v>6847</v>
      </c>
      <c r="B6848" s="64">
        <v>29498310.630734768</v>
      </c>
    </row>
    <row r="6849" spans="1:2" x14ac:dyDescent="0.25">
      <c r="A6849" s="65">
        <v>6848</v>
      </c>
      <c r="B6849" s="64">
        <v>28877612.395829108</v>
      </c>
    </row>
    <row r="6850" spans="1:2" x14ac:dyDescent="0.25">
      <c r="A6850" s="65">
        <v>6849</v>
      </c>
      <c r="B6850" s="64">
        <v>29147972.970503435</v>
      </c>
    </row>
    <row r="6851" spans="1:2" x14ac:dyDescent="0.25">
      <c r="A6851" s="65">
        <v>6850</v>
      </c>
      <c r="B6851" s="64">
        <v>30243875.927210733</v>
      </c>
    </row>
    <row r="6852" spans="1:2" x14ac:dyDescent="0.25">
      <c r="A6852" s="65">
        <v>6851</v>
      </c>
      <c r="B6852" s="64">
        <v>29252226.619091384</v>
      </c>
    </row>
    <row r="6853" spans="1:2" x14ac:dyDescent="0.25">
      <c r="A6853" s="65">
        <v>6852</v>
      </c>
      <c r="B6853" s="64">
        <v>28810744.399442319</v>
      </c>
    </row>
    <row r="6854" spans="1:2" x14ac:dyDescent="0.25">
      <c r="A6854" s="65">
        <v>6853</v>
      </c>
      <c r="B6854" s="64">
        <v>28600983.961402699</v>
      </c>
    </row>
    <row r="6855" spans="1:2" x14ac:dyDescent="0.25">
      <c r="A6855" s="65">
        <v>6854</v>
      </c>
      <c r="B6855" s="64">
        <v>30407907.726599619</v>
      </c>
    </row>
    <row r="6856" spans="1:2" x14ac:dyDescent="0.25">
      <c r="A6856" s="65">
        <v>6855</v>
      </c>
      <c r="B6856" s="64">
        <v>30008801.044430852</v>
      </c>
    </row>
    <row r="6857" spans="1:2" x14ac:dyDescent="0.25">
      <c r="A6857" s="65">
        <v>6856</v>
      </c>
      <c r="B6857" s="64">
        <v>28997587.795742724</v>
      </c>
    </row>
    <row r="6858" spans="1:2" x14ac:dyDescent="0.25">
      <c r="A6858" s="65">
        <v>6857</v>
      </c>
      <c r="B6858" s="64">
        <v>31159454.500007071</v>
      </c>
    </row>
    <row r="6859" spans="1:2" x14ac:dyDescent="0.25">
      <c r="A6859" s="65">
        <v>6858</v>
      </c>
      <c r="B6859" s="64">
        <v>28628908.039481398</v>
      </c>
    </row>
    <row r="6860" spans="1:2" x14ac:dyDescent="0.25">
      <c r="A6860" s="65">
        <v>6859</v>
      </c>
      <c r="B6860" s="64">
        <v>29476853.03014899</v>
      </c>
    </row>
    <row r="6861" spans="1:2" x14ac:dyDescent="0.25">
      <c r="A6861" s="65">
        <v>6860</v>
      </c>
      <c r="B6861" s="64">
        <v>28996235.082974959</v>
      </c>
    </row>
    <row r="6862" spans="1:2" x14ac:dyDescent="0.25">
      <c r="A6862" s="65">
        <v>6861</v>
      </c>
      <c r="B6862" s="64">
        <v>28513907.384433802</v>
      </c>
    </row>
    <row r="6863" spans="1:2" x14ac:dyDescent="0.25">
      <c r="A6863" s="65">
        <v>6862</v>
      </c>
      <c r="B6863" s="64">
        <v>28735584.594728518</v>
      </c>
    </row>
    <row r="6864" spans="1:2" x14ac:dyDescent="0.25">
      <c r="A6864" s="65">
        <v>6863</v>
      </c>
      <c r="B6864" s="64">
        <v>28437640.148295779</v>
      </c>
    </row>
    <row r="6865" spans="1:2" x14ac:dyDescent="0.25">
      <c r="A6865" s="65">
        <v>6864</v>
      </c>
      <c r="B6865" s="64">
        <v>29744433.916726738</v>
      </c>
    </row>
    <row r="6866" spans="1:2" x14ac:dyDescent="0.25">
      <c r="A6866" s="65">
        <v>6865</v>
      </c>
      <c r="B6866" s="64">
        <v>29435089.323743001</v>
      </c>
    </row>
    <row r="6867" spans="1:2" x14ac:dyDescent="0.25">
      <c r="A6867" s="65">
        <v>6866</v>
      </c>
      <c r="B6867" s="64">
        <v>29677912.160277903</v>
      </c>
    </row>
    <row r="6868" spans="1:2" x14ac:dyDescent="0.25">
      <c r="A6868" s="65">
        <v>6867</v>
      </c>
      <c r="B6868" s="64">
        <v>29598471.394429777</v>
      </c>
    </row>
    <row r="6869" spans="1:2" x14ac:dyDescent="0.25">
      <c r="A6869" s="65">
        <v>6868</v>
      </c>
      <c r="B6869" s="64">
        <v>28952064.103036541</v>
      </c>
    </row>
    <row r="6870" spans="1:2" x14ac:dyDescent="0.25">
      <c r="A6870" s="65">
        <v>6869</v>
      </c>
      <c r="B6870" s="64">
        <v>29637024.811492208</v>
      </c>
    </row>
    <row r="6871" spans="1:2" x14ac:dyDescent="0.25">
      <c r="A6871" s="65">
        <v>6870</v>
      </c>
      <c r="B6871" s="64">
        <v>29464820.987487368</v>
      </c>
    </row>
    <row r="6872" spans="1:2" x14ac:dyDescent="0.25">
      <c r="A6872" s="65">
        <v>6871</v>
      </c>
      <c r="B6872" s="64">
        <v>28851929.732017033</v>
      </c>
    </row>
    <row r="6873" spans="1:2" x14ac:dyDescent="0.25">
      <c r="A6873" s="65">
        <v>6872</v>
      </c>
      <c r="B6873" s="64">
        <v>28798979.919684928</v>
      </c>
    </row>
    <row r="6874" spans="1:2" x14ac:dyDescent="0.25">
      <c r="A6874" s="65">
        <v>6873</v>
      </c>
      <c r="B6874" s="64">
        <v>29205246.104038049</v>
      </c>
    </row>
    <row r="6875" spans="1:2" x14ac:dyDescent="0.25">
      <c r="A6875" s="65">
        <v>6874</v>
      </c>
      <c r="B6875" s="64">
        <v>29697822.666650914</v>
      </c>
    </row>
    <row r="6876" spans="1:2" x14ac:dyDescent="0.25">
      <c r="A6876" s="65">
        <v>6875</v>
      </c>
      <c r="B6876" s="64">
        <v>29748654.553722326</v>
      </c>
    </row>
    <row r="6877" spans="1:2" x14ac:dyDescent="0.25">
      <c r="A6877" s="65">
        <v>6876</v>
      </c>
      <c r="B6877" s="64">
        <v>28908952.433070559</v>
      </c>
    </row>
    <row r="6878" spans="1:2" x14ac:dyDescent="0.25">
      <c r="A6878" s="65">
        <v>6877</v>
      </c>
      <c r="B6878" s="64">
        <v>28823406.188956548</v>
      </c>
    </row>
    <row r="6879" spans="1:2" x14ac:dyDescent="0.25">
      <c r="A6879" s="65">
        <v>6878</v>
      </c>
      <c r="B6879" s="64">
        <v>28793695.999897722</v>
      </c>
    </row>
    <row r="6880" spans="1:2" x14ac:dyDescent="0.25">
      <c r="A6880" s="65">
        <v>6879</v>
      </c>
      <c r="B6880" s="64">
        <v>29366153.090855129</v>
      </c>
    </row>
    <row r="6881" spans="1:2" x14ac:dyDescent="0.25">
      <c r="A6881" s="65">
        <v>6880</v>
      </c>
      <c r="B6881" s="64">
        <v>29212047.913734864</v>
      </c>
    </row>
    <row r="6882" spans="1:2" x14ac:dyDescent="0.25">
      <c r="A6882" s="65">
        <v>6881</v>
      </c>
      <c r="B6882" s="64">
        <v>29628502.556306403</v>
      </c>
    </row>
    <row r="6883" spans="1:2" x14ac:dyDescent="0.25">
      <c r="A6883" s="65">
        <v>6882</v>
      </c>
      <c r="B6883" s="64">
        <v>29890309.397140913</v>
      </c>
    </row>
    <row r="6884" spans="1:2" x14ac:dyDescent="0.25">
      <c r="A6884" s="65">
        <v>6883</v>
      </c>
      <c r="B6884" s="64">
        <v>29423524.399199527</v>
      </c>
    </row>
    <row r="6885" spans="1:2" x14ac:dyDescent="0.25">
      <c r="A6885" s="65">
        <v>6884</v>
      </c>
      <c r="B6885" s="64">
        <v>28531318.632233243</v>
      </c>
    </row>
    <row r="6886" spans="1:2" x14ac:dyDescent="0.25">
      <c r="A6886" s="65">
        <v>6885</v>
      </c>
      <c r="B6886" s="64">
        <v>30848372.966352776</v>
      </c>
    </row>
    <row r="6887" spans="1:2" x14ac:dyDescent="0.25">
      <c r="A6887" s="65">
        <v>6886</v>
      </c>
      <c r="B6887" s="64">
        <v>29162682.635531351</v>
      </c>
    </row>
    <row r="6888" spans="1:2" x14ac:dyDescent="0.25">
      <c r="A6888" s="65">
        <v>6887</v>
      </c>
      <c r="B6888" s="64">
        <v>28512802.996596973</v>
      </c>
    </row>
    <row r="6889" spans="1:2" x14ac:dyDescent="0.25">
      <c r="A6889" s="65">
        <v>6888</v>
      </c>
      <c r="B6889" s="64">
        <v>34013042.750125095</v>
      </c>
    </row>
    <row r="6890" spans="1:2" x14ac:dyDescent="0.25">
      <c r="A6890" s="65">
        <v>6889</v>
      </c>
      <c r="B6890" s="64">
        <v>29294592.240531221</v>
      </c>
    </row>
    <row r="6891" spans="1:2" x14ac:dyDescent="0.25">
      <c r="A6891" s="65">
        <v>6890</v>
      </c>
      <c r="B6891" s="64">
        <v>28782242.029790267</v>
      </c>
    </row>
    <row r="6892" spans="1:2" x14ac:dyDescent="0.25">
      <c r="A6892" s="65">
        <v>6891</v>
      </c>
      <c r="B6892" s="64">
        <v>29355143.192469016</v>
      </c>
    </row>
    <row r="6893" spans="1:2" x14ac:dyDescent="0.25">
      <c r="A6893" s="65">
        <v>6892</v>
      </c>
      <c r="B6893" s="64">
        <v>28833102.944689333</v>
      </c>
    </row>
    <row r="6894" spans="1:2" x14ac:dyDescent="0.25">
      <c r="A6894" s="65">
        <v>6893</v>
      </c>
      <c r="B6894" s="64">
        <v>29195947.655345682</v>
      </c>
    </row>
    <row r="6895" spans="1:2" x14ac:dyDescent="0.25">
      <c r="A6895" s="65">
        <v>6894</v>
      </c>
      <c r="B6895" s="64">
        <v>30105707.250677127</v>
      </c>
    </row>
    <row r="6896" spans="1:2" x14ac:dyDescent="0.25">
      <c r="A6896" s="65">
        <v>6895</v>
      </c>
      <c r="B6896" s="64">
        <v>29054416.769436009</v>
      </c>
    </row>
    <row r="6897" spans="1:2" x14ac:dyDescent="0.25">
      <c r="A6897" s="65">
        <v>6896</v>
      </c>
      <c r="B6897" s="64">
        <v>28736406.735171713</v>
      </c>
    </row>
    <row r="6898" spans="1:2" x14ac:dyDescent="0.25">
      <c r="A6898" s="65">
        <v>6897</v>
      </c>
      <c r="B6898" s="64">
        <v>28480742.003615536</v>
      </c>
    </row>
    <row r="6899" spans="1:2" x14ac:dyDescent="0.25">
      <c r="A6899" s="65">
        <v>6898</v>
      </c>
      <c r="B6899" s="64">
        <v>29825375.285177451</v>
      </c>
    </row>
    <row r="6900" spans="1:2" x14ac:dyDescent="0.25">
      <c r="A6900" s="65">
        <v>6899</v>
      </c>
      <c r="B6900" s="64">
        <v>28866276.566984646</v>
      </c>
    </row>
    <row r="6901" spans="1:2" x14ac:dyDescent="0.25">
      <c r="A6901" s="65">
        <v>6900</v>
      </c>
      <c r="B6901" s="64">
        <v>29025760.61939339</v>
      </c>
    </row>
    <row r="6902" spans="1:2" x14ac:dyDescent="0.25">
      <c r="A6902" s="65">
        <v>6901</v>
      </c>
      <c r="B6902" s="64">
        <v>28953795.947017603</v>
      </c>
    </row>
    <row r="6903" spans="1:2" x14ac:dyDescent="0.25">
      <c r="A6903" s="65">
        <v>6902</v>
      </c>
      <c r="B6903" s="64">
        <v>29525363.639696483</v>
      </c>
    </row>
    <row r="6904" spans="1:2" x14ac:dyDescent="0.25">
      <c r="A6904" s="65">
        <v>6903</v>
      </c>
      <c r="B6904" s="64">
        <v>28832418.519449987</v>
      </c>
    </row>
    <row r="6905" spans="1:2" x14ac:dyDescent="0.25">
      <c r="A6905" s="65">
        <v>6904</v>
      </c>
      <c r="B6905" s="64">
        <v>28535371.369488176</v>
      </c>
    </row>
    <row r="6906" spans="1:2" x14ac:dyDescent="0.25">
      <c r="A6906" s="65">
        <v>6905</v>
      </c>
      <c r="B6906" s="64">
        <v>28707991.525004022</v>
      </c>
    </row>
    <row r="6907" spans="1:2" x14ac:dyDescent="0.25">
      <c r="A6907" s="65">
        <v>6906</v>
      </c>
      <c r="B6907" s="64">
        <v>28796606.109052237</v>
      </c>
    </row>
    <row r="6908" spans="1:2" x14ac:dyDescent="0.25">
      <c r="A6908" s="65">
        <v>6907</v>
      </c>
      <c r="B6908" s="64">
        <v>28653416.395788908</v>
      </c>
    </row>
    <row r="6909" spans="1:2" x14ac:dyDescent="0.25">
      <c r="A6909" s="65">
        <v>6908</v>
      </c>
      <c r="B6909" s="64">
        <v>29381204.512575638</v>
      </c>
    </row>
    <row r="6910" spans="1:2" x14ac:dyDescent="0.25">
      <c r="A6910" s="65">
        <v>6909</v>
      </c>
      <c r="B6910" s="64">
        <v>28727731.835020967</v>
      </c>
    </row>
    <row r="6911" spans="1:2" x14ac:dyDescent="0.25">
      <c r="A6911" s="65">
        <v>6910</v>
      </c>
      <c r="B6911" s="64">
        <v>28829973.288655691</v>
      </c>
    </row>
    <row r="6912" spans="1:2" x14ac:dyDescent="0.25">
      <c r="A6912" s="65">
        <v>6911</v>
      </c>
      <c r="B6912" s="64">
        <v>28718326.384344507</v>
      </c>
    </row>
    <row r="6913" spans="1:2" x14ac:dyDescent="0.25">
      <c r="A6913" s="65">
        <v>6912</v>
      </c>
      <c r="B6913" s="64">
        <v>28900382.267446857</v>
      </c>
    </row>
    <row r="6914" spans="1:2" x14ac:dyDescent="0.25">
      <c r="A6914" s="65">
        <v>6913</v>
      </c>
      <c r="B6914" s="64">
        <v>32535507.595555656</v>
      </c>
    </row>
    <row r="6915" spans="1:2" x14ac:dyDescent="0.25">
      <c r="A6915" s="65">
        <v>6914</v>
      </c>
      <c r="B6915" s="64">
        <v>30217311.069620743</v>
      </c>
    </row>
    <row r="6916" spans="1:2" x14ac:dyDescent="0.25">
      <c r="A6916" s="65">
        <v>6915</v>
      </c>
      <c r="B6916" s="64">
        <v>28896436.080550425</v>
      </c>
    </row>
    <row r="6917" spans="1:2" x14ac:dyDescent="0.25">
      <c r="A6917" s="65">
        <v>6916</v>
      </c>
      <c r="B6917" s="64">
        <v>29445147.293892052</v>
      </c>
    </row>
    <row r="6918" spans="1:2" x14ac:dyDescent="0.25">
      <c r="A6918" s="65">
        <v>6917</v>
      </c>
      <c r="B6918" s="64">
        <v>28869290.360319134</v>
      </c>
    </row>
    <row r="6919" spans="1:2" x14ac:dyDescent="0.25">
      <c r="A6919" s="65">
        <v>6918</v>
      </c>
      <c r="B6919" s="64">
        <v>29167660.012469877</v>
      </c>
    </row>
    <row r="6920" spans="1:2" x14ac:dyDescent="0.25">
      <c r="A6920" s="65">
        <v>6919</v>
      </c>
      <c r="B6920" s="64">
        <v>28746156.886149634</v>
      </c>
    </row>
    <row r="6921" spans="1:2" x14ac:dyDescent="0.25">
      <c r="A6921" s="65">
        <v>6920</v>
      </c>
      <c r="B6921" s="64">
        <v>28903393.046393506</v>
      </c>
    </row>
    <row r="6922" spans="1:2" x14ac:dyDescent="0.25">
      <c r="A6922" s="65">
        <v>6921</v>
      </c>
      <c r="B6922" s="64">
        <v>30468498.516709149</v>
      </c>
    </row>
    <row r="6923" spans="1:2" x14ac:dyDescent="0.25">
      <c r="A6923" s="65">
        <v>6922</v>
      </c>
      <c r="B6923" s="64">
        <v>29039241.59846995</v>
      </c>
    </row>
    <row r="6924" spans="1:2" x14ac:dyDescent="0.25">
      <c r="A6924" s="65">
        <v>6923</v>
      </c>
      <c r="B6924" s="64">
        <v>29582753.442504108</v>
      </c>
    </row>
    <row r="6925" spans="1:2" x14ac:dyDescent="0.25">
      <c r="A6925" s="65">
        <v>6924</v>
      </c>
      <c r="B6925" s="64">
        <v>29451116.090636447</v>
      </c>
    </row>
    <row r="6926" spans="1:2" x14ac:dyDescent="0.25">
      <c r="A6926" s="65">
        <v>6925</v>
      </c>
      <c r="B6926" s="64">
        <v>29002972.887242984</v>
      </c>
    </row>
    <row r="6927" spans="1:2" x14ac:dyDescent="0.25">
      <c r="A6927" s="65">
        <v>6926</v>
      </c>
      <c r="B6927" s="64">
        <v>29152231.101893704</v>
      </c>
    </row>
    <row r="6928" spans="1:2" x14ac:dyDescent="0.25">
      <c r="A6928" s="65">
        <v>6927</v>
      </c>
      <c r="B6928" s="64">
        <v>28442122.007355172</v>
      </c>
    </row>
    <row r="6929" spans="1:2" x14ac:dyDescent="0.25">
      <c r="A6929" s="65">
        <v>6928</v>
      </c>
      <c r="B6929" s="64">
        <v>28866487.423724495</v>
      </c>
    </row>
    <row r="6930" spans="1:2" x14ac:dyDescent="0.25">
      <c r="A6930" s="65">
        <v>6929</v>
      </c>
      <c r="B6930" s="64">
        <v>29244127.565310717</v>
      </c>
    </row>
    <row r="6931" spans="1:2" x14ac:dyDescent="0.25">
      <c r="A6931" s="65">
        <v>6930</v>
      </c>
      <c r="B6931" s="64">
        <v>29654136.440141052</v>
      </c>
    </row>
    <row r="6932" spans="1:2" x14ac:dyDescent="0.25">
      <c r="A6932" s="65">
        <v>6931</v>
      </c>
      <c r="B6932" s="64">
        <v>29898051.74783228</v>
      </c>
    </row>
    <row r="6933" spans="1:2" x14ac:dyDescent="0.25">
      <c r="A6933" s="65">
        <v>6932</v>
      </c>
      <c r="B6933" s="64">
        <v>30219127.174761824</v>
      </c>
    </row>
    <row r="6934" spans="1:2" x14ac:dyDescent="0.25">
      <c r="A6934" s="65">
        <v>6933</v>
      </c>
      <c r="B6934" s="64">
        <v>30220765.882884365</v>
      </c>
    </row>
    <row r="6935" spans="1:2" x14ac:dyDescent="0.25">
      <c r="A6935" s="65">
        <v>6934</v>
      </c>
      <c r="B6935" s="64">
        <v>30307826.765655059</v>
      </c>
    </row>
    <row r="6936" spans="1:2" x14ac:dyDescent="0.25">
      <c r="A6936" s="65">
        <v>6935</v>
      </c>
      <c r="B6936" s="64">
        <v>28885644.406224247</v>
      </c>
    </row>
    <row r="6937" spans="1:2" x14ac:dyDescent="0.25">
      <c r="A6937" s="65">
        <v>6936</v>
      </c>
      <c r="B6937" s="64">
        <v>29603357.38830857</v>
      </c>
    </row>
    <row r="6938" spans="1:2" x14ac:dyDescent="0.25">
      <c r="A6938" s="65">
        <v>6937</v>
      </c>
      <c r="B6938" s="64">
        <v>28722608.93784564</v>
      </c>
    </row>
    <row r="6939" spans="1:2" x14ac:dyDescent="0.25">
      <c r="A6939" s="65">
        <v>6938</v>
      </c>
      <c r="B6939" s="64">
        <v>28855949.163379047</v>
      </c>
    </row>
    <row r="6940" spans="1:2" x14ac:dyDescent="0.25">
      <c r="A6940" s="65">
        <v>6939</v>
      </c>
      <c r="B6940" s="64">
        <v>28819807.452445988</v>
      </c>
    </row>
    <row r="6941" spans="1:2" x14ac:dyDescent="0.25">
      <c r="A6941" s="65">
        <v>6940</v>
      </c>
      <c r="B6941" s="64">
        <v>28929274.382097956</v>
      </c>
    </row>
    <row r="6942" spans="1:2" x14ac:dyDescent="0.25">
      <c r="A6942" s="65">
        <v>6941</v>
      </c>
      <c r="B6942" s="64">
        <v>28775789.419007488</v>
      </c>
    </row>
    <row r="6943" spans="1:2" x14ac:dyDescent="0.25">
      <c r="A6943" s="65">
        <v>6942</v>
      </c>
      <c r="B6943" s="64">
        <v>28647407.829271741</v>
      </c>
    </row>
    <row r="6944" spans="1:2" x14ac:dyDescent="0.25">
      <c r="A6944" s="65">
        <v>6943</v>
      </c>
      <c r="B6944" s="64">
        <v>29505377.313988432</v>
      </c>
    </row>
    <row r="6945" spans="1:2" x14ac:dyDescent="0.25">
      <c r="A6945" s="65">
        <v>6944</v>
      </c>
      <c r="B6945" s="64">
        <v>30534608.184033744</v>
      </c>
    </row>
    <row r="6946" spans="1:2" x14ac:dyDescent="0.25">
      <c r="A6946" s="65">
        <v>6945</v>
      </c>
      <c r="B6946" s="64">
        <v>29857988.471406851</v>
      </c>
    </row>
    <row r="6947" spans="1:2" x14ac:dyDescent="0.25">
      <c r="A6947" s="65">
        <v>6946</v>
      </c>
      <c r="B6947" s="64">
        <v>28872001.437552474</v>
      </c>
    </row>
    <row r="6948" spans="1:2" x14ac:dyDescent="0.25">
      <c r="A6948" s="65">
        <v>6947</v>
      </c>
      <c r="B6948" s="64">
        <v>28835485.025050249</v>
      </c>
    </row>
    <row r="6949" spans="1:2" x14ac:dyDescent="0.25">
      <c r="A6949" s="65">
        <v>6948</v>
      </c>
      <c r="B6949" s="64">
        <v>28958089.350328166</v>
      </c>
    </row>
    <row r="6950" spans="1:2" x14ac:dyDescent="0.25">
      <c r="A6950" s="65">
        <v>6949</v>
      </c>
      <c r="B6950" s="64">
        <v>29322863.831422891</v>
      </c>
    </row>
    <row r="6951" spans="1:2" x14ac:dyDescent="0.25">
      <c r="A6951" s="65">
        <v>6950</v>
      </c>
      <c r="B6951" s="64">
        <v>29229796.029293314</v>
      </c>
    </row>
    <row r="6952" spans="1:2" x14ac:dyDescent="0.25">
      <c r="A6952" s="65">
        <v>6951</v>
      </c>
      <c r="B6952" s="64">
        <v>28807132.354685426</v>
      </c>
    </row>
    <row r="6953" spans="1:2" x14ac:dyDescent="0.25">
      <c r="A6953" s="65">
        <v>6952</v>
      </c>
      <c r="B6953" s="64">
        <v>29306670.580750998</v>
      </c>
    </row>
    <row r="6954" spans="1:2" x14ac:dyDescent="0.25">
      <c r="A6954" s="65">
        <v>6953</v>
      </c>
      <c r="B6954" s="64">
        <v>29294299.935029123</v>
      </c>
    </row>
    <row r="6955" spans="1:2" x14ac:dyDescent="0.25">
      <c r="A6955" s="65">
        <v>6954</v>
      </c>
      <c r="B6955" s="64">
        <v>28956916.490822371</v>
      </c>
    </row>
    <row r="6956" spans="1:2" x14ac:dyDescent="0.25">
      <c r="A6956" s="65">
        <v>6955</v>
      </c>
      <c r="B6956" s="64">
        <v>29373237.700452551</v>
      </c>
    </row>
    <row r="6957" spans="1:2" x14ac:dyDescent="0.25">
      <c r="A6957" s="65">
        <v>6956</v>
      </c>
      <c r="B6957" s="64">
        <v>30036922.698053636</v>
      </c>
    </row>
    <row r="6958" spans="1:2" x14ac:dyDescent="0.25">
      <c r="A6958" s="65">
        <v>6957</v>
      </c>
      <c r="B6958" s="64">
        <v>28580532.492531467</v>
      </c>
    </row>
    <row r="6959" spans="1:2" x14ac:dyDescent="0.25">
      <c r="A6959" s="65">
        <v>6958</v>
      </c>
      <c r="B6959" s="64">
        <v>28846870.536583148</v>
      </c>
    </row>
    <row r="6960" spans="1:2" x14ac:dyDescent="0.25">
      <c r="A6960" s="65">
        <v>6959</v>
      </c>
      <c r="B6960" s="64">
        <v>29648929.356228471</v>
      </c>
    </row>
    <row r="6961" spans="1:2" x14ac:dyDescent="0.25">
      <c r="A6961" s="65">
        <v>6960</v>
      </c>
      <c r="B6961" s="64">
        <v>28814392.349977784</v>
      </c>
    </row>
    <row r="6962" spans="1:2" x14ac:dyDescent="0.25">
      <c r="A6962" s="65">
        <v>6961</v>
      </c>
      <c r="B6962" s="64">
        <v>29043660.83438082</v>
      </c>
    </row>
    <row r="6963" spans="1:2" x14ac:dyDescent="0.25">
      <c r="A6963" s="65">
        <v>6962</v>
      </c>
      <c r="B6963" s="64">
        <v>30159075.413435929</v>
      </c>
    </row>
    <row r="6964" spans="1:2" x14ac:dyDescent="0.25">
      <c r="A6964" s="65">
        <v>6963</v>
      </c>
      <c r="B6964" s="64">
        <v>33936478.598569937</v>
      </c>
    </row>
    <row r="6965" spans="1:2" x14ac:dyDescent="0.25">
      <c r="A6965" s="65">
        <v>6964</v>
      </c>
      <c r="B6965" s="64">
        <v>28745409.015716266</v>
      </c>
    </row>
    <row r="6966" spans="1:2" x14ac:dyDescent="0.25">
      <c r="A6966" s="65">
        <v>6965</v>
      </c>
      <c r="B6966" s="64">
        <v>30349703.664792307</v>
      </c>
    </row>
    <row r="6967" spans="1:2" x14ac:dyDescent="0.25">
      <c r="A6967" s="65">
        <v>6966</v>
      </c>
      <c r="B6967" s="64">
        <v>29434642.427288618</v>
      </c>
    </row>
    <row r="6968" spans="1:2" x14ac:dyDescent="0.25">
      <c r="A6968" s="65">
        <v>6967</v>
      </c>
      <c r="B6968" s="64">
        <v>28966540.279938478</v>
      </c>
    </row>
    <row r="6969" spans="1:2" x14ac:dyDescent="0.25">
      <c r="A6969" s="65">
        <v>6968</v>
      </c>
      <c r="B6969" s="64">
        <v>29047187.226507068</v>
      </c>
    </row>
    <row r="6970" spans="1:2" x14ac:dyDescent="0.25">
      <c r="A6970" s="65">
        <v>6969</v>
      </c>
      <c r="B6970" s="64">
        <v>30316159.764664501</v>
      </c>
    </row>
    <row r="6971" spans="1:2" x14ac:dyDescent="0.25">
      <c r="A6971" s="65">
        <v>6970</v>
      </c>
      <c r="B6971" s="64">
        <v>28855637.436835747</v>
      </c>
    </row>
    <row r="6972" spans="1:2" x14ac:dyDescent="0.25">
      <c r="A6972" s="65">
        <v>6971</v>
      </c>
      <c r="B6972" s="64">
        <v>30261898.98637414</v>
      </c>
    </row>
    <row r="6973" spans="1:2" x14ac:dyDescent="0.25">
      <c r="A6973" s="65">
        <v>6972</v>
      </c>
      <c r="B6973" s="64">
        <v>28820265.583687883</v>
      </c>
    </row>
    <row r="6974" spans="1:2" x14ac:dyDescent="0.25">
      <c r="A6974" s="65">
        <v>6973</v>
      </c>
      <c r="B6974" s="64">
        <v>29345943.122238651</v>
      </c>
    </row>
    <row r="6975" spans="1:2" x14ac:dyDescent="0.25">
      <c r="A6975" s="65">
        <v>6974</v>
      </c>
      <c r="B6975" s="64">
        <v>29214756.232746471</v>
      </c>
    </row>
    <row r="6976" spans="1:2" x14ac:dyDescent="0.25">
      <c r="A6976" s="65">
        <v>6975</v>
      </c>
      <c r="B6976" s="64">
        <v>28671462.09949002</v>
      </c>
    </row>
    <row r="6977" spans="1:2" x14ac:dyDescent="0.25">
      <c r="A6977" s="65">
        <v>6976</v>
      </c>
      <c r="B6977" s="64">
        <v>28870471.824600708</v>
      </c>
    </row>
    <row r="6978" spans="1:2" x14ac:dyDescent="0.25">
      <c r="A6978" s="65">
        <v>6977</v>
      </c>
      <c r="B6978" s="64">
        <v>28725324.873324025</v>
      </c>
    </row>
    <row r="6979" spans="1:2" x14ac:dyDescent="0.25">
      <c r="A6979" s="65">
        <v>6978</v>
      </c>
      <c r="B6979" s="64">
        <v>28774065.611741934</v>
      </c>
    </row>
    <row r="6980" spans="1:2" x14ac:dyDescent="0.25">
      <c r="A6980" s="65">
        <v>6979</v>
      </c>
      <c r="B6980" s="64">
        <v>32745603.756415747</v>
      </c>
    </row>
    <row r="6981" spans="1:2" x14ac:dyDescent="0.25">
      <c r="A6981" s="65">
        <v>6980</v>
      </c>
      <c r="B6981" s="64">
        <v>29750959.480311576</v>
      </c>
    </row>
    <row r="6982" spans="1:2" x14ac:dyDescent="0.25">
      <c r="A6982" s="65">
        <v>6981</v>
      </c>
      <c r="B6982" s="64">
        <v>29068355.088038873</v>
      </c>
    </row>
    <row r="6983" spans="1:2" x14ac:dyDescent="0.25">
      <c r="A6983" s="65">
        <v>6982</v>
      </c>
      <c r="B6983" s="64">
        <v>28514777.336547498</v>
      </c>
    </row>
    <row r="6984" spans="1:2" x14ac:dyDescent="0.25">
      <c r="A6984" s="65">
        <v>6983</v>
      </c>
      <c r="B6984" s="64">
        <v>28771465.18269027</v>
      </c>
    </row>
    <row r="6985" spans="1:2" x14ac:dyDescent="0.25">
      <c r="A6985" s="65">
        <v>6984</v>
      </c>
      <c r="B6985" s="64">
        <v>28790972.519608151</v>
      </c>
    </row>
    <row r="6986" spans="1:2" x14ac:dyDescent="0.25">
      <c r="A6986" s="65">
        <v>6985</v>
      </c>
      <c r="B6986" s="64">
        <v>29457201.672271591</v>
      </c>
    </row>
    <row r="6987" spans="1:2" x14ac:dyDescent="0.25">
      <c r="A6987" s="65">
        <v>6986</v>
      </c>
      <c r="B6987" s="64">
        <v>28592207.55755125</v>
      </c>
    </row>
    <row r="6988" spans="1:2" x14ac:dyDescent="0.25">
      <c r="A6988" s="65">
        <v>6987</v>
      </c>
      <c r="B6988" s="64">
        <v>29048042.413327854</v>
      </c>
    </row>
    <row r="6989" spans="1:2" x14ac:dyDescent="0.25">
      <c r="A6989" s="65">
        <v>6988</v>
      </c>
      <c r="B6989" s="64">
        <v>30177492.773881633</v>
      </c>
    </row>
    <row r="6990" spans="1:2" x14ac:dyDescent="0.25">
      <c r="A6990" s="65">
        <v>6989</v>
      </c>
      <c r="B6990" s="64">
        <v>30080727.627674349</v>
      </c>
    </row>
    <row r="6991" spans="1:2" x14ac:dyDescent="0.25">
      <c r="A6991" s="65">
        <v>6990</v>
      </c>
      <c r="B6991" s="64">
        <v>28967953.234936029</v>
      </c>
    </row>
    <row r="6992" spans="1:2" x14ac:dyDescent="0.25">
      <c r="A6992" s="65">
        <v>6991</v>
      </c>
      <c r="B6992" s="64">
        <v>28592667.978989489</v>
      </c>
    </row>
    <row r="6993" spans="1:2" x14ac:dyDescent="0.25">
      <c r="A6993" s="65">
        <v>6992</v>
      </c>
      <c r="B6993" s="64">
        <v>29009963.534271229</v>
      </c>
    </row>
    <row r="6994" spans="1:2" x14ac:dyDescent="0.25">
      <c r="A6994" s="65">
        <v>6993</v>
      </c>
      <c r="B6994" s="64">
        <v>28928756.951125465</v>
      </c>
    </row>
    <row r="6995" spans="1:2" x14ac:dyDescent="0.25">
      <c r="A6995" s="65">
        <v>6994</v>
      </c>
      <c r="B6995" s="64">
        <v>32987234.106235377</v>
      </c>
    </row>
    <row r="6996" spans="1:2" x14ac:dyDescent="0.25">
      <c r="A6996" s="65">
        <v>6995</v>
      </c>
      <c r="B6996" s="64">
        <v>29498214.909918424</v>
      </c>
    </row>
    <row r="6997" spans="1:2" x14ac:dyDescent="0.25">
      <c r="A6997" s="65">
        <v>6996</v>
      </c>
      <c r="B6997" s="64">
        <v>29135475.929006707</v>
      </c>
    </row>
    <row r="6998" spans="1:2" x14ac:dyDescent="0.25">
      <c r="A6998" s="65">
        <v>6997</v>
      </c>
      <c r="B6998" s="64">
        <v>28749259.931574162</v>
      </c>
    </row>
    <row r="6999" spans="1:2" x14ac:dyDescent="0.25">
      <c r="A6999" s="65">
        <v>6998</v>
      </c>
      <c r="B6999" s="64">
        <v>28920328.616634589</v>
      </c>
    </row>
    <row r="7000" spans="1:2" x14ac:dyDescent="0.25">
      <c r="A7000" s="65">
        <v>6999</v>
      </c>
      <c r="B7000" s="64">
        <v>30252098.985855285</v>
      </c>
    </row>
    <row r="7001" spans="1:2" x14ac:dyDescent="0.25">
      <c r="A7001" s="65">
        <v>7000</v>
      </c>
      <c r="B7001" s="64">
        <v>32676385.921614807</v>
      </c>
    </row>
    <row r="7002" spans="1:2" x14ac:dyDescent="0.25">
      <c r="A7002" s="65">
        <v>7001</v>
      </c>
      <c r="B7002" s="64">
        <v>28451022.090710647</v>
      </c>
    </row>
    <row r="7003" spans="1:2" x14ac:dyDescent="0.25">
      <c r="A7003" s="65">
        <v>7002</v>
      </c>
      <c r="B7003" s="64">
        <v>28761874.255302556</v>
      </c>
    </row>
    <row r="7004" spans="1:2" x14ac:dyDescent="0.25">
      <c r="A7004" s="65">
        <v>7003</v>
      </c>
      <c r="B7004" s="64">
        <v>29002380.933297098</v>
      </c>
    </row>
    <row r="7005" spans="1:2" x14ac:dyDescent="0.25">
      <c r="A7005" s="65">
        <v>7004</v>
      </c>
      <c r="B7005" s="64">
        <v>28499927.978089001</v>
      </c>
    </row>
    <row r="7006" spans="1:2" x14ac:dyDescent="0.25">
      <c r="A7006" s="65">
        <v>7005</v>
      </c>
      <c r="B7006" s="64">
        <v>29255374.842408925</v>
      </c>
    </row>
    <row r="7007" spans="1:2" x14ac:dyDescent="0.25">
      <c r="A7007" s="65">
        <v>7006</v>
      </c>
      <c r="B7007" s="64">
        <v>28723855.070818473</v>
      </c>
    </row>
    <row r="7008" spans="1:2" x14ac:dyDescent="0.25">
      <c r="A7008" s="65">
        <v>7007</v>
      </c>
      <c r="B7008" s="64">
        <v>28927927.089909453</v>
      </c>
    </row>
    <row r="7009" spans="1:2" x14ac:dyDescent="0.25">
      <c r="A7009" s="65">
        <v>7008</v>
      </c>
      <c r="B7009" s="64">
        <v>28467591.579051979</v>
      </c>
    </row>
    <row r="7010" spans="1:2" x14ac:dyDescent="0.25">
      <c r="A7010" s="65">
        <v>7009</v>
      </c>
      <c r="B7010" s="64">
        <v>29026952.071362186</v>
      </c>
    </row>
    <row r="7011" spans="1:2" x14ac:dyDescent="0.25">
      <c r="A7011" s="65">
        <v>7010</v>
      </c>
      <c r="B7011" s="64">
        <v>29646194.914726108</v>
      </c>
    </row>
    <row r="7012" spans="1:2" x14ac:dyDescent="0.25">
      <c r="A7012" s="65">
        <v>7011</v>
      </c>
      <c r="B7012" s="64">
        <v>28680076.238461185</v>
      </c>
    </row>
    <row r="7013" spans="1:2" x14ac:dyDescent="0.25">
      <c r="A7013" s="65">
        <v>7012</v>
      </c>
      <c r="B7013" s="64">
        <v>28459965.019001842</v>
      </c>
    </row>
    <row r="7014" spans="1:2" x14ac:dyDescent="0.25">
      <c r="A7014" s="65">
        <v>7013</v>
      </c>
      <c r="B7014" s="64">
        <v>30091151.775330815</v>
      </c>
    </row>
    <row r="7015" spans="1:2" x14ac:dyDescent="0.25">
      <c r="A7015" s="65">
        <v>7014</v>
      </c>
      <c r="B7015" s="64">
        <v>29204571.457498398</v>
      </c>
    </row>
    <row r="7016" spans="1:2" x14ac:dyDescent="0.25">
      <c r="A7016" s="65">
        <v>7015</v>
      </c>
      <c r="B7016" s="64">
        <v>29233205.947888914</v>
      </c>
    </row>
    <row r="7017" spans="1:2" x14ac:dyDescent="0.25">
      <c r="A7017" s="65">
        <v>7016</v>
      </c>
      <c r="B7017" s="64">
        <v>29184568.49849654</v>
      </c>
    </row>
    <row r="7018" spans="1:2" x14ac:dyDescent="0.25">
      <c r="A7018" s="65">
        <v>7017</v>
      </c>
      <c r="B7018" s="64">
        <v>28660132.530339364</v>
      </c>
    </row>
    <row r="7019" spans="1:2" x14ac:dyDescent="0.25">
      <c r="A7019" s="65">
        <v>7018</v>
      </c>
      <c r="B7019" s="64">
        <v>29365302.196820721</v>
      </c>
    </row>
    <row r="7020" spans="1:2" x14ac:dyDescent="0.25">
      <c r="A7020" s="65">
        <v>7019</v>
      </c>
      <c r="B7020" s="64">
        <v>30891759.40817276</v>
      </c>
    </row>
    <row r="7021" spans="1:2" x14ac:dyDescent="0.25">
      <c r="A7021" s="65">
        <v>7020</v>
      </c>
      <c r="B7021" s="64">
        <v>28559884.815479916</v>
      </c>
    </row>
    <row r="7022" spans="1:2" x14ac:dyDescent="0.25">
      <c r="A7022" s="65">
        <v>7021</v>
      </c>
      <c r="B7022" s="64">
        <v>28542964.555942338</v>
      </c>
    </row>
    <row r="7023" spans="1:2" x14ac:dyDescent="0.25">
      <c r="A7023" s="65">
        <v>7022</v>
      </c>
      <c r="B7023" s="64">
        <v>29082713.176853169</v>
      </c>
    </row>
    <row r="7024" spans="1:2" x14ac:dyDescent="0.25">
      <c r="A7024" s="65">
        <v>7023</v>
      </c>
      <c r="B7024" s="64">
        <v>28998706.548233811</v>
      </c>
    </row>
    <row r="7025" spans="1:2" x14ac:dyDescent="0.25">
      <c r="A7025" s="65">
        <v>7024</v>
      </c>
      <c r="B7025" s="64">
        <v>29719677.517571419</v>
      </c>
    </row>
    <row r="7026" spans="1:2" x14ac:dyDescent="0.25">
      <c r="A7026" s="65">
        <v>7025</v>
      </c>
      <c r="B7026" s="64">
        <v>28518049.996770058</v>
      </c>
    </row>
    <row r="7027" spans="1:2" x14ac:dyDescent="0.25">
      <c r="A7027" s="65">
        <v>7026</v>
      </c>
      <c r="B7027" s="64">
        <v>29087806.425099917</v>
      </c>
    </row>
    <row r="7028" spans="1:2" x14ac:dyDescent="0.25">
      <c r="A7028" s="65">
        <v>7027</v>
      </c>
      <c r="B7028" s="64">
        <v>28623469.429516938</v>
      </c>
    </row>
    <row r="7029" spans="1:2" x14ac:dyDescent="0.25">
      <c r="A7029" s="65">
        <v>7028</v>
      </c>
      <c r="B7029" s="64">
        <v>28829100.1859436</v>
      </c>
    </row>
    <row r="7030" spans="1:2" x14ac:dyDescent="0.25">
      <c r="A7030" s="65">
        <v>7029</v>
      </c>
      <c r="B7030" s="64">
        <v>29112685.369702645</v>
      </c>
    </row>
    <row r="7031" spans="1:2" x14ac:dyDescent="0.25">
      <c r="A7031" s="65">
        <v>7030</v>
      </c>
      <c r="B7031" s="64">
        <v>28729829.839493789</v>
      </c>
    </row>
    <row r="7032" spans="1:2" x14ac:dyDescent="0.25">
      <c r="A7032" s="65">
        <v>7031</v>
      </c>
      <c r="B7032" s="64">
        <v>28556381.501403067</v>
      </c>
    </row>
    <row r="7033" spans="1:2" x14ac:dyDescent="0.25">
      <c r="A7033" s="65">
        <v>7032</v>
      </c>
      <c r="B7033" s="64">
        <v>28676851.459683545</v>
      </c>
    </row>
    <row r="7034" spans="1:2" x14ac:dyDescent="0.25">
      <c r="A7034" s="65">
        <v>7033</v>
      </c>
      <c r="B7034" s="64">
        <v>29593194.982739411</v>
      </c>
    </row>
    <row r="7035" spans="1:2" x14ac:dyDescent="0.25">
      <c r="A7035" s="65">
        <v>7034</v>
      </c>
      <c r="B7035" s="64">
        <v>29760079.409944475</v>
      </c>
    </row>
    <row r="7036" spans="1:2" x14ac:dyDescent="0.25">
      <c r="A7036" s="65">
        <v>7035</v>
      </c>
      <c r="B7036" s="64">
        <v>28949018.117809009</v>
      </c>
    </row>
    <row r="7037" spans="1:2" x14ac:dyDescent="0.25">
      <c r="A7037" s="65">
        <v>7036</v>
      </c>
      <c r="B7037" s="64">
        <v>29031630.711330768</v>
      </c>
    </row>
    <row r="7038" spans="1:2" x14ac:dyDescent="0.25">
      <c r="A7038" s="65">
        <v>7037</v>
      </c>
      <c r="B7038" s="64">
        <v>29225754.122108016</v>
      </c>
    </row>
    <row r="7039" spans="1:2" x14ac:dyDescent="0.25">
      <c r="A7039" s="65">
        <v>7038</v>
      </c>
      <c r="B7039" s="64">
        <v>29291434.258183181</v>
      </c>
    </row>
    <row r="7040" spans="1:2" x14ac:dyDescent="0.25">
      <c r="A7040" s="65">
        <v>7039</v>
      </c>
      <c r="B7040" s="64">
        <v>29345763.953491002</v>
      </c>
    </row>
    <row r="7041" spans="1:2" x14ac:dyDescent="0.25">
      <c r="A7041" s="65">
        <v>7040</v>
      </c>
      <c r="B7041" s="64">
        <v>28747812.051803604</v>
      </c>
    </row>
    <row r="7042" spans="1:2" x14ac:dyDescent="0.25">
      <c r="A7042" s="65">
        <v>7041</v>
      </c>
      <c r="B7042" s="64">
        <v>28963224.928424209</v>
      </c>
    </row>
    <row r="7043" spans="1:2" x14ac:dyDescent="0.25">
      <c r="A7043" s="65">
        <v>7042</v>
      </c>
      <c r="B7043" s="64">
        <v>28876695.745350622</v>
      </c>
    </row>
    <row r="7044" spans="1:2" x14ac:dyDescent="0.25">
      <c r="A7044" s="65">
        <v>7043</v>
      </c>
      <c r="B7044" s="64">
        <v>29762432.977355666</v>
      </c>
    </row>
    <row r="7045" spans="1:2" x14ac:dyDescent="0.25">
      <c r="A7045" s="65">
        <v>7044</v>
      </c>
      <c r="B7045" s="64">
        <v>29212323.076124895</v>
      </c>
    </row>
    <row r="7046" spans="1:2" x14ac:dyDescent="0.25">
      <c r="A7046" s="65">
        <v>7045</v>
      </c>
      <c r="B7046" s="64">
        <v>29057040.787638579</v>
      </c>
    </row>
    <row r="7047" spans="1:2" x14ac:dyDescent="0.25">
      <c r="A7047" s="65">
        <v>7046</v>
      </c>
      <c r="B7047" s="64">
        <v>28923663.363552414</v>
      </c>
    </row>
    <row r="7048" spans="1:2" x14ac:dyDescent="0.25">
      <c r="A7048" s="65">
        <v>7047</v>
      </c>
      <c r="B7048" s="64">
        <v>29151572.489603445</v>
      </c>
    </row>
    <row r="7049" spans="1:2" x14ac:dyDescent="0.25">
      <c r="A7049" s="65">
        <v>7048</v>
      </c>
      <c r="B7049" s="64">
        <v>30161137.878619302</v>
      </c>
    </row>
    <row r="7050" spans="1:2" x14ac:dyDescent="0.25">
      <c r="A7050" s="65">
        <v>7049</v>
      </c>
      <c r="B7050" s="64">
        <v>28796962.926535495</v>
      </c>
    </row>
    <row r="7051" spans="1:2" x14ac:dyDescent="0.25">
      <c r="A7051" s="65">
        <v>7050</v>
      </c>
      <c r="B7051" s="64">
        <v>29987183.921523228</v>
      </c>
    </row>
    <row r="7052" spans="1:2" x14ac:dyDescent="0.25">
      <c r="A7052" s="65">
        <v>7051</v>
      </c>
      <c r="B7052" s="64">
        <v>28776784.463442493</v>
      </c>
    </row>
    <row r="7053" spans="1:2" x14ac:dyDescent="0.25">
      <c r="A7053" s="65">
        <v>7052</v>
      </c>
      <c r="B7053" s="64">
        <v>28899706.94718216</v>
      </c>
    </row>
    <row r="7054" spans="1:2" x14ac:dyDescent="0.25">
      <c r="A7054" s="65">
        <v>7053</v>
      </c>
      <c r="B7054" s="64">
        <v>28744186.019883886</v>
      </c>
    </row>
    <row r="7055" spans="1:2" x14ac:dyDescent="0.25">
      <c r="A7055" s="65">
        <v>7054</v>
      </c>
      <c r="B7055" s="64">
        <v>28961067.79998412</v>
      </c>
    </row>
    <row r="7056" spans="1:2" x14ac:dyDescent="0.25">
      <c r="A7056" s="65">
        <v>7055</v>
      </c>
      <c r="B7056" s="64">
        <v>28869234.969933558</v>
      </c>
    </row>
    <row r="7057" spans="1:2" x14ac:dyDescent="0.25">
      <c r="A7057" s="65">
        <v>7056</v>
      </c>
      <c r="B7057" s="64">
        <v>35510652.650674015</v>
      </c>
    </row>
    <row r="7058" spans="1:2" x14ac:dyDescent="0.25">
      <c r="A7058" s="65">
        <v>7057</v>
      </c>
      <c r="B7058" s="64">
        <v>28935781.765828438</v>
      </c>
    </row>
    <row r="7059" spans="1:2" x14ac:dyDescent="0.25">
      <c r="A7059" s="65">
        <v>7058</v>
      </c>
      <c r="B7059" s="64">
        <v>28893659.800651941</v>
      </c>
    </row>
    <row r="7060" spans="1:2" x14ac:dyDescent="0.25">
      <c r="A7060" s="65">
        <v>7059</v>
      </c>
      <c r="B7060" s="64">
        <v>29407473.62718584</v>
      </c>
    </row>
    <row r="7061" spans="1:2" x14ac:dyDescent="0.25">
      <c r="A7061" s="65">
        <v>7060</v>
      </c>
      <c r="B7061" s="64">
        <v>28499506.322905641</v>
      </c>
    </row>
    <row r="7062" spans="1:2" x14ac:dyDescent="0.25">
      <c r="A7062" s="65">
        <v>7061</v>
      </c>
      <c r="B7062" s="64">
        <v>29213782.697131418</v>
      </c>
    </row>
    <row r="7063" spans="1:2" x14ac:dyDescent="0.25">
      <c r="A7063" s="65">
        <v>7062</v>
      </c>
      <c r="B7063" s="64">
        <v>28853820.930060688</v>
      </c>
    </row>
    <row r="7064" spans="1:2" x14ac:dyDescent="0.25">
      <c r="A7064" s="65">
        <v>7063</v>
      </c>
      <c r="B7064" s="64">
        <v>28871764.710892279</v>
      </c>
    </row>
    <row r="7065" spans="1:2" x14ac:dyDescent="0.25">
      <c r="A7065" s="65">
        <v>7064</v>
      </c>
      <c r="B7065" s="64">
        <v>29942886.351030584</v>
      </c>
    </row>
    <row r="7066" spans="1:2" x14ac:dyDescent="0.25">
      <c r="A7066" s="65">
        <v>7065</v>
      </c>
      <c r="B7066" s="64">
        <v>29638268.044520702</v>
      </c>
    </row>
    <row r="7067" spans="1:2" x14ac:dyDescent="0.25">
      <c r="A7067" s="65">
        <v>7066</v>
      </c>
      <c r="B7067" s="64">
        <v>28488662.115013529</v>
      </c>
    </row>
    <row r="7068" spans="1:2" x14ac:dyDescent="0.25">
      <c r="A7068" s="65">
        <v>7067</v>
      </c>
      <c r="B7068" s="64">
        <v>28571200.640749451</v>
      </c>
    </row>
    <row r="7069" spans="1:2" x14ac:dyDescent="0.25">
      <c r="A7069" s="65">
        <v>7068</v>
      </c>
      <c r="B7069" s="64">
        <v>30783390.143861242</v>
      </c>
    </row>
    <row r="7070" spans="1:2" x14ac:dyDescent="0.25">
      <c r="A7070" s="65">
        <v>7069</v>
      </c>
      <c r="B7070" s="64">
        <v>29541495.900427014</v>
      </c>
    </row>
    <row r="7071" spans="1:2" x14ac:dyDescent="0.25">
      <c r="A7071" s="65">
        <v>7070</v>
      </c>
      <c r="B7071" s="64">
        <v>29800132.128043935</v>
      </c>
    </row>
    <row r="7072" spans="1:2" x14ac:dyDescent="0.25">
      <c r="A7072" s="65">
        <v>7071</v>
      </c>
      <c r="B7072" s="64">
        <v>29960837.557219148</v>
      </c>
    </row>
    <row r="7073" spans="1:2" x14ac:dyDescent="0.25">
      <c r="A7073" s="65">
        <v>7072</v>
      </c>
      <c r="B7073" s="64">
        <v>30731096.931783039</v>
      </c>
    </row>
    <row r="7074" spans="1:2" x14ac:dyDescent="0.25">
      <c r="A7074" s="65">
        <v>7073</v>
      </c>
      <c r="B7074" s="64">
        <v>29160449.208454318</v>
      </c>
    </row>
    <row r="7075" spans="1:2" x14ac:dyDescent="0.25">
      <c r="A7075" s="65">
        <v>7074</v>
      </c>
      <c r="B7075" s="64">
        <v>28970751.109287895</v>
      </c>
    </row>
    <row r="7076" spans="1:2" x14ac:dyDescent="0.25">
      <c r="A7076" s="65">
        <v>7075</v>
      </c>
      <c r="B7076" s="64">
        <v>29671483.201935831</v>
      </c>
    </row>
    <row r="7077" spans="1:2" x14ac:dyDescent="0.25">
      <c r="A7077" s="65">
        <v>7076</v>
      </c>
      <c r="B7077" s="64">
        <v>29941692.023620617</v>
      </c>
    </row>
    <row r="7078" spans="1:2" x14ac:dyDescent="0.25">
      <c r="A7078" s="65">
        <v>7077</v>
      </c>
      <c r="B7078" s="64">
        <v>33611770.169700481</v>
      </c>
    </row>
    <row r="7079" spans="1:2" x14ac:dyDescent="0.25">
      <c r="A7079" s="65">
        <v>7078</v>
      </c>
      <c r="B7079" s="64">
        <v>29272540.957647663</v>
      </c>
    </row>
    <row r="7080" spans="1:2" x14ac:dyDescent="0.25">
      <c r="A7080" s="65">
        <v>7079</v>
      </c>
      <c r="B7080" s="64">
        <v>30026661.827367529</v>
      </c>
    </row>
    <row r="7081" spans="1:2" x14ac:dyDescent="0.25">
      <c r="A7081" s="65">
        <v>7080</v>
      </c>
      <c r="B7081" s="64">
        <v>28493283.802836396</v>
      </c>
    </row>
    <row r="7082" spans="1:2" x14ac:dyDescent="0.25">
      <c r="A7082" s="65">
        <v>7081</v>
      </c>
      <c r="B7082" s="64">
        <v>28597599.016877841</v>
      </c>
    </row>
    <row r="7083" spans="1:2" x14ac:dyDescent="0.25">
      <c r="A7083" s="65">
        <v>7082</v>
      </c>
      <c r="B7083" s="64">
        <v>28693778.501581572</v>
      </c>
    </row>
    <row r="7084" spans="1:2" x14ac:dyDescent="0.25">
      <c r="A7084" s="65">
        <v>7083</v>
      </c>
      <c r="B7084" s="64">
        <v>29227669.88289059</v>
      </c>
    </row>
    <row r="7085" spans="1:2" x14ac:dyDescent="0.25">
      <c r="A7085" s="65">
        <v>7084</v>
      </c>
      <c r="B7085" s="64">
        <v>29094315.065575432</v>
      </c>
    </row>
    <row r="7086" spans="1:2" x14ac:dyDescent="0.25">
      <c r="A7086" s="65">
        <v>7085</v>
      </c>
      <c r="B7086" s="64">
        <v>29231320.157014176</v>
      </c>
    </row>
    <row r="7087" spans="1:2" x14ac:dyDescent="0.25">
      <c r="A7087" s="65">
        <v>7086</v>
      </c>
      <c r="B7087" s="64">
        <v>28643864.381987024</v>
      </c>
    </row>
    <row r="7088" spans="1:2" x14ac:dyDescent="0.25">
      <c r="A7088" s="65">
        <v>7087</v>
      </c>
      <c r="B7088" s="64">
        <v>28932563.040270362</v>
      </c>
    </row>
    <row r="7089" spans="1:2" x14ac:dyDescent="0.25">
      <c r="A7089" s="65">
        <v>7088</v>
      </c>
      <c r="B7089" s="64">
        <v>28765370.787029944</v>
      </c>
    </row>
    <row r="7090" spans="1:2" x14ac:dyDescent="0.25">
      <c r="A7090" s="65">
        <v>7089</v>
      </c>
      <c r="B7090" s="64">
        <v>29357322.199447233</v>
      </c>
    </row>
    <row r="7091" spans="1:2" x14ac:dyDescent="0.25">
      <c r="A7091" s="65">
        <v>7090</v>
      </c>
      <c r="B7091" s="64">
        <v>28819001.321983486</v>
      </c>
    </row>
    <row r="7092" spans="1:2" x14ac:dyDescent="0.25">
      <c r="A7092" s="65">
        <v>7091</v>
      </c>
      <c r="B7092" s="64">
        <v>29011993.262366451</v>
      </c>
    </row>
    <row r="7093" spans="1:2" x14ac:dyDescent="0.25">
      <c r="A7093" s="65">
        <v>7092</v>
      </c>
      <c r="B7093" s="64">
        <v>30790622.252544295</v>
      </c>
    </row>
    <row r="7094" spans="1:2" x14ac:dyDescent="0.25">
      <c r="A7094" s="65">
        <v>7093</v>
      </c>
      <c r="B7094" s="64">
        <v>29644856.829546887</v>
      </c>
    </row>
    <row r="7095" spans="1:2" x14ac:dyDescent="0.25">
      <c r="A7095" s="65">
        <v>7094</v>
      </c>
      <c r="B7095" s="64">
        <v>29400898.312761307</v>
      </c>
    </row>
    <row r="7096" spans="1:2" x14ac:dyDescent="0.25">
      <c r="A7096" s="65">
        <v>7095</v>
      </c>
      <c r="B7096" s="64">
        <v>28709898.71762763</v>
      </c>
    </row>
    <row r="7097" spans="1:2" x14ac:dyDescent="0.25">
      <c r="A7097" s="65">
        <v>7096</v>
      </c>
      <c r="B7097" s="64">
        <v>29406696.086517867</v>
      </c>
    </row>
    <row r="7098" spans="1:2" x14ac:dyDescent="0.25">
      <c r="A7098" s="65">
        <v>7097</v>
      </c>
      <c r="B7098" s="64">
        <v>29268639.226099692</v>
      </c>
    </row>
    <row r="7099" spans="1:2" x14ac:dyDescent="0.25">
      <c r="A7099" s="65">
        <v>7098</v>
      </c>
      <c r="B7099" s="64">
        <v>30033172.831370767</v>
      </c>
    </row>
    <row r="7100" spans="1:2" x14ac:dyDescent="0.25">
      <c r="A7100" s="65">
        <v>7099</v>
      </c>
      <c r="B7100" s="64">
        <v>29006243.898030147</v>
      </c>
    </row>
    <row r="7101" spans="1:2" x14ac:dyDescent="0.25">
      <c r="A7101" s="65">
        <v>7100</v>
      </c>
      <c r="B7101" s="64">
        <v>29289344.853063997</v>
      </c>
    </row>
    <row r="7102" spans="1:2" x14ac:dyDescent="0.25">
      <c r="A7102" s="65">
        <v>7101</v>
      </c>
      <c r="B7102" s="64">
        <v>32480437.216504619</v>
      </c>
    </row>
    <row r="7103" spans="1:2" x14ac:dyDescent="0.25">
      <c r="A7103" s="65">
        <v>7102</v>
      </c>
      <c r="B7103" s="64">
        <v>29032286.805676587</v>
      </c>
    </row>
    <row r="7104" spans="1:2" x14ac:dyDescent="0.25">
      <c r="A7104" s="65">
        <v>7103</v>
      </c>
      <c r="B7104" s="64">
        <v>28635219.303270899</v>
      </c>
    </row>
    <row r="7105" spans="1:2" x14ac:dyDescent="0.25">
      <c r="A7105" s="65">
        <v>7104</v>
      </c>
      <c r="B7105" s="64">
        <v>29713006.913286369</v>
      </c>
    </row>
    <row r="7106" spans="1:2" x14ac:dyDescent="0.25">
      <c r="A7106" s="65">
        <v>7105</v>
      </c>
      <c r="B7106" s="64">
        <v>28541165.043992054</v>
      </c>
    </row>
    <row r="7107" spans="1:2" x14ac:dyDescent="0.25">
      <c r="A7107" s="65">
        <v>7106</v>
      </c>
      <c r="B7107" s="64">
        <v>28578980.949264511</v>
      </c>
    </row>
    <row r="7108" spans="1:2" x14ac:dyDescent="0.25">
      <c r="A7108" s="65">
        <v>7107</v>
      </c>
      <c r="B7108" s="64">
        <v>29605841.386626258</v>
      </c>
    </row>
    <row r="7109" spans="1:2" x14ac:dyDescent="0.25">
      <c r="A7109" s="65">
        <v>7108</v>
      </c>
      <c r="B7109" s="64">
        <v>28945276.858812641</v>
      </c>
    </row>
    <row r="7110" spans="1:2" x14ac:dyDescent="0.25">
      <c r="A7110" s="65">
        <v>7109</v>
      </c>
      <c r="B7110" s="64">
        <v>28659023.052502163</v>
      </c>
    </row>
    <row r="7111" spans="1:2" x14ac:dyDescent="0.25">
      <c r="A7111" s="65">
        <v>7110</v>
      </c>
      <c r="B7111" s="64">
        <v>28393824.862077478</v>
      </c>
    </row>
    <row r="7112" spans="1:2" x14ac:dyDescent="0.25">
      <c r="A7112" s="65">
        <v>7111</v>
      </c>
      <c r="B7112" s="64">
        <v>28751777.251129009</v>
      </c>
    </row>
    <row r="7113" spans="1:2" x14ac:dyDescent="0.25">
      <c r="A7113" s="65">
        <v>7112</v>
      </c>
      <c r="B7113" s="64">
        <v>28756389.565643147</v>
      </c>
    </row>
    <row r="7114" spans="1:2" x14ac:dyDescent="0.25">
      <c r="A7114" s="65">
        <v>7113</v>
      </c>
      <c r="B7114" s="64">
        <v>29480945.37005616</v>
      </c>
    </row>
    <row r="7115" spans="1:2" x14ac:dyDescent="0.25">
      <c r="A7115" s="65">
        <v>7114</v>
      </c>
      <c r="B7115" s="64">
        <v>28966181.273008492</v>
      </c>
    </row>
    <row r="7116" spans="1:2" x14ac:dyDescent="0.25">
      <c r="A7116" s="65">
        <v>7115</v>
      </c>
      <c r="B7116" s="64">
        <v>30273405.454133511</v>
      </c>
    </row>
    <row r="7117" spans="1:2" x14ac:dyDescent="0.25">
      <c r="A7117" s="65">
        <v>7116</v>
      </c>
      <c r="B7117" s="64">
        <v>29673037.454898976</v>
      </c>
    </row>
    <row r="7118" spans="1:2" x14ac:dyDescent="0.25">
      <c r="A7118" s="65">
        <v>7117</v>
      </c>
      <c r="B7118" s="64">
        <v>28656011.971950475</v>
      </c>
    </row>
    <row r="7119" spans="1:2" x14ac:dyDescent="0.25">
      <c r="A7119" s="65">
        <v>7118</v>
      </c>
      <c r="B7119" s="64">
        <v>31103734.262721721</v>
      </c>
    </row>
    <row r="7120" spans="1:2" x14ac:dyDescent="0.25">
      <c r="A7120" s="65">
        <v>7119</v>
      </c>
      <c r="B7120" s="64">
        <v>29032914.488466974</v>
      </c>
    </row>
    <row r="7121" spans="1:2" x14ac:dyDescent="0.25">
      <c r="A7121" s="65">
        <v>7120</v>
      </c>
      <c r="B7121" s="64">
        <v>29345365.101164877</v>
      </c>
    </row>
    <row r="7122" spans="1:2" x14ac:dyDescent="0.25">
      <c r="A7122" s="65">
        <v>7121</v>
      </c>
      <c r="B7122" s="64">
        <v>29718887.416797623</v>
      </c>
    </row>
    <row r="7123" spans="1:2" x14ac:dyDescent="0.25">
      <c r="A7123" s="65">
        <v>7122</v>
      </c>
      <c r="B7123" s="64">
        <v>28640081.03527746</v>
      </c>
    </row>
    <row r="7124" spans="1:2" x14ac:dyDescent="0.25">
      <c r="A7124" s="65">
        <v>7123</v>
      </c>
      <c r="B7124" s="64">
        <v>30571267.510631852</v>
      </c>
    </row>
    <row r="7125" spans="1:2" x14ac:dyDescent="0.25">
      <c r="A7125" s="65">
        <v>7124</v>
      </c>
      <c r="B7125" s="64">
        <v>28803011.738940485</v>
      </c>
    </row>
    <row r="7126" spans="1:2" x14ac:dyDescent="0.25">
      <c r="A7126" s="65">
        <v>7125</v>
      </c>
      <c r="B7126" s="64">
        <v>28952554.778652232</v>
      </c>
    </row>
    <row r="7127" spans="1:2" x14ac:dyDescent="0.25">
      <c r="A7127" s="65">
        <v>7126</v>
      </c>
      <c r="B7127" s="64">
        <v>30245425.932037167</v>
      </c>
    </row>
    <row r="7128" spans="1:2" x14ac:dyDescent="0.25">
      <c r="A7128" s="65">
        <v>7127</v>
      </c>
      <c r="B7128" s="64">
        <v>28843810.612950064</v>
      </c>
    </row>
    <row r="7129" spans="1:2" x14ac:dyDescent="0.25">
      <c r="A7129" s="65">
        <v>7128</v>
      </c>
      <c r="B7129" s="64">
        <v>28857313.89643681</v>
      </c>
    </row>
    <row r="7130" spans="1:2" x14ac:dyDescent="0.25">
      <c r="A7130" s="65">
        <v>7129</v>
      </c>
      <c r="B7130" s="64">
        <v>28997149.410804491</v>
      </c>
    </row>
    <row r="7131" spans="1:2" x14ac:dyDescent="0.25">
      <c r="A7131" s="65">
        <v>7130</v>
      </c>
      <c r="B7131" s="64">
        <v>28798425.411441274</v>
      </c>
    </row>
    <row r="7132" spans="1:2" x14ac:dyDescent="0.25">
      <c r="A7132" s="65">
        <v>7131</v>
      </c>
      <c r="B7132" s="64">
        <v>29516309.739225809</v>
      </c>
    </row>
    <row r="7133" spans="1:2" x14ac:dyDescent="0.25">
      <c r="A7133" s="65">
        <v>7132</v>
      </c>
      <c r="B7133" s="64">
        <v>29090645.501501191</v>
      </c>
    </row>
    <row r="7134" spans="1:2" x14ac:dyDescent="0.25">
      <c r="A7134" s="65">
        <v>7133</v>
      </c>
      <c r="B7134" s="64">
        <v>28891247.777435336</v>
      </c>
    </row>
    <row r="7135" spans="1:2" x14ac:dyDescent="0.25">
      <c r="A7135" s="65">
        <v>7134</v>
      </c>
      <c r="B7135" s="64">
        <v>28706986.571053535</v>
      </c>
    </row>
    <row r="7136" spans="1:2" x14ac:dyDescent="0.25">
      <c r="A7136" s="65">
        <v>7135</v>
      </c>
      <c r="B7136" s="64">
        <v>28991387.020972673</v>
      </c>
    </row>
    <row r="7137" spans="1:2" x14ac:dyDescent="0.25">
      <c r="A7137" s="65">
        <v>7136</v>
      </c>
      <c r="B7137" s="64">
        <v>29194766.752594907</v>
      </c>
    </row>
    <row r="7138" spans="1:2" x14ac:dyDescent="0.25">
      <c r="A7138" s="65">
        <v>7137</v>
      </c>
      <c r="B7138" s="64">
        <v>30161222.780127022</v>
      </c>
    </row>
    <row r="7139" spans="1:2" x14ac:dyDescent="0.25">
      <c r="A7139" s="65">
        <v>7138</v>
      </c>
      <c r="B7139" s="64">
        <v>30035430.693664085</v>
      </c>
    </row>
    <row r="7140" spans="1:2" x14ac:dyDescent="0.25">
      <c r="A7140" s="65">
        <v>7139</v>
      </c>
      <c r="B7140" s="64">
        <v>30293663.132328544</v>
      </c>
    </row>
    <row r="7141" spans="1:2" x14ac:dyDescent="0.25">
      <c r="A7141" s="65">
        <v>7140</v>
      </c>
      <c r="B7141" s="64">
        <v>29453149.829923477</v>
      </c>
    </row>
    <row r="7142" spans="1:2" x14ac:dyDescent="0.25">
      <c r="A7142" s="65">
        <v>7141</v>
      </c>
      <c r="B7142" s="64">
        <v>28914792.682732746</v>
      </c>
    </row>
    <row r="7143" spans="1:2" x14ac:dyDescent="0.25">
      <c r="A7143" s="65">
        <v>7142</v>
      </c>
      <c r="B7143" s="64">
        <v>30610386.958453197</v>
      </c>
    </row>
    <row r="7144" spans="1:2" x14ac:dyDescent="0.25">
      <c r="A7144" s="65">
        <v>7143</v>
      </c>
      <c r="B7144" s="64">
        <v>29017979.873748731</v>
      </c>
    </row>
    <row r="7145" spans="1:2" x14ac:dyDescent="0.25">
      <c r="A7145" s="65">
        <v>7144</v>
      </c>
      <c r="B7145" s="64">
        <v>33100431.110363692</v>
      </c>
    </row>
    <row r="7146" spans="1:2" x14ac:dyDescent="0.25">
      <c r="A7146" s="65">
        <v>7145</v>
      </c>
      <c r="B7146" s="64">
        <v>28915393.807602044</v>
      </c>
    </row>
    <row r="7147" spans="1:2" x14ac:dyDescent="0.25">
      <c r="A7147" s="65">
        <v>7146</v>
      </c>
      <c r="B7147" s="64">
        <v>28729564.49954411</v>
      </c>
    </row>
    <row r="7148" spans="1:2" x14ac:dyDescent="0.25">
      <c r="A7148" s="65">
        <v>7147</v>
      </c>
      <c r="B7148" s="64">
        <v>28433951.34558944</v>
      </c>
    </row>
    <row r="7149" spans="1:2" x14ac:dyDescent="0.25">
      <c r="A7149" s="65">
        <v>7148</v>
      </c>
      <c r="B7149" s="64">
        <v>29054035.196817033</v>
      </c>
    </row>
    <row r="7150" spans="1:2" x14ac:dyDescent="0.25">
      <c r="A7150" s="65">
        <v>7149</v>
      </c>
      <c r="B7150" s="64">
        <v>28838172.313996855</v>
      </c>
    </row>
    <row r="7151" spans="1:2" x14ac:dyDescent="0.25">
      <c r="A7151" s="65">
        <v>7150</v>
      </c>
      <c r="B7151" s="64">
        <v>30418039.005305722</v>
      </c>
    </row>
    <row r="7152" spans="1:2" x14ac:dyDescent="0.25">
      <c r="A7152" s="65">
        <v>7151</v>
      </c>
      <c r="B7152" s="64">
        <v>28880567.896269124</v>
      </c>
    </row>
    <row r="7153" spans="1:2" x14ac:dyDescent="0.25">
      <c r="A7153" s="65">
        <v>7152</v>
      </c>
      <c r="B7153" s="64">
        <v>28554952.570528261</v>
      </c>
    </row>
    <row r="7154" spans="1:2" x14ac:dyDescent="0.25">
      <c r="A7154" s="65">
        <v>7153</v>
      </c>
      <c r="B7154" s="64">
        <v>28617857.575871427</v>
      </c>
    </row>
    <row r="7155" spans="1:2" x14ac:dyDescent="0.25">
      <c r="A7155" s="65">
        <v>7154</v>
      </c>
      <c r="B7155" s="64">
        <v>28919405.180047572</v>
      </c>
    </row>
    <row r="7156" spans="1:2" x14ac:dyDescent="0.25">
      <c r="A7156" s="65">
        <v>7155</v>
      </c>
      <c r="B7156" s="64">
        <v>29384149.66009523</v>
      </c>
    </row>
    <row r="7157" spans="1:2" x14ac:dyDescent="0.25">
      <c r="A7157" s="65">
        <v>7156</v>
      </c>
      <c r="B7157" s="64">
        <v>28909224.324745435</v>
      </c>
    </row>
    <row r="7158" spans="1:2" x14ac:dyDescent="0.25">
      <c r="A7158" s="65">
        <v>7157</v>
      </c>
      <c r="B7158" s="64">
        <v>30447755.078591496</v>
      </c>
    </row>
    <row r="7159" spans="1:2" x14ac:dyDescent="0.25">
      <c r="A7159" s="65">
        <v>7158</v>
      </c>
      <c r="B7159" s="64">
        <v>28746380.712594565</v>
      </c>
    </row>
    <row r="7160" spans="1:2" x14ac:dyDescent="0.25">
      <c r="A7160" s="65">
        <v>7159</v>
      </c>
      <c r="B7160" s="64">
        <v>28939532.210932676</v>
      </c>
    </row>
    <row r="7161" spans="1:2" x14ac:dyDescent="0.25">
      <c r="A7161" s="65">
        <v>7160</v>
      </c>
      <c r="B7161" s="64">
        <v>29194895.211274203</v>
      </c>
    </row>
    <row r="7162" spans="1:2" x14ac:dyDescent="0.25">
      <c r="A7162" s="65">
        <v>7161</v>
      </c>
      <c r="B7162" s="64">
        <v>28756448.024740968</v>
      </c>
    </row>
    <row r="7163" spans="1:2" x14ac:dyDescent="0.25">
      <c r="A7163" s="65">
        <v>7162</v>
      </c>
      <c r="B7163" s="64">
        <v>29745399.015509263</v>
      </c>
    </row>
    <row r="7164" spans="1:2" x14ac:dyDescent="0.25">
      <c r="A7164" s="65">
        <v>7163</v>
      </c>
      <c r="B7164" s="64">
        <v>29029382.932624765</v>
      </c>
    </row>
    <row r="7165" spans="1:2" x14ac:dyDescent="0.25">
      <c r="A7165" s="65">
        <v>7164</v>
      </c>
      <c r="B7165" s="64">
        <v>30012787.12200509</v>
      </c>
    </row>
    <row r="7166" spans="1:2" x14ac:dyDescent="0.25">
      <c r="A7166" s="65">
        <v>7165</v>
      </c>
      <c r="B7166" s="64">
        <v>29030256.312112473</v>
      </c>
    </row>
    <row r="7167" spans="1:2" x14ac:dyDescent="0.25">
      <c r="A7167" s="65">
        <v>7166</v>
      </c>
      <c r="B7167" s="64">
        <v>28485257.688485578</v>
      </c>
    </row>
    <row r="7168" spans="1:2" x14ac:dyDescent="0.25">
      <c r="A7168" s="65">
        <v>7167</v>
      </c>
      <c r="B7168" s="64">
        <v>28924239.507660437</v>
      </c>
    </row>
    <row r="7169" spans="1:2" x14ac:dyDescent="0.25">
      <c r="A7169" s="65">
        <v>7168</v>
      </c>
      <c r="B7169" s="64">
        <v>28623032.308417235</v>
      </c>
    </row>
    <row r="7170" spans="1:2" x14ac:dyDescent="0.25">
      <c r="A7170" s="65">
        <v>7169</v>
      </c>
      <c r="B7170" s="64">
        <v>28772613.7678404</v>
      </c>
    </row>
    <row r="7171" spans="1:2" x14ac:dyDescent="0.25">
      <c r="A7171" s="65">
        <v>7170</v>
      </c>
      <c r="B7171" s="64">
        <v>29526242.049736928</v>
      </c>
    </row>
    <row r="7172" spans="1:2" x14ac:dyDescent="0.25">
      <c r="A7172" s="65">
        <v>7171</v>
      </c>
      <c r="B7172" s="64">
        <v>28802196.472167429</v>
      </c>
    </row>
    <row r="7173" spans="1:2" x14ac:dyDescent="0.25">
      <c r="A7173" s="65">
        <v>7172</v>
      </c>
      <c r="B7173" s="64">
        <v>29155343.61582591</v>
      </c>
    </row>
    <row r="7174" spans="1:2" x14ac:dyDescent="0.25">
      <c r="A7174" s="65">
        <v>7173</v>
      </c>
      <c r="B7174" s="64">
        <v>28794369.02867692</v>
      </c>
    </row>
    <row r="7175" spans="1:2" x14ac:dyDescent="0.25">
      <c r="A7175" s="65">
        <v>7174</v>
      </c>
      <c r="B7175" s="64">
        <v>28521270.966412645</v>
      </c>
    </row>
    <row r="7176" spans="1:2" x14ac:dyDescent="0.25">
      <c r="A7176" s="65">
        <v>7175</v>
      </c>
      <c r="B7176" s="64">
        <v>28666451.179591887</v>
      </c>
    </row>
    <row r="7177" spans="1:2" x14ac:dyDescent="0.25">
      <c r="A7177" s="65">
        <v>7176</v>
      </c>
      <c r="B7177" s="64">
        <v>30571583.463156976</v>
      </c>
    </row>
    <row r="7178" spans="1:2" x14ac:dyDescent="0.25">
      <c r="A7178" s="65">
        <v>7177</v>
      </c>
      <c r="B7178" s="64">
        <v>29885314.608667348</v>
      </c>
    </row>
    <row r="7179" spans="1:2" x14ac:dyDescent="0.25">
      <c r="A7179" s="65">
        <v>7178</v>
      </c>
      <c r="B7179" s="64">
        <v>30437678.420566764</v>
      </c>
    </row>
    <row r="7180" spans="1:2" x14ac:dyDescent="0.25">
      <c r="A7180" s="65">
        <v>7179</v>
      </c>
      <c r="B7180" s="64">
        <v>28801385.680448208</v>
      </c>
    </row>
    <row r="7181" spans="1:2" x14ac:dyDescent="0.25">
      <c r="A7181" s="65">
        <v>7180</v>
      </c>
      <c r="B7181" s="64">
        <v>28593781.931189038</v>
      </c>
    </row>
    <row r="7182" spans="1:2" x14ac:dyDescent="0.25">
      <c r="A7182" s="65">
        <v>7181</v>
      </c>
      <c r="B7182" s="64">
        <v>30398204.855348304</v>
      </c>
    </row>
    <row r="7183" spans="1:2" x14ac:dyDescent="0.25">
      <c r="A7183" s="65">
        <v>7182</v>
      </c>
      <c r="B7183" s="64">
        <v>28839283.984576948</v>
      </c>
    </row>
    <row r="7184" spans="1:2" x14ac:dyDescent="0.25">
      <c r="A7184" s="65">
        <v>7183</v>
      </c>
      <c r="B7184" s="64">
        <v>30044730.072449882</v>
      </c>
    </row>
    <row r="7185" spans="1:2" x14ac:dyDescent="0.25">
      <c r="A7185" s="65">
        <v>7184</v>
      </c>
      <c r="B7185" s="64">
        <v>29719509.369916759</v>
      </c>
    </row>
    <row r="7186" spans="1:2" x14ac:dyDescent="0.25">
      <c r="A7186" s="65">
        <v>7185</v>
      </c>
      <c r="B7186" s="64">
        <v>29279065.098192614</v>
      </c>
    </row>
    <row r="7187" spans="1:2" x14ac:dyDescent="0.25">
      <c r="A7187" s="65">
        <v>7186</v>
      </c>
      <c r="B7187" s="64">
        <v>28613141.847376186</v>
      </c>
    </row>
    <row r="7188" spans="1:2" x14ac:dyDescent="0.25">
      <c r="A7188" s="65">
        <v>7187</v>
      </c>
      <c r="B7188" s="64">
        <v>28783787.827236649</v>
      </c>
    </row>
    <row r="7189" spans="1:2" x14ac:dyDescent="0.25">
      <c r="A7189" s="65">
        <v>7188</v>
      </c>
      <c r="B7189" s="64">
        <v>29167728.076921776</v>
      </c>
    </row>
    <row r="7190" spans="1:2" x14ac:dyDescent="0.25">
      <c r="A7190" s="65">
        <v>7189</v>
      </c>
      <c r="B7190" s="64">
        <v>29490072.584984235</v>
      </c>
    </row>
    <row r="7191" spans="1:2" x14ac:dyDescent="0.25">
      <c r="A7191" s="65">
        <v>7190</v>
      </c>
      <c r="B7191" s="64">
        <v>29973052.134732116</v>
      </c>
    </row>
    <row r="7192" spans="1:2" x14ac:dyDescent="0.25">
      <c r="A7192" s="65">
        <v>7191</v>
      </c>
      <c r="B7192" s="64">
        <v>28561025.092755262</v>
      </c>
    </row>
    <row r="7193" spans="1:2" x14ac:dyDescent="0.25">
      <c r="A7193" s="65">
        <v>7192</v>
      </c>
      <c r="B7193" s="64">
        <v>28794235.441505689</v>
      </c>
    </row>
    <row r="7194" spans="1:2" x14ac:dyDescent="0.25">
      <c r="A7194" s="65">
        <v>7193</v>
      </c>
      <c r="B7194" s="64">
        <v>28768968.791510291</v>
      </c>
    </row>
    <row r="7195" spans="1:2" x14ac:dyDescent="0.25">
      <c r="A7195" s="65">
        <v>7194</v>
      </c>
      <c r="B7195" s="64">
        <v>29135135.192273911</v>
      </c>
    </row>
    <row r="7196" spans="1:2" x14ac:dyDescent="0.25">
      <c r="A7196" s="65">
        <v>7195</v>
      </c>
      <c r="B7196" s="64">
        <v>28802027.282771751</v>
      </c>
    </row>
    <row r="7197" spans="1:2" x14ac:dyDescent="0.25">
      <c r="A7197" s="65">
        <v>7196</v>
      </c>
      <c r="B7197" s="64">
        <v>29479153.565688062</v>
      </c>
    </row>
    <row r="7198" spans="1:2" x14ac:dyDescent="0.25">
      <c r="A7198" s="65">
        <v>7197</v>
      </c>
      <c r="B7198" s="64">
        <v>30899682.347457431</v>
      </c>
    </row>
    <row r="7199" spans="1:2" x14ac:dyDescent="0.25">
      <c r="A7199" s="65">
        <v>7198</v>
      </c>
      <c r="B7199" s="64">
        <v>29504327.496765502</v>
      </c>
    </row>
    <row r="7200" spans="1:2" x14ac:dyDescent="0.25">
      <c r="A7200" s="65">
        <v>7199</v>
      </c>
      <c r="B7200" s="64">
        <v>29347026.548250925</v>
      </c>
    </row>
    <row r="7201" spans="1:2" x14ac:dyDescent="0.25">
      <c r="A7201" s="65">
        <v>7200</v>
      </c>
      <c r="B7201" s="64">
        <v>29051101.964863908</v>
      </c>
    </row>
    <row r="7202" spans="1:2" x14ac:dyDescent="0.25">
      <c r="A7202" s="65">
        <v>7201</v>
      </c>
      <c r="B7202" s="64">
        <v>29273085.955099117</v>
      </c>
    </row>
    <row r="7203" spans="1:2" x14ac:dyDescent="0.25">
      <c r="A7203" s="65">
        <v>7202</v>
      </c>
      <c r="B7203" s="64">
        <v>29039382.300228704</v>
      </c>
    </row>
    <row r="7204" spans="1:2" x14ac:dyDescent="0.25">
      <c r="A7204" s="65">
        <v>7203</v>
      </c>
      <c r="B7204" s="64">
        <v>29002755.152111571</v>
      </c>
    </row>
    <row r="7205" spans="1:2" x14ac:dyDescent="0.25">
      <c r="A7205" s="65">
        <v>7204</v>
      </c>
      <c r="B7205" s="64">
        <v>28791842.239939041</v>
      </c>
    </row>
    <row r="7206" spans="1:2" x14ac:dyDescent="0.25">
      <c r="A7206" s="65">
        <v>7205</v>
      </c>
      <c r="B7206" s="64">
        <v>29998700.431201953</v>
      </c>
    </row>
    <row r="7207" spans="1:2" x14ac:dyDescent="0.25">
      <c r="A7207" s="65">
        <v>7206</v>
      </c>
      <c r="B7207" s="64">
        <v>30229027.468522988</v>
      </c>
    </row>
    <row r="7208" spans="1:2" x14ac:dyDescent="0.25">
      <c r="A7208" s="65">
        <v>7207</v>
      </c>
      <c r="B7208" s="64">
        <v>29022962.166319225</v>
      </c>
    </row>
    <row r="7209" spans="1:2" x14ac:dyDescent="0.25">
      <c r="A7209" s="65">
        <v>7208</v>
      </c>
      <c r="B7209" s="64">
        <v>30220333.27094201</v>
      </c>
    </row>
    <row r="7210" spans="1:2" x14ac:dyDescent="0.25">
      <c r="A7210" s="65">
        <v>7209</v>
      </c>
      <c r="B7210" s="64">
        <v>29131104.712451302</v>
      </c>
    </row>
    <row r="7211" spans="1:2" x14ac:dyDescent="0.25">
      <c r="A7211" s="65">
        <v>7210</v>
      </c>
      <c r="B7211" s="64">
        <v>28683153.057282746</v>
      </c>
    </row>
    <row r="7212" spans="1:2" x14ac:dyDescent="0.25">
      <c r="A7212" s="65">
        <v>7211</v>
      </c>
      <c r="B7212" s="64">
        <v>28988889.788525533</v>
      </c>
    </row>
    <row r="7213" spans="1:2" x14ac:dyDescent="0.25">
      <c r="A7213" s="65">
        <v>7212</v>
      </c>
      <c r="B7213" s="64">
        <v>28583216.006409481</v>
      </c>
    </row>
    <row r="7214" spans="1:2" x14ac:dyDescent="0.25">
      <c r="A7214" s="65">
        <v>7213</v>
      </c>
      <c r="B7214" s="64">
        <v>28626848.650951151</v>
      </c>
    </row>
    <row r="7215" spans="1:2" x14ac:dyDescent="0.25">
      <c r="A7215" s="65">
        <v>7214</v>
      </c>
      <c r="B7215" s="64">
        <v>28861592.589444332</v>
      </c>
    </row>
    <row r="7216" spans="1:2" x14ac:dyDescent="0.25">
      <c r="A7216" s="65">
        <v>7215</v>
      </c>
      <c r="B7216" s="64">
        <v>28693396.838152468</v>
      </c>
    </row>
    <row r="7217" spans="1:2" x14ac:dyDescent="0.25">
      <c r="A7217" s="65">
        <v>7216</v>
      </c>
      <c r="B7217" s="64">
        <v>30268534.345302351</v>
      </c>
    </row>
    <row r="7218" spans="1:2" x14ac:dyDescent="0.25">
      <c r="A7218" s="65">
        <v>7217</v>
      </c>
      <c r="B7218" s="64">
        <v>28827797.88456022</v>
      </c>
    </row>
    <row r="7219" spans="1:2" x14ac:dyDescent="0.25">
      <c r="A7219" s="65">
        <v>7218</v>
      </c>
      <c r="B7219" s="64">
        <v>29117647.152351689</v>
      </c>
    </row>
    <row r="7220" spans="1:2" x14ac:dyDescent="0.25">
      <c r="A7220" s="65">
        <v>7219</v>
      </c>
      <c r="B7220" s="64">
        <v>28740622.41495955</v>
      </c>
    </row>
    <row r="7221" spans="1:2" x14ac:dyDescent="0.25">
      <c r="A7221" s="65">
        <v>7220</v>
      </c>
      <c r="B7221" s="64">
        <v>28894053.458434965</v>
      </c>
    </row>
    <row r="7222" spans="1:2" x14ac:dyDescent="0.25">
      <c r="A7222" s="65">
        <v>7221</v>
      </c>
      <c r="B7222" s="64">
        <v>28852118.024617456</v>
      </c>
    </row>
    <row r="7223" spans="1:2" x14ac:dyDescent="0.25">
      <c r="A7223" s="65">
        <v>7222</v>
      </c>
      <c r="B7223" s="64">
        <v>28640302.802130908</v>
      </c>
    </row>
    <row r="7224" spans="1:2" x14ac:dyDescent="0.25">
      <c r="A7224" s="65">
        <v>7223</v>
      </c>
      <c r="B7224" s="64">
        <v>29259462.715840094</v>
      </c>
    </row>
    <row r="7225" spans="1:2" x14ac:dyDescent="0.25">
      <c r="A7225" s="65">
        <v>7224</v>
      </c>
      <c r="B7225" s="64">
        <v>28511621.445729405</v>
      </c>
    </row>
    <row r="7226" spans="1:2" x14ac:dyDescent="0.25">
      <c r="A7226" s="65">
        <v>7225</v>
      </c>
      <c r="B7226" s="64">
        <v>29038281.36703654</v>
      </c>
    </row>
    <row r="7227" spans="1:2" x14ac:dyDescent="0.25">
      <c r="A7227" s="65">
        <v>7226</v>
      </c>
      <c r="B7227" s="64">
        <v>28548487.857157908</v>
      </c>
    </row>
    <row r="7228" spans="1:2" x14ac:dyDescent="0.25">
      <c r="A7228" s="65">
        <v>7227</v>
      </c>
      <c r="B7228" s="64">
        <v>29803634.335074373</v>
      </c>
    </row>
    <row r="7229" spans="1:2" x14ac:dyDescent="0.25">
      <c r="A7229" s="65">
        <v>7228</v>
      </c>
      <c r="B7229" s="64">
        <v>29618002.873277396</v>
      </c>
    </row>
    <row r="7230" spans="1:2" x14ac:dyDescent="0.25">
      <c r="A7230" s="65">
        <v>7229</v>
      </c>
      <c r="B7230" s="64">
        <v>30297757.915523339</v>
      </c>
    </row>
    <row r="7231" spans="1:2" x14ac:dyDescent="0.25">
      <c r="A7231" s="65">
        <v>7230</v>
      </c>
      <c r="B7231" s="64">
        <v>28604823.863697004</v>
      </c>
    </row>
    <row r="7232" spans="1:2" x14ac:dyDescent="0.25">
      <c r="A7232" s="65">
        <v>7231</v>
      </c>
      <c r="B7232" s="64">
        <v>30142059.317187384</v>
      </c>
    </row>
    <row r="7233" spans="1:2" x14ac:dyDescent="0.25">
      <c r="A7233" s="65">
        <v>7232</v>
      </c>
      <c r="B7233" s="64">
        <v>29460085.846452434</v>
      </c>
    </row>
    <row r="7234" spans="1:2" x14ac:dyDescent="0.25">
      <c r="A7234" s="65">
        <v>7233</v>
      </c>
      <c r="B7234" s="64">
        <v>29231974.925435919</v>
      </c>
    </row>
    <row r="7235" spans="1:2" x14ac:dyDescent="0.25">
      <c r="A7235" s="65">
        <v>7234</v>
      </c>
      <c r="B7235" s="64">
        <v>28402681.54775621</v>
      </c>
    </row>
    <row r="7236" spans="1:2" x14ac:dyDescent="0.25">
      <c r="A7236" s="65">
        <v>7235</v>
      </c>
      <c r="B7236" s="64">
        <v>28955952.602556668</v>
      </c>
    </row>
    <row r="7237" spans="1:2" x14ac:dyDescent="0.25">
      <c r="A7237" s="65">
        <v>7236</v>
      </c>
      <c r="B7237" s="64">
        <v>28598742.296031248</v>
      </c>
    </row>
    <row r="7238" spans="1:2" x14ac:dyDescent="0.25">
      <c r="A7238" s="65">
        <v>7237</v>
      </c>
      <c r="B7238" s="64">
        <v>28796797.639286432</v>
      </c>
    </row>
    <row r="7239" spans="1:2" x14ac:dyDescent="0.25">
      <c r="A7239" s="65">
        <v>7238</v>
      </c>
      <c r="B7239" s="64">
        <v>29128860.762958057</v>
      </c>
    </row>
    <row r="7240" spans="1:2" x14ac:dyDescent="0.25">
      <c r="A7240" s="65">
        <v>7239</v>
      </c>
      <c r="B7240" s="64">
        <v>28495846.81848285</v>
      </c>
    </row>
    <row r="7241" spans="1:2" x14ac:dyDescent="0.25">
      <c r="A7241" s="65">
        <v>7240</v>
      </c>
      <c r="B7241" s="64">
        <v>29201785.814319342</v>
      </c>
    </row>
    <row r="7242" spans="1:2" x14ac:dyDescent="0.25">
      <c r="A7242" s="65">
        <v>7241</v>
      </c>
      <c r="B7242" s="64">
        <v>29608166.023939833</v>
      </c>
    </row>
    <row r="7243" spans="1:2" x14ac:dyDescent="0.25">
      <c r="A7243" s="65">
        <v>7242</v>
      </c>
      <c r="B7243" s="64">
        <v>28997802.793471139</v>
      </c>
    </row>
    <row r="7244" spans="1:2" x14ac:dyDescent="0.25">
      <c r="A7244" s="65">
        <v>7243</v>
      </c>
      <c r="B7244" s="64">
        <v>28671569.587870657</v>
      </c>
    </row>
    <row r="7245" spans="1:2" x14ac:dyDescent="0.25">
      <c r="A7245" s="65">
        <v>7244</v>
      </c>
      <c r="B7245" s="64">
        <v>30159643.736248132</v>
      </c>
    </row>
    <row r="7246" spans="1:2" x14ac:dyDescent="0.25">
      <c r="A7246" s="65">
        <v>7245</v>
      </c>
      <c r="B7246" s="64">
        <v>28884440.06703781</v>
      </c>
    </row>
    <row r="7247" spans="1:2" x14ac:dyDescent="0.25">
      <c r="A7247" s="65">
        <v>7246</v>
      </c>
      <c r="B7247" s="64">
        <v>28591344.09610074</v>
      </c>
    </row>
    <row r="7248" spans="1:2" x14ac:dyDescent="0.25">
      <c r="A7248" s="65">
        <v>7247</v>
      </c>
      <c r="B7248" s="64">
        <v>29473012.038288511</v>
      </c>
    </row>
    <row r="7249" spans="1:2" x14ac:dyDescent="0.25">
      <c r="A7249" s="65">
        <v>7248</v>
      </c>
      <c r="B7249" s="64">
        <v>29105674.760738201</v>
      </c>
    </row>
    <row r="7250" spans="1:2" x14ac:dyDescent="0.25">
      <c r="A7250" s="65">
        <v>7249</v>
      </c>
      <c r="B7250" s="64">
        <v>29336221.88411504</v>
      </c>
    </row>
    <row r="7251" spans="1:2" x14ac:dyDescent="0.25">
      <c r="A7251" s="65">
        <v>7250</v>
      </c>
      <c r="B7251" s="64">
        <v>28763646.399538934</v>
      </c>
    </row>
    <row r="7252" spans="1:2" x14ac:dyDescent="0.25">
      <c r="A7252" s="65">
        <v>7251</v>
      </c>
      <c r="B7252" s="64">
        <v>29709048.534525596</v>
      </c>
    </row>
    <row r="7253" spans="1:2" x14ac:dyDescent="0.25">
      <c r="A7253" s="65">
        <v>7252</v>
      </c>
      <c r="B7253" s="64">
        <v>28525635.198875036</v>
      </c>
    </row>
    <row r="7254" spans="1:2" x14ac:dyDescent="0.25">
      <c r="A7254" s="65">
        <v>7253</v>
      </c>
      <c r="B7254" s="64">
        <v>28728240.117224406</v>
      </c>
    </row>
    <row r="7255" spans="1:2" x14ac:dyDescent="0.25">
      <c r="A7255" s="65">
        <v>7254</v>
      </c>
      <c r="B7255" s="64">
        <v>28693256.969751693</v>
      </c>
    </row>
    <row r="7256" spans="1:2" x14ac:dyDescent="0.25">
      <c r="A7256" s="65">
        <v>7255</v>
      </c>
      <c r="B7256" s="64">
        <v>28749557.904646467</v>
      </c>
    </row>
    <row r="7257" spans="1:2" x14ac:dyDescent="0.25">
      <c r="A7257" s="65">
        <v>7256</v>
      </c>
      <c r="B7257" s="64">
        <v>29829573.62147988</v>
      </c>
    </row>
    <row r="7258" spans="1:2" x14ac:dyDescent="0.25">
      <c r="A7258" s="65">
        <v>7257</v>
      </c>
      <c r="B7258" s="64">
        <v>29050313.197543863</v>
      </c>
    </row>
    <row r="7259" spans="1:2" x14ac:dyDescent="0.25">
      <c r="A7259" s="65">
        <v>7258</v>
      </c>
      <c r="B7259" s="64">
        <v>28487663.329094969</v>
      </c>
    </row>
    <row r="7260" spans="1:2" x14ac:dyDescent="0.25">
      <c r="A7260" s="65">
        <v>7259</v>
      </c>
      <c r="B7260" s="64">
        <v>29918090.8223253</v>
      </c>
    </row>
    <row r="7261" spans="1:2" x14ac:dyDescent="0.25">
      <c r="A7261" s="65">
        <v>7260</v>
      </c>
      <c r="B7261" s="64">
        <v>29648151.581564672</v>
      </c>
    </row>
    <row r="7262" spans="1:2" x14ac:dyDescent="0.25">
      <c r="A7262" s="65">
        <v>7261</v>
      </c>
      <c r="B7262" s="64">
        <v>29715604.392592311</v>
      </c>
    </row>
    <row r="7263" spans="1:2" x14ac:dyDescent="0.25">
      <c r="A7263" s="65">
        <v>7262</v>
      </c>
      <c r="B7263" s="64">
        <v>30956424.969530769</v>
      </c>
    </row>
    <row r="7264" spans="1:2" x14ac:dyDescent="0.25">
      <c r="A7264" s="65">
        <v>7263</v>
      </c>
      <c r="B7264" s="64">
        <v>30504493.770002533</v>
      </c>
    </row>
    <row r="7265" spans="1:2" x14ac:dyDescent="0.25">
      <c r="A7265" s="65">
        <v>7264</v>
      </c>
      <c r="B7265" s="64">
        <v>28775250.741360221</v>
      </c>
    </row>
    <row r="7266" spans="1:2" x14ac:dyDescent="0.25">
      <c r="A7266" s="65">
        <v>7265</v>
      </c>
      <c r="B7266" s="64">
        <v>28935468.389401283</v>
      </c>
    </row>
    <row r="7267" spans="1:2" x14ac:dyDescent="0.25">
      <c r="A7267" s="65">
        <v>7266</v>
      </c>
      <c r="B7267" s="64">
        <v>30260314.050247166</v>
      </c>
    </row>
    <row r="7268" spans="1:2" x14ac:dyDescent="0.25">
      <c r="A7268" s="65">
        <v>7267</v>
      </c>
      <c r="B7268" s="64">
        <v>29339980.772887945</v>
      </c>
    </row>
    <row r="7269" spans="1:2" x14ac:dyDescent="0.25">
      <c r="A7269" s="65">
        <v>7268</v>
      </c>
      <c r="B7269" s="64">
        <v>29343284.193229269</v>
      </c>
    </row>
    <row r="7270" spans="1:2" x14ac:dyDescent="0.25">
      <c r="A7270" s="65">
        <v>7269</v>
      </c>
      <c r="B7270" s="64">
        <v>29446254.265059479</v>
      </c>
    </row>
    <row r="7271" spans="1:2" x14ac:dyDescent="0.25">
      <c r="A7271" s="65">
        <v>7270</v>
      </c>
      <c r="B7271" s="64">
        <v>30148763.304279026</v>
      </c>
    </row>
    <row r="7272" spans="1:2" x14ac:dyDescent="0.25">
      <c r="A7272" s="65">
        <v>7271</v>
      </c>
      <c r="B7272" s="64">
        <v>29908368.779097419</v>
      </c>
    </row>
    <row r="7273" spans="1:2" x14ac:dyDescent="0.25">
      <c r="A7273" s="65">
        <v>7272</v>
      </c>
      <c r="B7273" s="64">
        <v>30472911.910878021</v>
      </c>
    </row>
    <row r="7274" spans="1:2" x14ac:dyDescent="0.25">
      <c r="A7274" s="65">
        <v>7273</v>
      </c>
      <c r="B7274" s="64">
        <v>29470942.455654405</v>
      </c>
    </row>
    <row r="7275" spans="1:2" x14ac:dyDescent="0.25">
      <c r="A7275" s="65">
        <v>7274</v>
      </c>
      <c r="B7275" s="64">
        <v>29851153.282619681</v>
      </c>
    </row>
    <row r="7276" spans="1:2" x14ac:dyDescent="0.25">
      <c r="A7276" s="65">
        <v>7275</v>
      </c>
      <c r="B7276" s="64">
        <v>30212116.710603759</v>
      </c>
    </row>
    <row r="7277" spans="1:2" x14ac:dyDescent="0.25">
      <c r="A7277" s="65">
        <v>7276</v>
      </c>
      <c r="B7277" s="64">
        <v>28722232.662988484</v>
      </c>
    </row>
    <row r="7278" spans="1:2" x14ac:dyDescent="0.25">
      <c r="A7278" s="65">
        <v>7277</v>
      </c>
      <c r="B7278" s="64">
        <v>31292940.592607867</v>
      </c>
    </row>
    <row r="7279" spans="1:2" x14ac:dyDescent="0.25">
      <c r="A7279" s="65">
        <v>7278</v>
      </c>
      <c r="B7279" s="64">
        <v>28554619.939508237</v>
      </c>
    </row>
    <row r="7280" spans="1:2" x14ac:dyDescent="0.25">
      <c r="A7280" s="65">
        <v>7279</v>
      </c>
      <c r="B7280" s="64">
        <v>29298409.64022661</v>
      </c>
    </row>
    <row r="7281" spans="1:2" x14ac:dyDescent="0.25">
      <c r="A7281" s="65">
        <v>7280</v>
      </c>
      <c r="B7281" s="64">
        <v>28691345.207982056</v>
      </c>
    </row>
    <row r="7282" spans="1:2" x14ac:dyDescent="0.25">
      <c r="A7282" s="65">
        <v>7281</v>
      </c>
      <c r="B7282" s="64">
        <v>29194768.955671418</v>
      </c>
    </row>
    <row r="7283" spans="1:2" x14ac:dyDescent="0.25">
      <c r="A7283" s="65">
        <v>7282</v>
      </c>
      <c r="B7283" s="64">
        <v>29501832.369254664</v>
      </c>
    </row>
    <row r="7284" spans="1:2" x14ac:dyDescent="0.25">
      <c r="A7284" s="65">
        <v>7283</v>
      </c>
      <c r="B7284" s="64">
        <v>28684851.357760608</v>
      </c>
    </row>
    <row r="7285" spans="1:2" x14ac:dyDescent="0.25">
      <c r="A7285" s="65">
        <v>7284</v>
      </c>
      <c r="B7285" s="64">
        <v>28882514.674885862</v>
      </c>
    </row>
    <row r="7286" spans="1:2" x14ac:dyDescent="0.25">
      <c r="A7286" s="65">
        <v>7285</v>
      </c>
      <c r="B7286" s="64">
        <v>28805048.666626424</v>
      </c>
    </row>
    <row r="7287" spans="1:2" x14ac:dyDescent="0.25">
      <c r="A7287" s="65">
        <v>7286</v>
      </c>
      <c r="B7287" s="64">
        <v>28825925.3906679</v>
      </c>
    </row>
    <row r="7288" spans="1:2" x14ac:dyDescent="0.25">
      <c r="A7288" s="65">
        <v>7287</v>
      </c>
      <c r="B7288" s="64">
        <v>29728138.728142675</v>
      </c>
    </row>
    <row r="7289" spans="1:2" x14ac:dyDescent="0.25">
      <c r="A7289" s="65">
        <v>7288</v>
      </c>
      <c r="B7289" s="64">
        <v>28935981.443173356</v>
      </c>
    </row>
    <row r="7290" spans="1:2" x14ac:dyDescent="0.25">
      <c r="A7290" s="65">
        <v>7289</v>
      </c>
      <c r="B7290" s="64">
        <v>33434323.833091624</v>
      </c>
    </row>
    <row r="7291" spans="1:2" x14ac:dyDescent="0.25">
      <c r="A7291" s="65">
        <v>7290</v>
      </c>
      <c r="B7291" s="64">
        <v>29790428.07917396</v>
      </c>
    </row>
    <row r="7292" spans="1:2" x14ac:dyDescent="0.25">
      <c r="A7292" s="65">
        <v>7291</v>
      </c>
      <c r="B7292" s="64">
        <v>29073454.696248706</v>
      </c>
    </row>
    <row r="7293" spans="1:2" x14ac:dyDescent="0.25">
      <c r="A7293" s="65">
        <v>7292</v>
      </c>
      <c r="B7293" s="64">
        <v>28763829.905848242</v>
      </c>
    </row>
    <row r="7294" spans="1:2" x14ac:dyDescent="0.25">
      <c r="A7294" s="65">
        <v>7293</v>
      </c>
      <c r="B7294" s="64">
        <v>29088037.001643274</v>
      </c>
    </row>
    <row r="7295" spans="1:2" x14ac:dyDescent="0.25">
      <c r="A7295" s="65">
        <v>7294</v>
      </c>
      <c r="B7295" s="64">
        <v>30090470.703792769</v>
      </c>
    </row>
    <row r="7296" spans="1:2" x14ac:dyDescent="0.25">
      <c r="A7296" s="65">
        <v>7295</v>
      </c>
      <c r="B7296" s="64">
        <v>29696020.677136473</v>
      </c>
    </row>
    <row r="7297" spans="1:2" x14ac:dyDescent="0.25">
      <c r="A7297" s="65">
        <v>7296</v>
      </c>
      <c r="B7297" s="64">
        <v>28435825.96725931</v>
      </c>
    </row>
    <row r="7298" spans="1:2" x14ac:dyDescent="0.25">
      <c r="A7298" s="65">
        <v>7297</v>
      </c>
      <c r="B7298" s="64">
        <v>29304388.787873711</v>
      </c>
    </row>
    <row r="7299" spans="1:2" x14ac:dyDescent="0.25">
      <c r="A7299" s="65">
        <v>7298</v>
      </c>
      <c r="B7299" s="64">
        <v>28631053.643519904</v>
      </c>
    </row>
    <row r="7300" spans="1:2" x14ac:dyDescent="0.25">
      <c r="A7300" s="65">
        <v>7299</v>
      </c>
      <c r="B7300" s="64">
        <v>29396075.04473288</v>
      </c>
    </row>
    <row r="7301" spans="1:2" x14ac:dyDescent="0.25">
      <c r="A7301" s="65">
        <v>7300</v>
      </c>
      <c r="B7301" s="64">
        <v>28539137.171971086</v>
      </c>
    </row>
    <row r="7302" spans="1:2" x14ac:dyDescent="0.25">
      <c r="A7302" s="65">
        <v>7301</v>
      </c>
      <c r="B7302" s="64">
        <v>33129682.783047482</v>
      </c>
    </row>
    <row r="7303" spans="1:2" x14ac:dyDescent="0.25">
      <c r="A7303" s="65">
        <v>7302</v>
      </c>
      <c r="B7303" s="64">
        <v>29739384.367062796</v>
      </c>
    </row>
    <row r="7304" spans="1:2" x14ac:dyDescent="0.25">
      <c r="A7304" s="65">
        <v>7303</v>
      </c>
      <c r="B7304" s="64">
        <v>30071836.48835982</v>
      </c>
    </row>
    <row r="7305" spans="1:2" x14ac:dyDescent="0.25">
      <c r="A7305" s="65">
        <v>7304</v>
      </c>
      <c r="B7305" s="64">
        <v>28705638.247967754</v>
      </c>
    </row>
    <row r="7306" spans="1:2" x14ac:dyDescent="0.25">
      <c r="A7306" s="65">
        <v>7305</v>
      </c>
      <c r="B7306" s="64">
        <v>29622515.198183611</v>
      </c>
    </row>
    <row r="7307" spans="1:2" x14ac:dyDescent="0.25">
      <c r="A7307" s="65">
        <v>7306</v>
      </c>
      <c r="B7307" s="64">
        <v>29176708.181969874</v>
      </c>
    </row>
    <row r="7308" spans="1:2" x14ac:dyDescent="0.25">
      <c r="A7308" s="65">
        <v>7307</v>
      </c>
      <c r="B7308" s="64">
        <v>28702472.779001411</v>
      </c>
    </row>
    <row r="7309" spans="1:2" x14ac:dyDescent="0.25">
      <c r="A7309" s="65">
        <v>7308</v>
      </c>
      <c r="B7309" s="64">
        <v>29267140.080066852</v>
      </c>
    </row>
    <row r="7310" spans="1:2" x14ac:dyDescent="0.25">
      <c r="A7310" s="65">
        <v>7309</v>
      </c>
      <c r="B7310" s="64">
        <v>29907609.91037719</v>
      </c>
    </row>
    <row r="7311" spans="1:2" x14ac:dyDescent="0.25">
      <c r="A7311" s="65">
        <v>7310</v>
      </c>
      <c r="B7311" s="64">
        <v>29845787.554766893</v>
      </c>
    </row>
    <row r="7312" spans="1:2" x14ac:dyDescent="0.25">
      <c r="A7312" s="65">
        <v>7311</v>
      </c>
      <c r="B7312" s="64">
        <v>28984663.78653923</v>
      </c>
    </row>
    <row r="7313" spans="1:2" x14ac:dyDescent="0.25">
      <c r="A7313" s="65">
        <v>7312</v>
      </c>
      <c r="B7313" s="64">
        <v>29813417.95804733</v>
      </c>
    </row>
    <row r="7314" spans="1:2" x14ac:dyDescent="0.25">
      <c r="A7314" s="65">
        <v>7313</v>
      </c>
      <c r="B7314" s="64">
        <v>28568662.161661975</v>
      </c>
    </row>
    <row r="7315" spans="1:2" x14ac:dyDescent="0.25">
      <c r="A7315" s="65">
        <v>7314</v>
      </c>
      <c r="B7315" s="64">
        <v>30047521.067616105</v>
      </c>
    </row>
    <row r="7316" spans="1:2" x14ac:dyDescent="0.25">
      <c r="A7316" s="65">
        <v>7315</v>
      </c>
      <c r="B7316" s="64">
        <v>28786272.107623938</v>
      </c>
    </row>
    <row r="7317" spans="1:2" x14ac:dyDescent="0.25">
      <c r="A7317" s="65">
        <v>7316</v>
      </c>
      <c r="B7317" s="64">
        <v>29003677.214374248</v>
      </c>
    </row>
    <row r="7318" spans="1:2" x14ac:dyDescent="0.25">
      <c r="A7318" s="65">
        <v>7317</v>
      </c>
      <c r="B7318" s="64">
        <v>30378195.470923901</v>
      </c>
    </row>
    <row r="7319" spans="1:2" x14ac:dyDescent="0.25">
      <c r="A7319" s="65">
        <v>7318</v>
      </c>
      <c r="B7319" s="64">
        <v>33701180.139034882</v>
      </c>
    </row>
    <row r="7320" spans="1:2" x14ac:dyDescent="0.25">
      <c r="A7320" s="65">
        <v>7319</v>
      </c>
      <c r="B7320" s="64">
        <v>29440980.704292633</v>
      </c>
    </row>
    <row r="7321" spans="1:2" x14ac:dyDescent="0.25">
      <c r="A7321" s="65">
        <v>7320</v>
      </c>
      <c r="B7321" s="64">
        <v>29410335.926403005</v>
      </c>
    </row>
    <row r="7322" spans="1:2" x14ac:dyDescent="0.25">
      <c r="A7322" s="65">
        <v>7321</v>
      </c>
      <c r="B7322" s="64">
        <v>29517607.8462134</v>
      </c>
    </row>
    <row r="7323" spans="1:2" x14ac:dyDescent="0.25">
      <c r="A7323" s="65">
        <v>7322</v>
      </c>
      <c r="B7323" s="64">
        <v>29523587.981373884</v>
      </c>
    </row>
    <row r="7324" spans="1:2" x14ac:dyDescent="0.25">
      <c r="A7324" s="65">
        <v>7323</v>
      </c>
      <c r="B7324" s="64">
        <v>28434194.351640921</v>
      </c>
    </row>
    <row r="7325" spans="1:2" x14ac:dyDescent="0.25">
      <c r="A7325" s="65">
        <v>7324</v>
      </c>
      <c r="B7325" s="64">
        <v>29184373.73746733</v>
      </c>
    </row>
    <row r="7326" spans="1:2" x14ac:dyDescent="0.25">
      <c r="A7326" s="65">
        <v>7325</v>
      </c>
      <c r="B7326" s="64">
        <v>28620468.907929026</v>
      </c>
    </row>
    <row r="7327" spans="1:2" x14ac:dyDescent="0.25">
      <c r="A7327" s="65">
        <v>7326</v>
      </c>
      <c r="B7327" s="64">
        <v>29355678.410687793</v>
      </c>
    </row>
    <row r="7328" spans="1:2" x14ac:dyDescent="0.25">
      <c r="A7328" s="65">
        <v>7327</v>
      </c>
      <c r="B7328" s="64">
        <v>29263248.353082027</v>
      </c>
    </row>
    <row r="7329" spans="1:2" x14ac:dyDescent="0.25">
      <c r="A7329" s="65">
        <v>7328</v>
      </c>
      <c r="B7329" s="64">
        <v>29080795.345918771</v>
      </c>
    </row>
    <row r="7330" spans="1:2" x14ac:dyDescent="0.25">
      <c r="A7330" s="65">
        <v>7329</v>
      </c>
      <c r="B7330" s="64">
        <v>28592596.748201773</v>
      </c>
    </row>
    <row r="7331" spans="1:2" x14ac:dyDescent="0.25">
      <c r="A7331" s="65">
        <v>7330</v>
      </c>
      <c r="B7331" s="64">
        <v>28763608.589490853</v>
      </c>
    </row>
    <row r="7332" spans="1:2" x14ac:dyDescent="0.25">
      <c r="A7332" s="65">
        <v>7331</v>
      </c>
      <c r="B7332" s="64">
        <v>29152914.495893102</v>
      </c>
    </row>
    <row r="7333" spans="1:2" x14ac:dyDescent="0.25">
      <c r="A7333" s="65">
        <v>7332</v>
      </c>
      <c r="B7333" s="64">
        <v>28513941.603025906</v>
      </c>
    </row>
    <row r="7334" spans="1:2" x14ac:dyDescent="0.25">
      <c r="A7334" s="65">
        <v>7333</v>
      </c>
      <c r="B7334" s="64">
        <v>28913936.49119306</v>
      </c>
    </row>
    <row r="7335" spans="1:2" x14ac:dyDescent="0.25">
      <c r="A7335" s="65">
        <v>7334</v>
      </c>
      <c r="B7335" s="64">
        <v>29105280.623764709</v>
      </c>
    </row>
    <row r="7336" spans="1:2" x14ac:dyDescent="0.25">
      <c r="A7336" s="65">
        <v>7335</v>
      </c>
      <c r="B7336" s="64">
        <v>29444495.494735572</v>
      </c>
    </row>
    <row r="7337" spans="1:2" x14ac:dyDescent="0.25">
      <c r="A7337" s="65">
        <v>7336</v>
      </c>
      <c r="B7337" s="64">
        <v>28834942.593845505</v>
      </c>
    </row>
    <row r="7338" spans="1:2" x14ac:dyDescent="0.25">
      <c r="A7338" s="65">
        <v>7337</v>
      </c>
      <c r="B7338" s="64">
        <v>30849012.771972269</v>
      </c>
    </row>
    <row r="7339" spans="1:2" x14ac:dyDescent="0.25">
      <c r="A7339" s="65">
        <v>7338</v>
      </c>
      <c r="B7339" s="64">
        <v>29078131.325156003</v>
      </c>
    </row>
    <row r="7340" spans="1:2" x14ac:dyDescent="0.25">
      <c r="A7340" s="65">
        <v>7339</v>
      </c>
      <c r="B7340" s="64">
        <v>30469094.028706949</v>
      </c>
    </row>
    <row r="7341" spans="1:2" x14ac:dyDescent="0.25">
      <c r="A7341" s="65">
        <v>7340</v>
      </c>
      <c r="B7341" s="64">
        <v>28978406.058617067</v>
      </c>
    </row>
    <row r="7342" spans="1:2" x14ac:dyDescent="0.25">
      <c r="A7342" s="65">
        <v>7341</v>
      </c>
      <c r="B7342" s="64">
        <v>28796389.922583569</v>
      </c>
    </row>
    <row r="7343" spans="1:2" x14ac:dyDescent="0.25">
      <c r="A7343" s="65">
        <v>7342</v>
      </c>
      <c r="B7343" s="64">
        <v>28666902.434872162</v>
      </c>
    </row>
    <row r="7344" spans="1:2" x14ac:dyDescent="0.25">
      <c r="A7344" s="65">
        <v>7343</v>
      </c>
      <c r="B7344" s="64">
        <v>28973149.483363234</v>
      </c>
    </row>
    <row r="7345" spans="1:2" x14ac:dyDescent="0.25">
      <c r="A7345" s="65">
        <v>7344</v>
      </c>
      <c r="B7345" s="64">
        <v>29838036.040072616</v>
      </c>
    </row>
    <row r="7346" spans="1:2" x14ac:dyDescent="0.25">
      <c r="A7346" s="65">
        <v>7345</v>
      </c>
      <c r="B7346" s="64">
        <v>30075811.605477128</v>
      </c>
    </row>
    <row r="7347" spans="1:2" x14ac:dyDescent="0.25">
      <c r="A7347" s="65">
        <v>7346</v>
      </c>
      <c r="B7347" s="64">
        <v>29011369.937793534</v>
      </c>
    </row>
    <row r="7348" spans="1:2" x14ac:dyDescent="0.25">
      <c r="A7348" s="65">
        <v>7347</v>
      </c>
      <c r="B7348" s="64">
        <v>28661589.37779035</v>
      </c>
    </row>
    <row r="7349" spans="1:2" x14ac:dyDescent="0.25">
      <c r="A7349" s="65">
        <v>7348</v>
      </c>
      <c r="B7349" s="64">
        <v>28875126.880576763</v>
      </c>
    </row>
    <row r="7350" spans="1:2" x14ac:dyDescent="0.25">
      <c r="A7350" s="65">
        <v>7349</v>
      </c>
      <c r="B7350" s="64">
        <v>29059932.700056866</v>
      </c>
    </row>
    <row r="7351" spans="1:2" x14ac:dyDescent="0.25">
      <c r="A7351" s="65">
        <v>7350</v>
      </c>
      <c r="B7351" s="64">
        <v>29411115.023692582</v>
      </c>
    </row>
    <row r="7352" spans="1:2" x14ac:dyDescent="0.25">
      <c r="A7352" s="65">
        <v>7351</v>
      </c>
      <c r="B7352" s="64">
        <v>29489991.713985834</v>
      </c>
    </row>
    <row r="7353" spans="1:2" x14ac:dyDescent="0.25">
      <c r="A7353" s="65">
        <v>7352</v>
      </c>
      <c r="B7353" s="64">
        <v>29180725.008573547</v>
      </c>
    </row>
    <row r="7354" spans="1:2" x14ac:dyDescent="0.25">
      <c r="A7354" s="65">
        <v>7353</v>
      </c>
      <c r="B7354" s="64">
        <v>29984707.365265783</v>
      </c>
    </row>
    <row r="7355" spans="1:2" x14ac:dyDescent="0.25">
      <c r="A7355" s="65">
        <v>7354</v>
      </c>
      <c r="B7355" s="64">
        <v>29622457.258519486</v>
      </c>
    </row>
    <row r="7356" spans="1:2" x14ac:dyDescent="0.25">
      <c r="A7356" s="65">
        <v>7355</v>
      </c>
      <c r="B7356" s="64">
        <v>30383773.897807054</v>
      </c>
    </row>
    <row r="7357" spans="1:2" x14ac:dyDescent="0.25">
      <c r="A7357" s="65">
        <v>7356</v>
      </c>
      <c r="B7357" s="64">
        <v>29157324.773675587</v>
      </c>
    </row>
    <row r="7358" spans="1:2" x14ac:dyDescent="0.25">
      <c r="A7358" s="65">
        <v>7357</v>
      </c>
      <c r="B7358" s="64">
        <v>29000995.104989495</v>
      </c>
    </row>
    <row r="7359" spans="1:2" x14ac:dyDescent="0.25">
      <c r="A7359" s="65">
        <v>7358</v>
      </c>
      <c r="B7359" s="64">
        <v>28646294.955088232</v>
      </c>
    </row>
    <row r="7360" spans="1:2" x14ac:dyDescent="0.25">
      <c r="A7360" s="65">
        <v>7359</v>
      </c>
      <c r="B7360" s="64">
        <v>29731942.290872183</v>
      </c>
    </row>
    <row r="7361" spans="1:2" x14ac:dyDescent="0.25">
      <c r="A7361" s="65">
        <v>7360</v>
      </c>
      <c r="B7361" s="64">
        <v>30092017.203458522</v>
      </c>
    </row>
    <row r="7362" spans="1:2" x14ac:dyDescent="0.25">
      <c r="A7362" s="65">
        <v>7361</v>
      </c>
      <c r="B7362" s="64">
        <v>29096343.849125396</v>
      </c>
    </row>
    <row r="7363" spans="1:2" x14ac:dyDescent="0.25">
      <c r="A7363" s="65">
        <v>7362</v>
      </c>
      <c r="B7363" s="64">
        <v>28932173.210124895</v>
      </c>
    </row>
    <row r="7364" spans="1:2" x14ac:dyDescent="0.25">
      <c r="A7364" s="65">
        <v>7363</v>
      </c>
      <c r="B7364" s="64">
        <v>30162687.368178535</v>
      </c>
    </row>
    <row r="7365" spans="1:2" x14ac:dyDescent="0.25">
      <c r="A7365" s="65">
        <v>7364</v>
      </c>
      <c r="B7365" s="64">
        <v>30541428.204530228</v>
      </c>
    </row>
    <row r="7366" spans="1:2" x14ac:dyDescent="0.25">
      <c r="A7366" s="65">
        <v>7365</v>
      </c>
      <c r="B7366" s="64">
        <v>29185778.000773001</v>
      </c>
    </row>
    <row r="7367" spans="1:2" x14ac:dyDescent="0.25">
      <c r="A7367" s="65">
        <v>7366</v>
      </c>
      <c r="B7367" s="64">
        <v>29266929.225647602</v>
      </c>
    </row>
    <row r="7368" spans="1:2" x14ac:dyDescent="0.25">
      <c r="A7368" s="65">
        <v>7367</v>
      </c>
      <c r="B7368" s="64">
        <v>28913405.107253734</v>
      </c>
    </row>
    <row r="7369" spans="1:2" x14ac:dyDescent="0.25">
      <c r="A7369" s="65">
        <v>7368</v>
      </c>
      <c r="B7369" s="64">
        <v>28382162.441516746</v>
      </c>
    </row>
    <row r="7370" spans="1:2" x14ac:dyDescent="0.25">
      <c r="A7370" s="65">
        <v>7369</v>
      </c>
      <c r="B7370" s="64">
        <v>30840852.269036528</v>
      </c>
    </row>
    <row r="7371" spans="1:2" x14ac:dyDescent="0.25">
      <c r="A7371" s="65">
        <v>7370</v>
      </c>
      <c r="B7371" s="64">
        <v>29613609.196626849</v>
      </c>
    </row>
    <row r="7372" spans="1:2" x14ac:dyDescent="0.25">
      <c r="A7372" s="65">
        <v>7371</v>
      </c>
      <c r="B7372" s="64">
        <v>29484175.044001553</v>
      </c>
    </row>
    <row r="7373" spans="1:2" x14ac:dyDescent="0.25">
      <c r="A7373" s="65">
        <v>7372</v>
      </c>
      <c r="B7373" s="64">
        <v>28539391.411761012</v>
      </c>
    </row>
    <row r="7374" spans="1:2" x14ac:dyDescent="0.25">
      <c r="A7374" s="65">
        <v>7373</v>
      </c>
      <c r="B7374" s="64">
        <v>29856676.360432532</v>
      </c>
    </row>
    <row r="7375" spans="1:2" x14ac:dyDescent="0.25">
      <c r="A7375" s="65">
        <v>7374</v>
      </c>
      <c r="B7375" s="64">
        <v>29012575.909079242</v>
      </c>
    </row>
    <row r="7376" spans="1:2" x14ac:dyDescent="0.25">
      <c r="A7376" s="65">
        <v>7375</v>
      </c>
      <c r="B7376" s="64">
        <v>29153603.940507364</v>
      </c>
    </row>
    <row r="7377" spans="1:2" x14ac:dyDescent="0.25">
      <c r="A7377" s="65">
        <v>7376</v>
      </c>
      <c r="B7377" s="64">
        <v>29692961.404449798</v>
      </c>
    </row>
    <row r="7378" spans="1:2" x14ac:dyDescent="0.25">
      <c r="A7378" s="65">
        <v>7377</v>
      </c>
      <c r="B7378" s="64">
        <v>28594047.669603273</v>
      </c>
    </row>
    <row r="7379" spans="1:2" x14ac:dyDescent="0.25">
      <c r="A7379" s="65">
        <v>7378</v>
      </c>
      <c r="B7379" s="64">
        <v>33245701.064431366</v>
      </c>
    </row>
    <row r="7380" spans="1:2" x14ac:dyDescent="0.25">
      <c r="A7380" s="65">
        <v>7379</v>
      </c>
      <c r="B7380" s="64">
        <v>28596276.855353773</v>
      </c>
    </row>
    <row r="7381" spans="1:2" x14ac:dyDescent="0.25">
      <c r="A7381" s="65">
        <v>7380</v>
      </c>
      <c r="B7381" s="64">
        <v>29338406.430000275</v>
      </c>
    </row>
    <row r="7382" spans="1:2" x14ac:dyDescent="0.25">
      <c r="A7382" s="65">
        <v>7381</v>
      </c>
      <c r="B7382" s="64">
        <v>29883510.183700129</v>
      </c>
    </row>
    <row r="7383" spans="1:2" x14ac:dyDescent="0.25">
      <c r="A7383" s="65">
        <v>7382</v>
      </c>
      <c r="B7383" s="64">
        <v>28623894.559167065</v>
      </c>
    </row>
    <row r="7384" spans="1:2" x14ac:dyDescent="0.25">
      <c r="A7384" s="65">
        <v>7383</v>
      </c>
      <c r="B7384" s="64">
        <v>31906277.169692881</v>
      </c>
    </row>
    <row r="7385" spans="1:2" x14ac:dyDescent="0.25">
      <c r="A7385" s="65">
        <v>7384</v>
      </c>
      <c r="B7385" s="64">
        <v>30019124.249090701</v>
      </c>
    </row>
    <row r="7386" spans="1:2" x14ac:dyDescent="0.25">
      <c r="A7386" s="65">
        <v>7385</v>
      </c>
      <c r="B7386" s="64">
        <v>29189204.645615369</v>
      </c>
    </row>
    <row r="7387" spans="1:2" x14ac:dyDescent="0.25">
      <c r="A7387" s="65">
        <v>7386</v>
      </c>
      <c r="B7387" s="64">
        <v>29548870.43365385</v>
      </c>
    </row>
    <row r="7388" spans="1:2" x14ac:dyDescent="0.25">
      <c r="A7388" s="65">
        <v>7387</v>
      </c>
      <c r="B7388" s="64">
        <v>29099653.585113123</v>
      </c>
    </row>
    <row r="7389" spans="1:2" x14ac:dyDescent="0.25">
      <c r="A7389" s="65">
        <v>7388</v>
      </c>
      <c r="B7389" s="64">
        <v>28486995.246028922</v>
      </c>
    </row>
    <row r="7390" spans="1:2" x14ac:dyDescent="0.25">
      <c r="A7390" s="65">
        <v>7389</v>
      </c>
      <c r="B7390" s="64">
        <v>28470624.115721285</v>
      </c>
    </row>
    <row r="7391" spans="1:2" x14ac:dyDescent="0.25">
      <c r="A7391" s="65">
        <v>7390</v>
      </c>
      <c r="B7391" s="64">
        <v>28702306.818687305</v>
      </c>
    </row>
    <row r="7392" spans="1:2" x14ac:dyDescent="0.25">
      <c r="A7392" s="65">
        <v>7391</v>
      </c>
      <c r="B7392" s="64">
        <v>28887460.627416674</v>
      </c>
    </row>
    <row r="7393" spans="1:2" x14ac:dyDescent="0.25">
      <c r="A7393" s="65">
        <v>7392</v>
      </c>
      <c r="B7393" s="64">
        <v>29075656.814870596</v>
      </c>
    </row>
    <row r="7394" spans="1:2" x14ac:dyDescent="0.25">
      <c r="A7394" s="65">
        <v>7393</v>
      </c>
      <c r="B7394" s="64">
        <v>32385236.335081864</v>
      </c>
    </row>
    <row r="7395" spans="1:2" x14ac:dyDescent="0.25">
      <c r="A7395" s="65">
        <v>7394</v>
      </c>
      <c r="B7395" s="64">
        <v>28931795.852268882</v>
      </c>
    </row>
    <row r="7396" spans="1:2" x14ac:dyDescent="0.25">
      <c r="A7396" s="65">
        <v>7395</v>
      </c>
      <c r="B7396" s="64">
        <v>29785254.600849714</v>
      </c>
    </row>
    <row r="7397" spans="1:2" x14ac:dyDescent="0.25">
      <c r="A7397" s="65">
        <v>7396</v>
      </c>
      <c r="B7397" s="64">
        <v>31228736.670796636</v>
      </c>
    </row>
    <row r="7398" spans="1:2" x14ac:dyDescent="0.25">
      <c r="A7398" s="65">
        <v>7397</v>
      </c>
      <c r="B7398" s="64">
        <v>28439684.600920785</v>
      </c>
    </row>
    <row r="7399" spans="1:2" x14ac:dyDescent="0.25">
      <c r="A7399" s="65">
        <v>7398</v>
      </c>
      <c r="B7399" s="64">
        <v>29224468.324333724</v>
      </c>
    </row>
    <row r="7400" spans="1:2" x14ac:dyDescent="0.25">
      <c r="A7400" s="65">
        <v>7399</v>
      </c>
      <c r="B7400" s="64">
        <v>28579538.044272773</v>
      </c>
    </row>
    <row r="7401" spans="1:2" x14ac:dyDescent="0.25">
      <c r="A7401" s="65">
        <v>7400</v>
      </c>
      <c r="B7401" s="64">
        <v>28787253.604217593</v>
      </c>
    </row>
    <row r="7402" spans="1:2" x14ac:dyDescent="0.25">
      <c r="A7402" s="65">
        <v>7401</v>
      </c>
      <c r="B7402" s="64">
        <v>30319929.462297764</v>
      </c>
    </row>
    <row r="7403" spans="1:2" x14ac:dyDescent="0.25">
      <c r="A7403" s="65">
        <v>7402</v>
      </c>
      <c r="B7403" s="64">
        <v>29309541.277596876</v>
      </c>
    </row>
    <row r="7404" spans="1:2" x14ac:dyDescent="0.25">
      <c r="A7404" s="65">
        <v>7403</v>
      </c>
      <c r="B7404" s="64">
        <v>28913663.075256955</v>
      </c>
    </row>
    <row r="7405" spans="1:2" x14ac:dyDescent="0.25">
      <c r="A7405" s="65">
        <v>7404</v>
      </c>
      <c r="B7405" s="64">
        <v>28673276.914015345</v>
      </c>
    </row>
    <row r="7406" spans="1:2" x14ac:dyDescent="0.25">
      <c r="A7406" s="65">
        <v>7405</v>
      </c>
      <c r="B7406" s="64">
        <v>29116484.69565561</v>
      </c>
    </row>
    <row r="7407" spans="1:2" x14ac:dyDescent="0.25">
      <c r="A7407" s="65">
        <v>7406</v>
      </c>
      <c r="B7407" s="64">
        <v>29421404.942992017</v>
      </c>
    </row>
    <row r="7408" spans="1:2" x14ac:dyDescent="0.25">
      <c r="A7408" s="65">
        <v>7407</v>
      </c>
      <c r="B7408" s="64">
        <v>28555729.823279023</v>
      </c>
    </row>
    <row r="7409" spans="1:2" x14ac:dyDescent="0.25">
      <c r="A7409" s="65">
        <v>7408</v>
      </c>
      <c r="B7409" s="64">
        <v>29089238.189312305</v>
      </c>
    </row>
    <row r="7410" spans="1:2" x14ac:dyDescent="0.25">
      <c r="A7410" s="65">
        <v>7409</v>
      </c>
      <c r="B7410" s="64">
        <v>32658010.926099412</v>
      </c>
    </row>
    <row r="7411" spans="1:2" x14ac:dyDescent="0.25">
      <c r="A7411" s="65">
        <v>7410</v>
      </c>
      <c r="B7411" s="64">
        <v>28598880.423264291</v>
      </c>
    </row>
    <row r="7412" spans="1:2" x14ac:dyDescent="0.25">
      <c r="A7412" s="65">
        <v>7411</v>
      </c>
      <c r="B7412" s="64">
        <v>29730660.409731112</v>
      </c>
    </row>
    <row r="7413" spans="1:2" x14ac:dyDescent="0.25">
      <c r="A7413" s="65">
        <v>7412</v>
      </c>
      <c r="B7413" s="64">
        <v>29343047.671269309</v>
      </c>
    </row>
    <row r="7414" spans="1:2" x14ac:dyDescent="0.25">
      <c r="A7414" s="65">
        <v>7413</v>
      </c>
      <c r="B7414" s="64">
        <v>29067090.358482335</v>
      </c>
    </row>
    <row r="7415" spans="1:2" x14ac:dyDescent="0.25">
      <c r="A7415" s="65">
        <v>7414</v>
      </c>
      <c r="B7415" s="64">
        <v>29279569.522207778</v>
      </c>
    </row>
    <row r="7416" spans="1:2" x14ac:dyDescent="0.25">
      <c r="A7416" s="65">
        <v>7415</v>
      </c>
      <c r="B7416" s="64">
        <v>29780210.811531629</v>
      </c>
    </row>
    <row r="7417" spans="1:2" x14ac:dyDescent="0.25">
      <c r="A7417" s="65">
        <v>7416</v>
      </c>
      <c r="B7417" s="64">
        <v>29399983.265069053</v>
      </c>
    </row>
    <row r="7418" spans="1:2" x14ac:dyDescent="0.25">
      <c r="A7418" s="65">
        <v>7417</v>
      </c>
      <c r="B7418" s="64">
        <v>28486832.692854416</v>
      </c>
    </row>
    <row r="7419" spans="1:2" x14ac:dyDescent="0.25">
      <c r="A7419" s="65">
        <v>7418</v>
      </c>
      <c r="B7419" s="64">
        <v>30150863.536869176</v>
      </c>
    </row>
    <row r="7420" spans="1:2" x14ac:dyDescent="0.25">
      <c r="A7420" s="65">
        <v>7419</v>
      </c>
      <c r="B7420" s="64">
        <v>28706009.394572042</v>
      </c>
    </row>
    <row r="7421" spans="1:2" x14ac:dyDescent="0.25">
      <c r="A7421" s="65">
        <v>7420</v>
      </c>
      <c r="B7421" s="64">
        <v>28992445.931421068</v>
      </c>
    </row>
    <row r="7422" spans="1:2" x14ac:dyDescent="0.25">
      <c r="A7422" s="65">
        <v>7421</v>
      </c>
      <c r="B7422" s="64">
        <v>28807102.295890488</v>
      </c>
    </row>
    <row r="7423" spans="1:2" x14ac:dyDescent="0.25">
      <c r="A7423" s="65">
        <v>7422</v>
      </c>
      <c r="B7423" s="64">
        <v>29562260.328971792</v>
      </c>
    </row>
    <row r="7424" spans="1:2" x14ac:dyDescent="0.25">
      <c r="A7424" s="65">
        <v>7423</v>
      </c>
      <c r="B7424" s="64">
        <v>28914632.231345713</v>
      </c>
    </row>
    <row r="7425" spans="1:2" x14ac:dyDescent="0.25">
      <c r="A7425" s="65">
        <v>7424</v>
      </c>
      <c r="B7425" s="64">
        <v>29055161.681905929</v>
      </c>
    </row>
    <row r="7426" spans="1:2" x14ac:dyDescent="0.25">
      <c r="A7426" s="65">
        <v>7425</v>
      </c>
      <c r="B7426" s="64">
        <v>29189762.115027446</v>
      </c>
    </row>
    <row r="7427" spans="1:2" x14ac:dyDescent="0.25">
      <c r="A7427" s="65">
        <v>7426</v>
      </c>
      <c r="B7427" s="64">
        <v>28700113.918883052</v>
      </c>
    </row>
    <row r="7428" spans="1:2" x14ac:dyDescent="0.25">
      <c r="A7428" s="65">
        <v>7427</v>
      </c>
      <c r="B7428" s="64">
        <v>28988877.773578689</v>
      </c>
    </row>
    <row r="7429" spans="1:2" x14ac:dyDescent="0.25">
      <c r="A7429" s="65">
        <v>7428</v>
      </c>
      <c r="B7429" s="64">
        <v>28733388.265274826</v>
      </c>
    </row>
    <row r="7430" spans="1:2" x14ac:dyDescent="0.25">
      <c r="A7430" s="65">
        <v>7429</v>
      </c>
      <c r="B7430" s="64">
        <v>29167001.582558598</v>
      </c>
    </row>
    <row r="7431" spans="1:2" x14ac:dyDescent="0.25">
      <c r="A7431" s="65">
        <v>7430</v>
      </c>
      <c r="B7431" s="64">
        <v>29435444.682017758</v>
      </c>
    </row>
    <row r="7432" spans="1:2" x14ac:dyDescent="0.25">
      <c r="A7432" s="65">
        <v>7431</v>
      </c>
      <c r="B7432" s="64">
        <v>28708760.710956831</v>
      </c>
    </row>
    <row r="7433" spans="1:2" x14ac:dyDescent="0.25">
      <c r="A7433" s="65">
        <v>7432</v>
      </c>
      <c r="B7433" s="64">
        <v>30145545.973365072</v>
      </c>
    </row>
    <row r="7434" spans="1:2" x14ac:dyDescent="0.25">
      <c r="A7434" s="65">
        <v>7433</v>
      </c>
      <c r="B7434" s="64">
        <v>30025760.286521833</v>
      </c>
    </row>
    <row r="7435" spans="1:2" x14ac:dyDescent="0.25">
      <c r="A7435" s="65">
        <v>7434</v>
      </c>
      <c r="B7435" s="64">
        <v>28979472.885579191</v>
      </c>
    </row>
    <row r="7436" spans="1:2" x14ac:dyDescent="0.25">
      <c r="A7436" s="65">
        <v>7435</v>
      </c>
      <c r="B7436" s="64">
        <v>31044779.021040805</v>
      </c>
    </row>
    <row r="7437" spans="1:2" x14ac:dyDescent="0.25">
      <c r="A7437" s="65">
        <v>7436</v>
      </c>
      <c r="B7437" s="64">
        <v>28462760.836253978</v>
      </c>
    </row>
    <row r="7438" spans="1:2" x14ac:dyDescent="0.25">
      <c r="A7438" s="65">
        <v>7437</v>
      </c>
      <c r="B7438" s="64">
        <v>31122796.292226732</v>
      </c>
    </row>
    <row r="7439" spans="1:2" x14ac:dyDescent="0.25">
      <c r="A7439" s="65">
        <v>7438</v>
      </c>
      <c r="B7439" s="64">
        <v>29266347.422065679</v>
      </c>
    </row>
    <row r="7440" spans="1:2" x14ac:dyDescent="0.25">
      <c r="A7440" s="65">
        <v>7439</v>
      </c>
      <c r="B7440" s="64">
        <v>29810618.609937891</v>
      </c>
    </row>
    <row r="7441" spans="1:2" x14ac:dyDescent="0.25">
      <c r="A7441" s="65">
        <v>7440</v>
      </c>
      <c r="B7441" s="64">
        <v>28787370.744012535</v>
      </c>
    </row>
    <row r="7442" spans="1:2" x14ac:dyDescent="0.25">
      <c r="A7442" s="65">
        <v>7441</v>
      </c>
      <c r="B7442" s="64">
        <v>28893962.102203846</v>
      </c>
    </row>
    <row r="7443" spans="1:2" x14ac:dyDescent="0.25">
      <c r="A7443" s="65">
        <v>7442</v>
      </c>
      <c r="B7443" s="64">
        <v>29209889.425161436</v>
      </c>
    </row>
    <row r="7444" spans="1:2" x14ac:dyDescent="0.25">
      <c r="A7444" s="65">
        <v>7443</v>
      </c>
      <c r="B7444" s="64">
        <v>29528901.596972838</v>
      </c>
    </row>
    <row r="7445" spans="1:2" x14ac:dyDescent="0.25">
      <c r="A7445" s="65">
        <v>7444</v>
      </c>
      <c r="B7445" s="64">
        <v>29151735.353523761</v>
      </c>
    </row>
    <row r="7446" spans="1:2" x14ac:dyDescent="0.25">
      <c r="A7446" s="65">
        <v>7445</v>
      </c>
      <c r="B7446" s="64">
        <v>29050009.056603521</v>
      </c>
    </row>
    <row r="7447" spans="1:2" x14ac:dyDescent="0.25">
      <c r="A7447" s="65">
        <v>7446</v>
      </c>
      <c r="B7447" s="64">
        <v>28629513.579286724</v>
      </c>
    </row>
    <row r="7448" spans="1:2" x14ac:dyDescent="0.25">
      <c r="A7448" s="65">
        <v>7447</v>
      </c>
      <c r="B7448" s="64">
        <v>29086864.620665975</v>
      </c>
    </row>
    <row r="7449" spans="1:2" x14ac:dyDescent="0.25">
      <c r="A7449" s="65">
        <v>7448</v>
      </c>
      <c r="B7449" s="64">
        <v>28854089.21459946</v>
      </c>
    </row>
    <row r="7450" spans="1:2" x14ac:dyDescent="0.25">
      <c r="A7450" s="65">
        <v>7449</v>
      </c>
      <c r="B7450" s="64">
        <v>29493728.519733924</v>
      </c>
    </row>
    <row r="7451" spans="1:2" x14ac:dyDescent="0.25">
      <c r="A7451" s="65">
        <v>7450</v>
      </c>
      <c r="B7451" s="64">
        <v>28989735.55020329</v>
      </c>
    </row>
    <row r="7452" spans="1:2" x14ac:dyDescent="0.25">
      <c r="A7452" s="65">
        <v>7451</v>
      </c>
      <c r="B7452" s="64">
        <v>29834634.338318985</v>
      </c>
    </row>
    <row r="7453" spans="1:2" x14ac:dyDescent="0.25">
      <c r="A7453" s="65">
        <v>7452</v>
      </c>
      <c r="B7453" s="64">
        <v>28649224.583361521</v>
      </c>
    </row>
    <row r="7454" spans="1:2" x14ac:dyDescent="0.25">
      <c r="A7454" s="65">
        <v>7453</v>
      </c>
      <c r="B7454" s="64">
        <v>28676405.334632825</v>
      </c>
    </row>
    <row r="7455" spans="1:2" x14ac:dyDescent="0.25">
      <c r="A7455" s="65">
        <v>7454</v>
      </c>
      <c r="B7455" s="64">
        <v>28605749.913578618</v>
      </c>
    </row>
    <row r="7456" spans="1:2" x14ac:dyDescent="0.25">
      <c r="A7456" s="65">
        <v>7455</v>
      </c>
      <c r="B7456" s="64">
        <v>30428667.443424694</v>
      </c>
    </row>
    <row r="7457" spans="1:2" x14ac:dyDescent="0.25">
      <c r="A7457" s="65">
        <v>7456</v>
      </c>
      <c r="B7457" s="64">
        <v>28881095.645916115</v>
      </c>
    </row>
    <row r="7458" spans="1:2" x14ac:dyDescent="0.25">
      <c r="A7458" s="65">
        <v>7457</v>
      </c>
      <c r="B7458" s="64">
        <v>28667183.452834345</v>
      </c>
    </row>
    <row r="7459" spans="1:2" x14ac:dyDescent="0.25">
      <c r="A7459" s="65">
        <v>7458</v>
      </c>
      <c r="B7459" s="64">
        <v>28811293.559641387</v>
      </c>
    </row>
    <row r="7460" spans="1:2" x14ac:dyDescent="0.25">
      <c r="A7460" s="65">
        <v>7459</v>
      </c>
      <c r="B7460" s="64">
        <v>29137496.984726612</v>
      </c>
    </row>
    <row r="7461" spans="1:2" x14ac:dyDescent="0.25">
      <c r="A7461" s="65">
        <v>7460</v>
      </c>
      <c r="B7461" s="64">
        <v>29308331.528651934</v>
      </c>
    </row>
    <row r="7462" spans="1:2" x14ac:dyDescent="0.25">
      <c r="A7462" s="65">
        <v>7461</v>
      </c>
      <c r="B7462" s="64">
        <v>29446429.395057231</v>
      </c>
    </row>
    <row r="7463" spans="1:2" x14ac:dyDescent="0.25">
      <c r="A7463" s="65">
        <v>7462</v>
      </c>
      <c r="B7463" s="64">
        <v>29178249.997988597</v>
      </c>
    </row>
    <row r="7464" spans="1:2" x14ac:dyDescent="0.25">
      <c r="A7464" s="65">
        <v>7463</v>
      </c>
      <c r="B7464" s="64">
        <v>29084588.548207965</v>
      </c>
    </row>
    <row r="7465" spans="1:2" x14ac:dyDescent="0.25">
      <c r="A7465" s="65">
        <v>7464</v>
      </c>
      <c r="B7465" s="64">
        <v>28851285.180664796</v>
      </c>
    </row>
    <row r="7466" spans="1:2" x14ac:dyDescent="0.25">
      <c r="A7466" s="65">
        <v>7465</v>
      </c>
      <c r="B7466" s="64">
        <v>28962288.174524155</v>
      </c>
    </row>
    <row r="7467" spans="1:2" x14ac:dyDescent="0.25">
      <c r="A7467" s="65">
        <v>7466</v>
      </c>
      <c r="B7467" s="64">
        <v>29429497.208292183</v>
      </c>
    </row>
    <row r="7468" spans="1:2" x14ac:dyDescent="0.25">
      <c r="A7468" s="65">
        <v>7467</v>
      </c>
      <c r="B7468" s="64">
        <v>29379998.149494629</v>
      </c>
    </row>
    <row r="7469" spans="1:2" x14ac:dyDescent="0.25">
      <c r="A7469" s="65">
        <v>7468</v>
      </c>
      <c r="B7469" s="64">
        <v>29359403.006406106</v>
      </c>
    </row>
    <row r="7470" spans="1:2" x14ac:dyDescent="0.25">
      <c r="A7470" s="65">
        <v>7469</v>
      </c>
      <c r="B7470" s="64">
        <v>28797354.894853782</v>
      </c>
    </row>
    <row r="7471" spans="1:2" x14ac:dyDescent="0.25">
      <c r="A7471" s="65">
        <v>7470</v>
      </c>
      <c r="B7471" s="64">
        <v>29133840.324374747</v>
      </c>
    </row>
    <row r="7472" spans="1:2" x14ac:dyDescent="0.25">
      <c r="A7472" s="65">
        <v>7471</v>
      </c>
      <c r="B7472" s="64">
        <v>29617336.677624747</v>
      </c>
    </row>
    <row r="7473" spans="1:2" x14ac:dyDescent="0.25">
      <c r="A7473" s="65">
        <v>7472</v>
      </c>
      <c r="B7473" s="64">
        <v>28750868.020122688</v>
      </c>
    </row>
    <row r="7474" spans="1:2" x14ac:dyDescent="0.25">
      <c r="A7474" s="65">
        <v>7473</v>
      </c>
      <c r="B7474" s="64">
        <v>29039717.993853349</v>
      </c>
    </row>
    <row r="7475" spans="1:2" x14ac:dyDescent="0.25">
      <c r="A7475" s="65">
        <v>7474</v>
      </c>
      <c r="B7475" s="64">
        <v>28608374.060143292</v>
      </c>
    </row>
    <row r="7476" spans="1:2" x14ac:dyDescent="0.25">
      <c r="A7476" s="65">
        <v>7475</v>
      </c>
      <c r="B7476" s="64">
        <v>29635786.794561286</v>
      </c>
    </row>
    <row r="7477" spans="1:2" x14ac:dyDescent="0.25">
      <c r="A7477" s="65">
        <v>7476</v>
      </c>
      <c r="B7477" s="64">
        <v>29281166.274218805</v>
      </c>
    </row>
    <row r="7478" spans="1:2" x14ac:dyDescent="0.25">
      <c r="A7478" s="65">
        <v>7477</v>
      </c>
      <c r="B7478" s="64">
        <v>29914614.313049313</v>
      </c>
    </row>
    <row r="7479" spans="1:2" x14ac:dyDescent="0.25">
      <c r="A7479" s="65">
        <v>7478</v>
      </c>
      <c r="B7479" s="64">
        <v>29991687.233875498</v>
      </c>
    </row>
    <row r="7480" spans="1:2" x14ac:dyDescent="0.25">
      <c r="A7480" s="65">
        <v>7479</v>
      </c>
      <c r="B7480" s="64">
        <v>29408812.606137339</v>
      </c>
    </row>
    <row r="7481" spans="1:2" x14ac:dyDescent="0.25">
      <c r="A7481" s="65">
        <v>7480</v>
      </c>
      <c r="B7481" s="64">
        <v>29380331.654482801</v>
      </c>
    </row>
    <row r="7482" spans="1:2" x14ac:dyDescent="0.25">
      <c r="A7482" s="65">
        <v>7481</v>
      </c>
      <c r="B7482" s="64">
        <v>30217879.832275227</v>
      </c>
    </row>
    <row r="7483" spans="1:2" x14ac:dyDescent="0.25">
      <c r="A7483" s="65">
        <v>7482</v>
      </c>
      <c r="B7483" s="64">
        <v>29205175.099562116</v>
      </c>
    </row>
    <row r="7484" spans="1:2" x14ac:dyDescent="0.25">
      <c r="A7484" s="65">
        <v>7483</v>
      </c>
      <c r="B7484" s="64">
        <v>29168219.385175094</v>
      </c>
    </row>
    <row r="7485" spans="1:2" x14ac:dyDescent="0.25">
      <c r="A7485" s="65">
        <v>7484</v>
      </c>
      <c r="B7485" s="64">
        <v>29482952.05008946</v>
      </c>
    </row>
    <row r="7486" spans="1:2" x14ac:dyDescent="0.25">
      <c r="A7486" s="65">
        <v>7485</v>
      </c>
      <c r="B7486" s="64">
        <v>30355536.805008356</v>
      </c>
    </row>
    <row r="7487" spans="1:2" x14ac:dyDescent="0.25">
      <c r="A7487" s="65">
        <v>7486</v>
      </c>
      <c r="B7487" s="64">
        <v>28387560.116034068</v>
      </c>
    </row>
    <row r="7488" spans="1:2" x14ac:dyDescent="0.25">
      <c r="A7488" s="65">
        <v>7487</v>
      </c>
      <c r="B7488" s="64">
        <v>29930258.974712286</v>
      </c>
    </row>
    <row r="7489" spans="1:2" x14ac:dyDescent="0.25">
      <c r="A7489" s="65">
        <v>7488</v>
      </c>
      <c r="B7489" s="64">
        <v>29017402.547249142</v>
      </c>
    </row>
    <row r="7490" spans="1:2" x14ac:dyDescent="0.25">
      <c r="A7490" s="65">
        <v>7489</v>
      </c>
      <c r="B7490" s="64">
        <v>29254422.642118011</v>
      </c>
    </row>
    <row r="7491" spans="1:2" x14ac:dyDescent="0.25">
      <c r="A7491" s="65">
        <v>7490</v>
      </c>
      <c r="B7491" s="64">
        <v>29886031.201263148</v>
      </c>
    </row>
    <row r="7492" spans="1:2" x14ac:dyDescent="0.25">
      <c r="A7492" s="65">
        <v>7491</v>
      </c>
      <c r="B7492" s="64">
        <v>28757246.671661645</v>
      </c>
    </row>
    <row r="7493" spans="1:2" x14ac:dyDescent="0.25">
      <c r="A7493" s="65">
        <v>7492</v>
      </c>
      <c r="B7493" s="64">
        <v>29332344.503831077</v>
      </c>
    </row>
    <row r="7494" spans="1:2" x14ac:dyDescent="0.25">
      <c r="A7494" s="65">
        <v>7493</v>
      </c>
      <c r="B7494" s="64">
        <v>29960611.212056812</v>
      </c>
    </row>
    <row r="7495" spans="1:2" x14ac:dyDescent="0.25">
      <c r="A7495" s="65">
        <v>7494</v>
      </c>
      <c r="B7495" s="64">
        <v>28922922.515355676</v>
      </c>
    </row>
    <row r="7496" spans="1:2" x14ac:dyDescent="0.25">
      <c r="A7496" s="65">
        <v>7495</v>
      </c>
      <c r="B7496" s="64">
        <v>28612209.283484675</v>
      </c>
    </row>
    <row r="7497" spans="1:2" x14ac:dyDescent="0.25">
      <c r="A7497" s="65">
        <v>7496</v>
      </c>
      <c r="B7497" s="64">
        <v>32855377.402892571</v>
      </c>
    </row>
    <row r="7498" spans="1:2" x14ac:dyDescent="0.25">
      <c r="A7498" s="65">
        <v>7497</v>
      </c>
      <c r="B7498" s="64">
        <v>28763179.046675447</v>
      </c>
    </row>
    <row r="7499" spans="1:2" x14ac:dyDescent="0.25">
      <c r="A7499" s="65">
        <v>7498</v>
      </c>
      <c r="B7499" s="64">
        <v>28901629.429936599</v>
      </c>
    </row>
    <row r="7500" spans="1:2" x14ac:dyDescent="0.25">
      <c r="A7500" s="65">
        <v>7499</v>
      </c>
      <c r="B7500" s="64">
        <v>29068741.870897502</v>
      </c>
    </row>
    <row r="7501" spans="1:2" x14ac:dyDescent="0.25">
      <c r="A7501" s="65">
        <v>7500</v>
      </c>
      <c r="B7501" s="64">
        <v>28824041.636778995</v>
      </c>
    </row>
    <row r="7502" spans="1:2" x14ac:dyDescent="0.25">
      <c r="A7502" s="65">
        <v>7501</v>
      </c>
      <c r="B7502" s="64">
        <v>28992028.574965019</v>
      </c>
    </row>
    <row r="7503" spans="1:2" x14ac:dyDescent="0.25">
      <c r="A7503" s="65">
        <v>7502</v>
      </c>
      <c r="B7503" s="64">
        <v>28855108.745384425</v>
      </c>
    </row>
    <row r="7504" spans="1:2" x14ac:dyDescent="0.25">
      <c r="A7504" s="65">
        <v>7503</v>
      </c>
      <c r="B7504" s="64">
        <v>28903518.782816481</v>
      </c>
    </row>
    <row r="7505" spans="1:2" x14ac:dyDescent="0.25">
      <c r="A7505" s="65">
        <v>7504</v>
      </c>
      <c r="B7505" s="64">
        <v>29354835.783983573</v>
      </c>
    </row>
    <row r="7506" spans="1:2" x14ac:dyDescent="0.25">
      <c r="A7506" s="65">
        <v>7505</v>
      </c>
      <c r="B7506" s="64">
        <v>29252235.084549557</v>
      </c>
    </row>
    <row r="7507" spans="1:2" x14ac:dyDescent="0.25">
      <c r="A7507" s="65">
        <v>7506</v>
      </c>
      <c r="B7507" s="64">
        <v>29992870.542000055</v>
      </c>
    </row>
    <row r="7508" spans="1:2" x14ac:dyDescent="0.25">
      <c r="A7508" s="65">
        <v>7507</v>
      </c>
      <c r="B7508" s="64">
        <v>29018977.97276675</v>
      </c>
    </row>
    <row r="7509" spans="1:2" x14ac:dyDescent="0.25">
      <c r="A7509" s="65">
        <v>7508</v>
      </c>
      <c r="B7509" s="64">
        <v>30254366.824267264</v>
      </c>
    </row>
    <row r="7510" spans="1:2" x14ac:dyDescent="0.25">
      <c r="A7510" s="65">
        <v>7509</v>
      </c>
      <c r="B7510" s="64">
        <v>28344278.137118153</v>
      </c>
    </row>
    <row r="7511" spans="1:2" x14ac:dyDescent="0.25">
      <c r="A7511" s="65">
        <v>7510</v>
      </c>
      <c r="B7511" s="64">
        <v>28387052.051868092</v>
      </c>
    </row>
    <row r="7512" spans="1:2" x14ac:dyDescent="0.25">
      <c r="A7512" s="65">
        <v>7511</v>
      </c>
      <c r="B7512" s="64">
        <v>29356226.357721116</v>
      </c>
    </row>
    <row r="7513" spans="1:2" x14ac:dyDescent="0.25">
      <c r="A7513" s="65">
        <v>7512</v>
      </c>
      <c r="B7513" s="64">
        <v>29368607.245647572</v>
      </c>
    </row>
    <row r="7514" spans="1:2" x14ac:dyDescent="0.25">
      <c r="A7514" s="65">
        <v>7513</v>
      </c>
      <c r="B7514" s="64">
        <v>28867171.557222258</v>
      </c>
    </row>
    <row r="7515" spans="1:2" x14ac:dyDescent="0.25">
      <c r="A7515" s="65">
        <v>7514</v>
      </c>
      <c r="B7515" s="64">
        <v>29454582.645040885</v>
      </c>
    </row>
    <row r="7516" spans="1:2" x14ac:dyDescent="0.25">
      <c r="A7516" s="65">
        <v>7515</v>
      </c>
      <c r="B7516" s="64">
        <v>29149671.545604568</v>
      </c>
    </row>
    <row r="7517" spans="1:2" x14ac:dyDescent="0.25">
      <c r="A7517" s="65">
        <v>7516</v>
      </c>
      <c r="B7517" s="64">
        <v>29019837.229354464</v>
      </c>
    </row>
    <row r="7518" spans="1:2" x14ac:dyDescent="0.25">
      <c r="A7518" s="65">
        <v>7517</v>
      </c>
      <c r="B7518" s="64">
        <v>29284114.617524568</v>
      </c>
    </row>
    <row r="7519" spans="1:2" x14ac:dyDescent="0.25">
      <c r="A7519" s="65">
        <v>7518</v>
      </c>
      <c r="B7519" s="64">
        <v>29103866.316811871</v>
      </c>
    </row>
    <row r="7520" spans="1:2" x14ac:dyDescent="0.25">
      <c r="A7520" s="65">
        <v>7519</v>
      </c>
      <c r="B7520" s="64">
        <v>28582124.011115387</v>
      </c>
    </row>
    <row r="7521" spans="1:2" x14ac:dyDescent="0.25">
      <c r="A7521" s="65">
        <v>7520</v>
      </c>
      <c r="B7521" s="64">
        <v>28870449.270857316</v>
      </c>
    </row>
    <row r="7522" spans="1:2" x14ac:dyDescent="0.25">
      <c r="A7522" s="65">
        <v>7521</v>
      </c>
      <c r="B7522" s="64">
        <v>29746612.277520396</v>
      </c>
    </row>
    <row r="7523" spans="1:2" x14ac:dyDescent="0.25">
      <c r="A7523" s="65">
        <v>7522</v>
      </c>
      <c r="B7523" s="64">
        <v>29866463.226518217</v>
      </c>
    </row>
    <row r="7524" spans="1:2" x14ac:dyDescent="0.25">
      <c r="A7524" s="65">
        <v>7523</v>
      </c>
      <c r="B7524" s="64">
        <v>29187170.536898844</v>
      </c>
    </row>
    <row r="7525" spans="1:2" x14ac:dyDescent="0.25">
      <c r="A7525" s="65">
        <v>7524</v>
      </c>
      <c r="B7525" s="64">
        <v>28748085.912196651</v>
      </c>
    </row>
    <row r="7526" spans="1:2" x14ac:dyDescent="0.25">
      <c r="A7526" s="65">
        <v>7525</v>
      </c>
      <c r="B7526" s="64">
        <v>29605222.104250163</v>
      </c>
    </row>
    <row r="7527" spans="1:2" x14ac:dyDescent="0.25">
      <c r="A7527" s="65">
        <v>7526</v>
      </c>
      <c r="B7527" s="64">
        <v>29169460.776674535</v>
      </c>
    </row>
    <row r="7528" spans="1:2" x14ac:dyDescent="0.25">
      <c r="A7528" s="65">
        <v>7527</v>
      </c>
      <c r="B7528" s="64">
        <v>29218255.17903487</v>
      </c>
    </row>
    <row r="7529" spans="1:2" x14ac:dyDescent="0.25">
      <c r="A7529" s="65">
        <v>7528</v>
      </c>
      <c r="B7529" s="64">
        <v>28637342.511200875</v>
      </c>
    </row>
    <row r="7530" spans="1:2" x14ac:dyDescent="0.25">
      <c r="A7530" s="65">
        <v>7529</v>
      </c>
      <c r="B7530" s="64">
        <v>29420997.889499102</v>
      </c>
    </row>
    <row r="7531" spans="1:2" x14ac:dyDescent="0.25">
      <c r="A7531" s="65">
        <v>7530</v>
      </c>
      <c r="B7531" s="64">
        <v>28795079.794634975</v>
      </c>
    </row>
    <row r="7532" spans="1:2" x14ac:dyDescent="0.25">
      <c r="A7532" s="65">
        <v>7531</v>
      </c>
      <c r="B7532" s="64">
        <v>29150190.817899209</v>
      </c>
    </row>
    <row r="7533" spans="1:2" x14ac:dyDescent="0.25">
      <c r="A7533" s="65">
        <v>7532</v>
      </c>
      <c r="B7533" s="64">
        <v>28870872.230358489</v>
      </c>
    </row>
    <row r="7534" spans="1:2" x14ac:dyDescent="0.25">
      <c r="A7534" s="65">
        <v>7533</v>
      </c>
      <c r="B7534" s="64">
        <v>29826884.503215317</v>
      </c>
    </row>
    <row r="7535" spans="1:2" x14ac:dyDescent="0.25">
      <c r="A7535" s="65">
        <v>7534</v>
      </c>
      <c r="B7535" s="64">
        <v>29525062.709153712</v>
      </c>
    </row>
    <row r="7536" spans="1:2" x14ac:dyDescent="0.25">
      <c r="A7536" s="65">
        <v>7535</v>
      </c>
      <c r="B7536" s="64">
        <v>29275735.650291491</v>
      </c>
    </row>
    <row r="7537" spans="1:2" x14ac:dyDescent="0.25">
      <c r="A7537" s="65">
        <v>7536</v>
      </c>
      <c r="B7537" s="64">
        <v>28712341.851995464</v>
      </c>
    </row>
    <row r="7538" spans="1:2" x14ac:dyDescent="0.25">
      <c r="A7538" s="65">
        <v>7537</v>
      </c>
      <c r="B7538" s="64">
        <v>29038972.167279739</v>
      </c>
    </row>
    <row r="7539" spans="1:2" x14ac:dyDescent="0.25">
      <c r="A7539" s="65">
        <v>7538</v>
      </c>
      <c r="B7539" s="64">
        <v>30533336.521647297</v>
      </c>
    </row>
    <row r="7540" spans="1:2" x14ac:dyDescent="0.25">
      <c r="A7540" s="65">
        <v>7539</v>
      </c>
      <c r="B7540" s="64">
        <v>28693291.181268141</v>
      </c>
    </row>
    <row r="7541" spans="1:2" x14ac:dyDescent="0.25">
      <c r="A7541" s="65">
        <v>7540</v>
      </c>
      <c r="B7541" s="64">
        <v>28808202.937018324</v>
      </c>
    </row>
    <row r="7542" spans="1:2" x14ac:dyDescent="0.25">
      <c r="A7542" s="65">
        <v>7541</v>
      </c>
      <c r="B7542" s="64">
        <v>29049272.404632676</v>
      </c>
    </row>
    <row r="7543" spans="1:2" x14ac:dyDescent="0.25">
      <c r="A7543" s="65">
        <v>7542</v>
      </c>
      <c r="B7543" s="64">
        <v>29223039.545360405</v>
      </c>
    </row>
    <row r="7544" spans="1:2" x14ac:dyDescent="0.25">
      <c r="A7544" s="65">
        <v>7543</v>
      </c>
      <c r="B7544" s="64">
        <v>28882031.70945397</v>
      </c>
    </row>
    <row r="7545" spans="1:2" x14ac:dyDescent="0.25">
      <c r="A7545" s="65">
        <v>7544</v>
      </c>
      <c r="B7545" s="64">
        <v>28616009.872241639</v>
      </c>
    </row>
    <row r="7546" spans="1:2" x14ac:dyDescent="0.25">
      <c r="A7546" s="65">
        <v>7545</v>
      </c>
      <c r="B7546" s="64">
        <v>28782265.063364342</v>
      </c>
    </row>
    <row r="7547" spans="1:2" x14ac:dyDescent="0.25">
      <c r="A7547" s="65">
        <v>7546</v>
      </c>
      <c r="B7547" s="64">
        <v>28716613.560413476</v>
      </c>
    </row>
    <row r="7548" spans="1:2" x14ac:dyDescent="0.25">
      <c r="A7548" s="65">
        <v>7547</v>
      </c>
      <c r="B7548" s="64">
        <v>28352074.523739744</v>
      </c>
    </row>
    <row r="7549" spans="1:2" x14ac:dyDescent="0.25">
      <c r="A7549" s="65">
        <v>7548</v>
      </c>
      <c r="B7549" s="64">
        <v>29963221.079825778</v>
      </c>
    </row>
    <row r="7550" spans="1:2" x14ac:dyDescent="0.25">
      <c r="A7550" s="65">
        <v>7549</v>
      </c>
      <c r="B7550" s="64">
        <v>28818656.927514717</v>
      </c>
    </row>
    <row r="7551" spans="1:2" x14ac:dyDescent="0.25">
      <c r="A7551" s="65">
        <v>7550</v>
      </c>
      <c r="B7551" s="64">
        <v>30115032.164655764</v>
      </c>
    </row>
    <row r="7552" spans="1:2" x14ac:dyDescent="0.25">
      <c r="A7552" s="65">
        <v>7551</v>
      </c>
      <c r="B7552" s="64">
        <v>28980007.380098224</v>
      </c>
    </row>
    <row r="7553" spans="1:2" x14ac:dyDescent="0.25">
      <c r="A7553" s="65">
        <v>7552</v>
      </c>
      <c r="B7553" s="64">
        <v>28878168.29696361</v>
      </c>
    </row>
    <row r="7554" spans="1:2" x14ac:dyDescent="0.25">
      <c r="A7554" s="65">
        <v>7553</v>
      </c>
      <c r="B7554" s="64">
        <v>30400186.216638315</v>
      </c>
    </row>
    <row r="7555" spans="1:2" x14ac:dyDescent="0.25">
      <c r="A7555" s="65">
        <v>7554</v>
      </c>
      <c r="B7555" s="64">
        <v>29390468.504505832</v>
      </c>
    </row>
    <row r="7556" spans="1:2" x14ac:dyDescent="0.25">
      <c r="A7556" s="65">
        <v>7555</v>
      </c>
      <c r="B7556" s="64">
        <v>29021264.765865996</v>
      </c>
    </row>
    <row r="7557" spans="1:2" x14ac:dyDescent="0.25">
      <c r="A7557" s="65">
        <v>7556</v>
      </c>
      <c r="B7557" s="64">
        <v>29106359.071363878</v>
      </c>
    </row>
    <row r="7558" spans="1:2" x14ac:dyDescent="0.25">
      <c r="A7558" s="65">
        <v>7557</v>
      </c>
      <c r="B7558" s="64">
        <v>30346868.964190163</v>
      </c>
    </row>
    <row r="7559" spans="1:2" x14ac:dyDescent="0.25">
      <c r="A7559" s="65">
        <v>7558</v>
      </c>
      <c r="B7559" s="64">
        <v>28489205.435677815</v>
      </c>
    </row>
    <row r="7560" spans="1:2" x14ac:dyDescent="0.25">
      <c r="A7560" s="65">
        <v>7559</v>
      </c>
      <c r="B7560" s="64">
        <v>29974225.643216044</v>
      </c>
    </row>
    <row r="7561" spans="1:2" x14ac:dyDescent="0.25">
      <c r="A7561" s="65">
        <v>7560</v>
      </c>
      <c r="B7561" s="64">
        <v>29554186.378407437</v>
      </c>
    </row>
    <row r="7562" spans="1:2" x14ac:dyDescent="0.25">
      <c r="A7562" s="65">
        <v>7561</v>
      </c>
      <c r="B7562" s="64">
        <v>30413835.831915554</v>
      </c>
    </row>
    <row r="7563" spans="1:2" x14ac:dyDescent="0.25">
      <c r="A7563" s="65">
        <v>7562</v>
      </c>
      <c r="B7563" s="64">
        <v>28574827.472942095</v>
      </c>
    </row>
    <row r="7564" spans="1:2" x14ac:dyDescent="0.25">
      <c r="A7564" s="65">
        <v>7563</v>
      </c>
      <c r="B7564" s="64">
        <v>29019391.312259689</v>
      </c>
    </row>
    <row r="7565" spans="1:2" x14ac:dyDescent="0.25">
      <c r="A7565" s="65">
        <v>7564</v>
      </c>
      <c r="B7565" s="64">
        <v>28715086.355486661</v>
      </c>
    </row>
    <row r="7566" spans="1:2" x14ac:dyDescent="0.25">
      <c r="A7566" s="65">
        <v>7565</v>
      </c>
      <c r="B7566" s="64">
        <v>30666524.994162675</v>
      </c>
    </row>
    <row r="7567" spans="1:2" x14ac:dyDescent="0.25">
      <c r="A7567" s="65">
        <v>7566</v>
      </c>
      <c r="B7567" s="64">
        <v>29279204.610850871</v>
      </c>
    </row>
    <row r="7568" spans="1:2" x14ac:dyDescent="0.25">
      <c r="A7568" s="65">
        <v>7567</v>
      </c>
      <c r="B7568" s="64">
        <v>33081198.298926227</v>
      </c>
    </row>
    <row r="7569" spans="1:2" x14ac:dyDescent="0.25">
      <c r="A7569" s="65">
        <v>7568</v>
      </c>
      <c r="B7569" s="64">
        <v>28585107.038909931</v>
      </c>
    </row>
    <row r="7570" spans="1:2" x14ac:dyDescent="0.25">
      <c r="A7570" s="65">
        <v>7569</v>
      </c>
      <c r="B7570" s="64">
        <v>29454927.426868945</v>
      </c>
    </row>
    <row r="7571" spans="1:2" x14ac:dyDescent="0.25">
      <c r="A7571" s="65">
        <v>7570</v>
      </c>
      <c r="B7571" s="64">
        <v>29228462.251861505</v>
      </c>
    </row>
    <row r="7572" spans="1:2" x14ac:dyDescent="0.25">
      <c r="A7572" s="65">
        <v>7571</v>
      </c>
      <c r="B7572" s="64">
        <v>28325666.591274343</v>
      </c>
    </row>
    <row r="7573" spans="1:2" x14ac:dyDescent="0.25">
      <c r="A7573" s="65">
        <v>7572</v>
      </c>
      <c r="B7573" s="64">
        <v>30130235.429884862</v>
      </c>
    </row>
    <row r="7574" spans="1:2" x14ac:dyDescent="0.25">
      <c r="A7574" s="65">
        <v>7573</v>
      </c>
      <c r="B7574" s="64">
        <v>28552581.110244706</v>
      </c>
    </row>
    <row r="7575" spans="1:2" x14ac:dyDescent="0.25">
      <c r="A7575" s="65">
        <v>7574</v>
      </c>
      <c r="B7575" s="64">
        <v>29562106.745833918</v>
      </c>
    </row>
    <row r="7576" spans="1:2" x14ac:dyDescent="0.25">
      <c r="A7576" s="65">
        <v>7575</v>
      </c>
      <c r="B7576" s="64">
        <v>28605085.838194676</v>
      </c>
    </row>
    <row r="7577" spans="1:2" x14ac:dyDescent="0.25">
      <c r="A7577" s="65">
        <v>7576</v>
      </c>
      <c r="B7577" s="64">
        <v>28892835.165808726</v>
      </c>
    </row>
    <row r="7578" spans="1:2" x14ac:dyDescent="0.25">
      <c r="A7578" s="65">
        <v>7577</v>
      </c>
      <c r="B7578" s="64">
        <v>29568395.609786242</v>
      </c>
    </row>
    <row r="7579" spans="1:2" x14ac:dyDescent="0.25">
      <c r="A7579" s="65">
        <v>7578</v>
      </c>
      <c r="B7579" s="64">
        <v>28439410.370993078</v>
      </c>
    </row>
    <row r="7580" spans="1:2" x14ac:dyDescent="0.25">
      <c r="A7580" s="65">
        <v>7579</v>
      </c>
      <c r="B7580" s="64">
        <v>29329936.932715826</v>
      </c>
    </row>
    <row r="7581" spans="1:2" x14ac:dyDescent="0.25">
      <c r="A7581" s="65">
        <v>7580</v>
      </c>
      <c r="B7581" s="64">
        <v>28577071.814360395</v>
      </c>
    </row>
    <row r="7582" spans="1:2" x14ac:dyDescent="0.25">
      <c r="A7582" s="65">
        <v>7581</v>
      </c>
      <c r="B7582" s="64">
        <v>29036212.256706357</v>
      </c>
    </row>
    <row r="7583" spans="1:2" x14ac:dyDescent="0.25">
      <c r="A7583" s="65">
        <v>7582</v>
      </c>
      <c r="B7583" s="64">
        <v>28778571.457682181</v>
      </c>
    </row>
    <row r="7584" spans="1:2" x14ac:dyDescent="0.25">
      <c r="A7584" s="65">
        <v>7583</v>
      </c>
      <c r="B7584" s="64">
        <v>30041605.16012346</v>
      </c>
    </row>
    <row r="7585" spans="1:2" x14ac:dyDescent="0.25">
      <c r="A7585" s="65">
        <v>7584</v>
      </c>
      <c r="B7585" s="64">
        <v>28994735.683947966</v>
      </c>
    </row>
    <row r="7586" spans="1:2" x14ac:dyDescent="0.25">
      <c r="A7586" s="65">
        <v>7585</v>
      </c>
      <c r="B7586" s="64">
        <v>29113628.451926809</v>
      </c>
    </row>
    <row r="7587" spans="1:2" x14ac:dyDescent="0.25">
      <c r="A7587" s="65">
        <v>7586</v>
      </c>
      <c r="B7587" s="64">
        <v>29991533.066981621</v>
      </c>
    </row>
    <row r="7588" spans="1:2" x14ac:dyDescent="0.25">
      <c r="A7588" s="65">
        <v>7587</v>
      </c>
      <c r="B7588" s="64">
        <v>29454771.761198495</v>
      </c>
    </row>
    <row r="7589" spans="1:2" x14ac:dyDescent="0.25">
      <c r="A7589" s="65">
        <v>7588</v>
      </c>
      <c r="B7589" s="64">
        <v>28817390.648194108</v>
      </c>
    </row>
    <row r="7590" spans="1:2" x14ac:dyDescent="0.25">
      <c r="A7590" s="65">
        <v>7589</v>
      </c>
      <c r="B7590" s="64">
        <v>30238597.966719739</v>
      </c>
    </row>
    <row r="7591" spans="1:2" x14ac:dyDescent="0.25">
      <c r="A7591" s="65">
        <v>7590</v>
      </c>
      <c r="B7591" s="64">
        <v>28873316.946415566</v>
      </c>
    </row>
    <row r="7592" spans="1:2" x14ac:dyDescent="0.25">
      <c r="A7592" s="65">
        <v>7591</v>
      </c>
      <c r="B7592" s="64">
        <v>29865380.207773026</v>
      </c>
    </row>
    <row r="7593" spans="1:2" x14ac:dyDescent="0.25">
      <c r="A7593" s="65">
        <v>7592</v>
      </c>
      <c r="B7593" s="64">
        <v>29966574.27992028</v>
      </c>
    </row>
    <row r="7594" spans="1:2" x14ac:dyDescent="0.25">
      <c r="A7594" s="65">
        <v>7593</v>
      </c>
      <c r="B7594" s="64">
        <v>29049371.716933943</v>
      </c>
    </row>
    <row r="7595" spans="1:2" x14ac:dyDescent="0.25">
      <c r="A7595" s="65">
        <v>7594</v>
      </c>
      <c r="B7595" s="64">
        <v>29045007.887713086</v>
      </c>
    </row>
    <row r="7596" spans="1:2" x14ac:dyDescent="0.25">
      <c r="A7596" s="65">
        <v>7595</v>
      </c>
      <c r="B7596" s="64">
        <v>29314895.162916537</v>
      </c>
    </row>
    <row r="7597" spans="1:2" x14ac:dyDescent="0.25">
      <c r="A7597" s="65">
        <v>7596</v>
      </c>
      <c r="B7597" s="64">
        <v>28819500.545378421</v>
      </c>
    </row>
    <row r="7598" spans="1:2" x14ac:dyDescent="0.25">
      <c r="A7598" s="65">
        <v>7597</v>
      </c>
      <c r="B7598" s="64">
        <v>31381901.884736136</v>
      </c>
    </row>
    <row r="7599" spans="1:2" x14ac:dyDescent="0.25">
      <c r="A7599" s="65">
        <v>7598</v>
      </c>
      <c r="B7599" s="64">
        <v>29808033.678516857</v>
      </c>
    </row>
    <row r="7600" spans="1:2" x14ac:dyDescent="0.25">
      <c r="A7600" s="65">
        <v>7599</v>
      </c>
      <c r="B7600" s="64">
        <v>28621743.138794105</v>
      </c>
    </row>
    <row r="7601" spans="1:2" x14ac:dyDescent="0.25">
      <c r="A7601" s="65">
        <v>7600</v>
      </c>
      <c r="B7601" s="64">
        <v>29394733.143418308</v>
      </c>
    </row>
    <row r="7602" spans="1:2" x14ac:dyDescent="0.25">
      <c r="A7602" s="65">
        <v>7601</v>
      </c>
      <c r="B7602" s="64">
        <v>28917445.230341244</v>
      </c>
    </row>
    <row r="7603" spans="1:2" x14ac:dyDescent="0.25">
      <c r="A7603" s="65">
        <v>7602</v>
      </c>
      <c r="B7603" s="64">
        <v>29578295.17563495</v>
      </c>
    </row>
    <row r="7604" spans="1:2" x14ac:dyDescent="0.25">
      <c r="A7604" s="65">
        <v>7603</v>
      </c>
      <c r="B7604" s="64">
        <v>29035265.075850904</v>
      </c>
    </row>
    <row r="7605" spans="1:2" x14ac:dyDescent="0.25">
      <c r="A7605" s="65">
        <v>7604</v>
      </c>
      <c r="B7605" s="64">
        <v>29190391.862536732</v>
      </c>
    </row>
    <row r="7606" spans="1:2" x14ac:dyDescent="0.25">
      <c r="A7606" s="65">
        <v>7605</v>
      </c>
      <c r="B7606" s="64">
        <v>28572330.493879762</v>
      </c>
    </row>
    <row r="7607" spans="1:2" x14ac:dyDescent="0.25">
      <c r="A7607" s="65">
        <v>7606</v>
      </c>
      <c r="B7607" s="64">
        <v>29202555.790014297</v>
      </c>
    </row>
    <row r="7608" spans="1:2" x14ac:dyDescent="0.25">
      <c r="A7608" s="65">
        <v>7607</v>
      </c>
      <c r="B7608" s="64">
        <v>28968981.034368891</v>
      </c>
    </row>
    <row r="7609" spans="1:2" x14ac:dyDescent="0.25">
      <c r="A7609" s="65">
        <v>7608</v>
      </c>
      <c r="B7609" s="64">
        <v>29991287.39844811</v>
      </c>
    </row>
    <row r="7610" spans="1:2" x14ac:dyDescent="0.25">
      <c r="A7610" s="65">
        <v>7609</v>
      </c>
      <c r="B7610" s="64">
        <v>28571181.690653887</v>
      </c>
    </row>
    <row r="7611" spans="1:2" x14ac:dyDescent="0.25">
      <c r="A7611" s="65">
        <v>7610</v>
      </c>
      <c r="B7611" s="64">
        <v>29871083.838437773</v>
      </c>
    </row>
    <row r="7612" spans="1:2" x14ac:dyDescent="0.25">
      <c r="A7612" s="65">
        <v>7611</v>
      </c>
      <c r="B7612" s="64">
        <v>29519196.539059356</v>
      </c>
    </row>
    <row r="7613" spans="1:2" x14ac:dyDescent="0.25">
      <c r="A7613" s="65">
        <v>7612</v>
      </c>
      <c r="B7613" s="64">
        <v>29451891.617667776</v>
      </c>
    </row>
    <row r="7614" spans="1:2" x14ac:dyDescent="0.25">
      <c r="A7614" s="65">
        <v>7613</v>
      </c>
      <c r="B7614" s="64">
        <v>29155789.840669531</v>
      </c>
    </row>
    <row r="7615" spans="1:2" x14ac:dyDescent="0.25">
      <c r="A7615" s="65">
        <v>7614</v>
      </c>
      <c r="B7615" s="64">
        <v>28279836.394580252</v>
      </c>
    </row>
    <row r="7616" spans="1:2" x14ac:dyDescent="0.25">
      <c r="A7616" s="65">
        <v>7615</v>
      </c>
      <c r="B7616" s="64">
        <v>29157511.404929865</v>
      </c>
    </row>
    <row r="7617" spans="1:2" x14ac:dyDescent="0.25">
      <c r="A7617" s="65">
        <v>7616</v>
      </c>
      <c r="B7617" s="64">
        <v>29353869.497805309</v>
      </c>
    </row>
    <row r="7618" spans="1:2" x14ac:dyDescent="0.25">
      <c r="A7618" s="65">
        <v>7617</v>
      </c>
      <c r="B7618" s="64">
        <v>29213507.117832597</v>
      </c>
    </row>
    <row r="7619" spans="1:2" x14ac:dyDescent="0.25">
      <c r="A7619" s="65">
        <v>7618</v>
      </c>
      <c r="B7619" s="64">
        <v>29600924.55593434</v>
      </c>
    </row>
    <row r="7620" spans="1:2" x14ac:dyDescent="0.25">
      <c r="A7620" s="65">
        <v>7619</v>
      </c>
      <c r="B7620" s="64">
        <v>29169003.774037186</v>
      </c>
    </row>
    <row r="7621" spans="1:2" x14ac:dyDescent="0.25">
      <c r="A7621" s="65">
        <v>7620</v>
      </c>
      <c r="B7621" s="64">
        <v>33459675.221129492</v>
      </c>
    </row>
    <row r="7622" spans="1:2" x14ac:dyDescent="0.25">
      <c r="A7622" s="65">
        <v>7621</v>
      </c>
      <c r="B7622" s="64">
        <v>30293911.137604944</v>
      </c>
    </row>
    <row r="7623" spans="1:2" x14ac:dyDescent="0.25">
      <c r="A7623" s="65">
        <v>7622</v>
      </c>
      <c r="B7623" s="64">
        <v>28825544.392119884</v>
      </c>
    </row>
    <row r="7624" spans="1:2" x14ac:dyDescent="0.25">
      <c r="A7624" s="65">
        <v>7623</v>
      </c>
      <c r="B7624" s="64">
        <v>30069769.97668368</v>
      </c>
    </row>
    <row r="7625" spans="1:2" x14ac:dyDescent="0.25">
      <c r="A7625" s="65">
        <v>7624</v>
      </c>
      <c r="B7625" s="64">
        <v>30265858.210823122</v>
      </c>
    </row>
    <row r="7626" spans="1:2" x14ac:dyDescent="0.25">
      <c r="A7626" s="65">
        <v>7625</v>
      </c>
      <c r="B7626" s="64">
        <v>29446551.812015932</v>
      </c>
    </row>
    <row r="7627" spans="1:2" x14ac:dyDescent="0.25">
      <c r="A7627" s="65">
        <v>7626</v>
      </c>
      <c r="B7627" s="64">
        <v>30119936.672775909</v>
      </c>
    </row>
    <row r="7628" spans="1:2" x14ac:dyDescent="0.25">
      <c r="A7628" s="65">
        <v>7627</v>
      </c>
      <c r="B7628" s="64">
        <v>30162138.759291124</v>
      </c>
    </row>
    <row r="7629" spans="1:2" x14ac:dyDescent="0.25">
      <c r="A7629" s="65">
        <v>7628</v>
      </c>
      <c r="B7629" s="64">
        <v>28517537.452808544</v>
      </c>
    </row>
    <row r="7630" spans="1:2" x14ac:dyDescent="0.25">
      <c r="A7630" s="65">
        <v>7629</v>
      </c>
      <c r="B7630" s="64">
        <v>28594492.775293659</v>
      </c>
    </row>
    <row r="7631" spans="1:2" x14ac:dyDescent="0.25">
      <c r="A7631" s="65">
        <v>7630</v>
      </c>
      <c r="B7631" s="64">
        <v>28963366.785865434</v>
      </c>
    </row>
    <row r="7632" spans="1:2" x14ac:dyDescent="0.25">
      <c r="A7632" s="65">
        <v>7631</v>
      </c>
      <c r="B7632" s="64">
        <v>29131582.045322973</v>
      </c>
    </row>
    <row r="7633" spans="1:2" x14ac:dyDescent="0.25">
      <c r="A7633" s="65">
        <v>7632</v>
      </c>
      <c r="B7633" s="64">
        <v>30267612.764224391</v>
      </c>
    </row>
    <row r="7634" spans="1:2" x14ac:dyDescent="0.25">
      <c r="A7634" s="65">
        <v>7633</v>
      </c>
      <c r="B7634" s="64">
        <v>28744490.415851377</v>
      </c>
    </row>
    <row r="7635" spans="1:2" x14ac:dyDescent="0.25">
      <c r="A7635" s="65">
        <v>7634</v>
      </c>
      <c r="B7635" s="64">
        <v>28963933.273982406</v>
      </c>
    </row>
    <row r="7636" spans="1:2" x14ac:dyDescent="0.25">
      <c r="A7636" s="65">
        <v>7635</v>
      </c>
      <c r="B7636" s="64">
        <v>30117552.892228588</v>
      </c>
    </row>
    <row r="7637" spans="1:2" x14ac:dyDescent="0.25">
      <c r="A7637" s="65">
        <v>7636</v>
      </c>
      <c r="B7637" s="64">
        <v>29206590.141513474</v>
      </c>
    </row>
    <row r="7638" spans="1:2" x14ac:dyDescent="0.25">
      <c r="A7638" s="65">
        <v>7637</v>
      </c>
      <c r="B7638" s="64">
        <v>28709377.846169289</v>
      </c>
    </row>
    <row r="7639" spans="1:2" x14ac:dyDescent="0.25">
      <c r="A7639" s="65">
        <v>7638</v>
      </c>
      <c r="B7639" s="64">
        <v>29083378.307526879</v>
      </c>
    </row>
    <row r="7640" spans="1:2" x14ac:dyDescent="0.25">
      <c r="A7640" s="65">
        <v>7639</v>
      </c>
      <c r="B7640" s="64">
        <v>29725971.104806021</v>
      </c>
    </row>
    <row r="7641" spans="1:2" x14ac:dyDescent="0.25">
      <c r="A7641" s="65">
        <v>7640</v>
      </c>
      <c r="B7641" s="64">
        <v>30405496.848846804</v>
      </c>
    </row>
    <row r="7642" spans="1:2" x14ac:dyDescent="0.25">
      <c r="A7642" s="65">
        <v>7641</v>
      </c>
      <c r="B7642" s="64">
        <v>29292985.727700356</v>
      </c>
    </row>
    <row r="7643" spans="1:2" x14ac:dyDescent="0.25">
      <c r="A7643" s="65">
        <v>7642</v>
      </c>
      <c r="B7643" s="64">
        <v>28717598.026267741</v>
      </c>
    </row>
    <row r="7644" spans="1:2" x14ac:dyDescent="0.25">
      <c r="A7644" s="65">
        <v>7643</v>
      </c>
      <c r="B7644" s="64">
        <v>29010588.282993224</v>
      </c>
    </row>
    <row r="7645" spans="1:2" x14ac:dyDescent="0.25">
      <c r="A7645" s="65">
        <v>7644</v>
      </c>
      <c r="B7645" s="64">
        <v>28765879.292029511</v>
      </c>
    </row>
    <row r="7646" spans="1:2" x14ac:dyDescent="0.25">
      <c r="A7646" s="65">
        <v>7645</v>
      </c>
      <c r="B7646" s="64">
        <v>29807567.731251173</v>
      </c>
    </row>
    <row r="7647" spans="1:2" x14ac:dyDescent="0.25">
      <c r="A7647" s="65">
        <v>7646</v>
      </c>
      <c r="B7647" s="64">
        <v>29742758.766556945</v>
      </c>
    </row>
    <row r="7648" spans="1:2" x14ac:dyDescent="0.25">
      <c r="A7648" s="65">
        <v>7647</v>
      </c>
      <c r="B7648" s="64">
        <v>30304882.644522212</v>
      </c>
    </row>
    <row r="7649" spans="1:2" x14ac:dyDescent="0.25">
      <c r="A7649" s="65">
        <v>7648</v>
      </c>
      <c r="B7649" s="64">
        <v>31629861.845937505</v>
      </c>
    </row>
    <row r="7650" spans="1:2" x14ac:dyDescent="0.25">
      <c r="A7650" s="65">
        <v>7649</v>
      </c>
      <c r="B7650" s="64">
        <v>28744097.132855084</v>
      </c>
    </row>
    <row r="7651" spans="1:2" x14ac:dyDescent="0.25">
      <c r="A7651" s="65">
        <v>7650</v>
      </c>
      <c r="B7651" s="64">
        <v>30153597.805172931</v>
      </c>
    </row>
    <row r="7652" spans="1:2" x14ac:dyDescent="0.25">
      <c r="A7652" s="65">
        <v>7651</v>
      </c>
      <c r="B7652" s="64">
        <v>29968386.274234831</v>
      </c>
    </row>
    <row r="7653" spans="1:2" x14ac:dyDescent="0.25">
      <c r="A7653" s="65">
        <v>7652</v>
      </c>
      <c r="B7653" s="64">
        <v>28619845.075207498</v>
      </c>
    </row>
    <row r="7654" spans="1:2" x14ac:dyDescent="0.25">
      <c r="A7654" s="65">
        <v>7653</v>
      </c>
      <c r="B7654" s="64">
        <v>29254046.721001178</v>
      </c>
    </row>
    <row r="7655" spans="1:2" x14ac:dyDescent="0.25">
      <c r="A7655" s="65">
        <v>7654</v>
      </c>
      <c r="B7655" s="64">
        <v>28656628.367695808</v>
      </c>
    </row>
    <row r="7656" spans="1:2" x14ac:dyDescent="0.25">
      <c r="A7656" s="65">
        <v>7655</v>
      </c>
      <c r="B7656" s="64">
        <v>30238354.518157199</v>
      </c>
    </row>
    <row r="7657" spans="1:2" x14ac:dyDescent="0.25">
      <c r="A7657" s="65">
        <v>7656</v>
      </c>
      <c r="B7657" s="64">
        <v>28928499.561952684</v>
      </c>
    </row>
    <row r="7658" spans="1:2" x14ac:dyDescent="0.25">
      <c r="A7658" s="65">
        <v>7657</v>
      </c>
      <c r="B7658" s="64">
        <v>29722216.353884421</v>
      </c>
    </row>
    <row r="7659" spans="1:2" x14ac:dyDescent="0.25">
      <c r="A7659" s="65">
        <v>7658</v>
      </c>
      <c r="B7659" s="64">
        <v>29277262.376733884</v>
      </c>
    </row>
    <row r="7660" spans="1:2" x14ac:dyDescent="0.25">
      <c r="A7660" s="65">
        <v>7659</v>
      </c>
      <c r="B7660" s="64">
        <v>29439632.932781961</v>
      </c>
    </row>
    <row r="7661" spans="1:2" x14ac:dyDescent="0.25">
      <c r="A7661" s="65">
        <v>7660</v>
      </c>
      <c r="B7661" s="64">
        <v>30412607.164414421</v>
      </c>
    </row>
    <row r="7662" spans="1:2" x14ac:dyDescent="0.25">
      <c r="A7662" s="65">
        <v>7661</v>
      </c>
      <c r="B7662" s="64">
        <v>29344652.160674762</v>
      </c>
    </row>
    <row r="7663" spans="1:2" x14ac:dyDescent="0.25">
      <c r="A7663" s="65">
        <v>7662</v>
      </c>
      <c r="B7663" s="64">
        <v>28600402.541136734</v>
      </c>
    </row>
    <row r="7664" spans="1:2" x14ac:dyDescent="0.25">
      <c r="A7664" s="65">
        <v>7663</v>
      </c>
      <c r="B7664" s="64">
        <v>33490541.144536283</v>
      </c>
    </row>
    <row r="7665" spans="1:2" x14ac:dyDescent="0.25">
      <c r="A7665" s="65">
        <v>7664</v>
      </c>
      <c r="B7665" s="64">
        <v>28716558.565511789</v>
      </c>
    </row>
    <row r="7666" spans="1:2" x14ac:dyDescent="0.25">
      <c r="A7666" s="65">
        <v>7665</v>
      </c>
      <c r="B7666" s="64">
        <v>29313872.778788809</v>
      </c>
    </row>
    <row r="7667" spans="1:2" x14ac:dyDescent="0.25">
      <c r="A7667" s="65">
        <v>7666</v>
      </c>
      <c r="B7667" s="64">
        <v>28844978.260617051</v>
      </c>
    </row>
    <row r="7668" spans="1:2" x14ac:dyDescent="0.25">
      <c r="A7668" s="65">
        <v>7667</v>
      </c>
      <c r="B7668" s="64">
        <v>29008809.328006096</v>
      </c>
    </row>
    <row r="7669" spans="1:2" x14ac:dyDescent="0.25">
      <c r="A7669" s="65">
        <v>7668</v>
      </c>
      <c r="B7669" s="64">
        <v>28760447.850279883</v>
      </c>
    </row>
    <row r="7670" spans="1:2" x14ac:dyDescent="0.25">
      <c r="A7670" s="65">
        <v>7669</v>
      </c>
      <c r="B7670" s="64">
        <v>28732152.000430565</v>
      </c>
    </row>
    <row r="7671" spans="1:2" x14ac:dyDescent="0.25">
      <c r="A7671" s="65">
        <v>7670</v>
      </c>
      <c r="B7671" s="64">
        <v>30259308.128116746</v>
      </c>
    </row>
    <row r="7672" spans="1:2" x14ac:dyDescent="0.25">
      <c r="A7672" s="65">
        <v>7671</v>
      </c>
      <c r="B7672" s="64">
        <v>29481768.834366459</v>
      </c>
    </row>
    <row r="7673" spans="1:2" x14ac:dyDescent="0.25">
      <c r="A7673" s="65">
        <v>7672</v>
      </c>
      <c r="B7673" s="64">
        <v>28748617.798497353</v>
      </c>
    </row>
    <row r="7674" spans="1:2" x14ac:dyDescent="0.25">
      <c r="A7674" s="65">
        <v>7673</v>
      </c>
      <c r="B7674" s="64">
        <v>29207765.342719838</v>
      </c>
    </row>
    <row r="7675" spans="1:2" x14ac:dyDescent="0.25">
      <c r="A7675" s="65">
        <v>7674</v>
      </c>
      <c r="B7675" s="64">
        <v>28282869.390726388</v>
      </c>
    </row>
    <row r="7676" spans="1:2" x14ac:dyDescent="0.25">
      <c r="A7676" s="65">
        <v>7675</v>
      </c>
      <c r="B7676" s="64">
        <v>29865867.727307659</v>
      </c>
    </row>
    <row r="7677" spans="1:2" x14ac:dyDescent="0.25">
      <c r="A7677" s="65">
        <v>7676</v>
      </c>
      <c r="B7677" s="64">
        <v>28420745.276284549</v>
      </c>
    </row>
    <row r="7678" spans="1:2" x14ac:dyDescent="0.25">
      <c r="A7678" s="65">
        <v>7677</v>
      </c>
      <c r="B7678" s="64">
        <v>29903153.931528077</v>
      </c>
    </row>
    <row r="7679" spans="1:2" x14ac:dyDescent="0.25">
      <c r="A7679" s="65">
        <v>7678</v>
      </c>
      <c r="B7679" s="64">
        <v>29975054.191913057</v>
      </c>
    </row>
    <row r="7680" spans="1:2" x14ac:dyDescent="0.25">
      <c r="A7680" s="65">
        <v>7679</v>
      </c>
      <c r="B7680" s="64">
        <v>30309263.159194697</v>
      </c>
    </row>
    <row r="7681" spans="1:2" x14ac:dyDescent="0.25">
      <c r="A7681" s="65">
        <v>7680</v>
      </c>
      <c r="B7681" s="64">
        <v>29188769.648054291</v>
      </c>
    </row>
    <row r="7682" spans="1:2" x14ac:dyDescent="0.25">
      <c r="A7682" s="65">
        <v>7681</v>
      </c>
      <c r="B7682" s="64">
        <v>28686057.012341518</v>
      </c>
    </row>
    <row r="7683" spans="1:2" x14ac:dyDescent="0.25">
      <c r="A7683" s="65">
        <v>7682</v>
      </c>
      <c r="B7683" s="64">
        <v>29855716.979666166</v>
      </c>
    </row>
    <row r="7684" spans="1:2" x14ac:dyDescent="0.25">
      <c r="A7684" s="65">
        <v>7683</v>
      </c>
      <c r="B7684" s="64">
        <v>29159135.472780723</v>
      </c>
    </row>
    <row r="7685" spans="1:2" x14ac:dyDescent="0.25">
      <c r="A7685" s="65">
        <v>7684</v>
      </c>
      <c r="B7685" s="64">
        <v>29124256.5268838</v>
      </c>
    </row>
    <row r="7686" spans="1:2" x14ac:dyDescent="0.25">
      <c r="A7686" s="65">
        <v>7685</v>
      </c>
      <c r="B7686" s="64">
        <v>29932787.866655972</v>
      </c>
    </row>
    <row r="7687" spans="1:2" x14ac:dyDescent="0.25">
      <c r="A7687" s="65">
        <v>7686</v>
      </c>
      <c r="B7687" s="64">
        <v>29480280.035391133</v>
      </c>
    </row>
    <row r="7688" spans="1:2" x14ac:dyDescent="0.25">
      <c r="A7688" s="65">
        <v>7687</v>
      </c>
      <c r="B7688" s="64">
        <v>28495555.996264488</v>
      </c>
    </row>
    <row r="7689" spans="1:2" x14ac:dyDescent="0.25">
      <c r="A7689" s="65">
        <v>7688</v>
      </c>
      <c r="B7689" s="64">
        <v>29309576.587403037</v>
      </c>
    </row>
    <row r="7690" spans="1:2" x14ac:dyDescent="0.25">
      <c r="A7690" s="65">
        <v>7689</v>
      </c>
      <c r="B7690" s="64">
        <v>29105672.088820577</v>
      </c>
    </row>
    <row r="7691" spans="1:2" x14ac:dyDescent="0.25">
      <c r="A7691" s="65">
        <v>7690</v>
      </c>
      <c r="B7691" s="64">
        <v>29711644.96600876</v>
      </c>
    </row>
    <row r="7692" spans="1:2" x14ac:dyDescent="0.25">
      <c r="A7692" s="65">
        <v>7691</v>
      </c>
      <c r="B7692" s="64">
        <v>28705288.311188754</v>
      </c>
    </row>
    <row r="7693" spans="1:2" x14ac:dyDescent="0.25">
      <c r="A7693" s="65">
        <v>7692</v>
      </c>
      <c r="B7693" s="64">
        <v>28927492.195653677</v>
      </c>
    </row>
    <row r="7694" spans="1:2" x14ac:dyDescent="0.25">
      <c r="A7694" s="65">
        <v>7693</v>
      </c>
      <c r="B7694" s="64">
        <v>29782242.192178551</v>
      </c>
    </row>
    <row r="7695" spans="1:2" x14ac:dyDescent="0.25">
      <c r="A7695" s="65">
        <v>7694</v>
      </c>
      <c r="B7695" s="64">
        <v>29658011.457980275</v>
      </c>
    </row>
    <row r="7696" spans="1:2" x14ac:dyDescent="0.25">
      <c r="A7696" s="65">
        <v>7695</v>
      </c>
      <c r="B7696" s="64">
        <v>29120100.134515058</v>
      </c>
    </row>
    <row r="7697" spans="1:2" x14ac:dyDescent="0.25">
      <c r="A7697" s="65">
        <v>7696</v>
      </c>
      <c r="B7697" s="64">
        <v>28957202.694823533</v>
      </c>
    </row>
    <row r="7698" spans="1:2" x14ac:dyDescent="0.25">
      <c r="A7698" s="65">
        <v>7697</v>
      </c>
      <c r="B7698" s="64">
        <v>29595807.69785339</v>
      </c>
    </row>
    <row r="7699" spans="1:2" x14ac:dyDescent="0.25">
      <c r="A7699" s="65">
        <v>7698</v>
      </c>
      <c r="B7699" s="64">
        <v>28725814.275338743</v>
      </c>
    </row>
    <row r="7700" spans="1:2" x14ac:dyDescent="0.25">
      <c r="A7700" s="65">
        <v>7699</v>
      </c>
      <c r="B7700" s="64">
        <v>29137109.102599833</v>
      </c>
    </row>
    <row r="7701" spans="1:2" x14ac:dyDescent="0.25">
      <c r="A7701" s="65">
        <v>7700</v>
      </c>
      <c r="B7701" s="64">
        <v>28542743.765839465</v>
      </c>
    </row>
    <row r="7702" spans="1:2" x14ac:dyDescent="0.25">
      <c r="A7702" s="65">
        <v>7701</v>
      </c>
      <c r="B7702" s="64">
        <v>29275628.039383709</v>
      </c>
    </row>
    <row r="7703" spans="1:2" x14ac:dyDescent="0.25">
      <c r="A7703" s="65">
        <v>7702</v>
      </c>
      <c r="B7703" s="64">
        <v>29074588.432005189</v>
      </c>
    </row>
    <row r="7704" spans="1:2" x14ac:dyDescent="0.25">
      <c r="A7704" s="65">
        <v>7703</v>
      </c>
      <c r="B7704" s="64">
        <v>29092094.124692515</v>
      </c>
    </row>
    <row r="7705" spans="1:2" x14ac:dyDescent="0.25">
      <c r="A7705" s="65">
        <v>7704</v>
      </c>
      <c r="B7705" s="64">
        <v>28546795.50662088</v>
      </c>
    </row>
    <row r="7706" spans="1:2" x14ac:dyDescent="0.25">
      <c r="A7706" s="65">
        <v>7705</v>
      </c>
      <c r="B7706" s="64">
        <v>29300490.306594033</v>
      </c>
    </row>
    <row r="7707" spans="1:2" x14ac:dyDescent="0.25">
      <c r="A7707" s="65">
        <v>7706</v>
      </c>
      <c r="B7707" s="64">
        <v>30166414.753229059</v>
      </c>
    </row>
    <row r="7708" spans="1:2" x14ac:dyDescent="0.25">
      <c r="A7708" s="65">
        <v>7707</v>
      </c>
      <c r="B7708" s="64">
        <v>29067742.685053505</v>
      </c>
    </row>
    <row r="7709" spans="1:2" x14ac:dyDescent="0.25">
      <c r="A7709" s="65">
        <v>7708</v>
      </c>
      <c r="B7709" s="64">
        <v>29478491.58757728</v>
      </c>
    </row>
    <row r="7710" spans="1:2" x14ac:dyDescent="0.25">
      <c r="A7710" s="65">
        <v>7709</v>
      </c>
      <c r="B7710" s="64">
        <v>29895779.539251179</v>
      </c>
    </row>
    <row r="7711" spans="1:2" x14ac:dyDescent="0.25">
      <c r="A7711" s="65">
        <v>7710</v>
      </c>
      <c r="B7711" s="64">
        <v>28708804.50642626</v>
      </c>
    </row>
    <row r="7712" spans="1:2" x14ac:dyDescent="0.25">
      <c r="A7712" s="65">
        <v>7711</v>
      </c>
      <c r="B7712" s="64">
        <v>30036871.310151659</v>
      </c>
    </row>
    <row r="7713" spans="1:2" x14ac:dyDescent="0.25">
      <c r="A7713" s="65">
        <v>7712</v>
      </c>
      <c r="B7713" s="64">
        <v>29381259.384417411</v>
      </c>
    </row>
    <row r="7714" spans="1:2" x14ac:dyDescent="0.25">
      <c r="A7714" s="65">
        <v>7713</v>
      </c>
      <c r="B7714" s="64">
        <v>29148971.884705838</v>
      </c>
    </row>
    <row r="7715" spans="1:2" x14ac:dyDescent="0.25">
      <c r="A7715" s="65">
        <v>7714</v>
      </c>
      <c r="B7715" s="64">
        <v>29776805.052832644</v>
      </c>
    </row>
    <row r="7716" spans="1:2" x14ac:dyDescent="0.25">
      <c r="A7716" s="65">
        <v>7715</v>
      </c>
      <c r="B7716" s="64">
        <v>28474244.835014198</v>
      </c>
    </row>
    <row r="7717" spans="1:2" x14ac:dyDescent="0.25">
      <c r="A7717" s="65">
        <v>7716</v>
      </c>
      <c r="B7717" s="64">
        <v>29523651.752880439</v>
      </c>
    </row>
    <row r="7718" spans="1:2" x14ac:dyDescent="0.25">
      <c r="A7718" s="65">
        <v>7717</v>
      </c>
      <c r="B7718" s="64">
        <v>30275334.301732495</v>
      </c>
    </row>
    <row r="7719" spans="1:2" x14ac:dyDescent="0.25">
      <c r="A7719" s="65">
        <v>7718</v>
      </c>
      <c r="B7719" s="64">
        <v>28875203.570340835</v>
      </c>
    </row>
    <row r="7720" spans="1:2" x14ac:dyDescent="0.25">
      <c r="A7720" s="65">
        <v>7719</v>
      </c>
      <c r="B7720" s="64">
        <v>29216203.090530124</v>
      </c>
    </row>
    <row r="7721" spans="1:2" x14ac:dyDescent="0.25">
      <c r="A7721" s="65">
        <v>7720</v>
      </c>
      <c r="B7721" s="64">
        <v>28442157.684312046</v>
      </c>
    </row>
    <row r="7722" spans="1:2" x14ac:dyDescent="0.25">
      <c r="A7722" s="65">
        <v>7721</v>
      </c>
      <c r="B7722" s="64">
        <v>28992715.034711696</v>
      </c>
    </row>
    <row r="7723" spans="1:2" x14ac:dyDescent="0.25">
      <c r="A7723" s="65">
        <v>7722</v>
      </c>
      <c r="B7723" s="64">
        <v>29076979.953234922</v>
      </c>
    </row>
    <row r="7724" spans="1:2" x14ac:dyDescent="0.25">
      <c r="A7724" s="65">
        <v>7723</v>
      </c>
      <c r="B7724" s="64">
        <v>29167950.650693901</v>
      </c>
    </row>
    <row r="7725" spans="1:2" x14ac:dyDescent="0.25">
      <c r="A7725" s="65">
        <v>7724</v>
      </c>
      <c r="B7725" s="64">
        <v>30517804.084643107</v>
      </c>
    </row>
    <row r="7726" spans="1:2" x14ac:dyDescent="0.25">
      <c r="A7726" s="65">
        <v>7725</v>
      </c>
      <c r="B7726" s="64">
        <v>29054691.359948363</v>
      </c>
    </row>
    <row r="7727" spans="1:2" x14ac:dyDescent="0.25">
      <c r="A7727" s="65">
        <v>7726</v>
      </c>
      <c r="B7727" s="64">
        <v>28627123.325460576</v>
      </c>
    </row>
    <row r="7728" spans="1:2" x14ac:dyDescent="0.25">
      <c r="A7728" s="65">
        <v>7727</v>
      </c>
      <c r="B7728" s="64">
        <v>34187329.299763151</v>
      </c>
    </row>
    <row r="7729" spans="1:2" x14ac:dyDescent="0.25">
      <c r="A7729" s="65">
        <v>7728</v>
      </c>
      <c r="B7729" s="64">
        <v>28824281.537639234</v>
      </c>
    </row>
    <row r="7730" spans="1:2" x14ac:dyDescent="0.25">
      <c r="A7730" s="65">
        <v>7729</v>
      </c>
      <c r="B7730" s="64">
        <v>29128584.331160728</v>
      </c>
    </row>
    <row r="7731" spans="1:2" x14ac:dyDescent="0.25">
      <c r="A7731" s="65">
        <v>7730</v>
      </c>
      <c r="B7731" s="64">
        <v>29392939.594070479</v>
      </c>
    </row>
    <row r="7732" spans="1:2" x14ac:dyDescent="0.25">
      <c r="A7732" s="65">
        <v>7731</v>
      </c>
      <c r="B7732" s="64">
        <v>28828379.924370416</v>
      </c>
    </row>
    <row r="7733" spans="1:2" x14ac:dyDescent="0.25">
      <c r="A7733" s="65">
        <v>7732</v>
      </c>
      <c r="B7733" s="64">
        <v>29820635.494956557</v>
      </c>
    </row>
    <row r="7734" spans="1:2" x14ac:dyDescent="0.25">
      <c r="A7734" s="65">
        <v>7733</v>
      </c>
      <c r="B7734" s="64">
        <v>28596623.495323177</v>
      </c>
    </row>
    <row r="7735" spans="1:2" x14ac:dyDescent="0.25">
      <c r="A7735" s="65">
        <v>7734</v>
      </c>
      <c r="B7735" s="64">
        <v>32766835.800677583</v>
      </c>
    </row>
    <row r="7736" spans="1:2" x14ac:dyDescent="0.25">
      <c r="A7736" s="65">
        <v>7735</v>
      </c>
      <c r="B7736" s="64">
        <v>28996893.430598967</v>
      </c>
    </row>
    <row r="7737" spans="1:2" x14ac:dyDescent="0.25">
      <c r="A7737" s="65">
        <v>7736</v>
      </c>
      <c r="B7737" s="64">
        <v>28936105.846739449</v>
      </c>
    </row>
    <row r="7738" spans="1:2" x14ac:dyDescent="0.25">
      <c r="A7738" s="65">
        <v>7737</v>
      </c>
      <c r="B7738" s="64">
        <v>30197050.872205049</v>
      </c>
    </row>
    <row r="7739" spans="1:2" x14ac:dyDescent="0.25">
      <c r="A7739" s="65">
        <v>7738</v>
      </c>
      <c r="B7739" s="64">
        <v>29156240.201673608</v>
      </c>
    </row>
    <row r="7740" spans="1:2" x14ac:dyDescent="0.25">
      <c r="A7740" s="65">
        <v>7739</v>
      </c>
      <c r="B7740" s="64">
        <v>29535993.422793679</v>
      </c>
    </row>
    <row r="7741" spans="1:2" x14ac:dyDescent="0.25">
      <c r="A7741" s="65">
        <v>7740</v>
      </c>
      <c r="B7741" s="64">
        <v>28935877.942827851</v>
      </c>
    </row>
    <row r="7742" spans="1:2" x14ac:dyDescent="0.25">
      <c r="A7742" s="65">
        <v>7741</v>
      </c>
      <c r="B7742" s="64">
        <v>29301538.712468792</v>
      </c>
    </row>
    <row r="7743" spans="1:2" x14ac:dyDescent="0.25">
      <c r="A7743" s="65">
        <v>7742</v>
      </c>
      <c r="B7743" s="64">
        <v>29330596.022608541</v>
      </c>
    </row>
    <row r="7744" spans="1:2" x14ac:dyDescent="0.25">
      <c r="A7744" s="65">
        <v>7743</v>
      </c>
      <c r="B7744" s="64">
        <v>30110100.130752847</v>
      </c>
    </row>
    <row r="7745" spans="1:2" x14ac:dyDescent="0.25">
      <c r="A7745" s="65">
        <v>7744</v>
      </c>
      <c r="B7745" s="64">
        <v>28722833.826014139</v>
      </c>
    </row>
    <row r="7746" spans="1:2" x14ac:dyDescent="0.25">
      <c r="A7746" s="65">
        <v>7745</v>
      </c>
      <c r="B7746" s="64">
        <v>29487280.528678074</v>
      </c>
    </row>
    <row r="7747" spans="1:2" x14ac:dyDescent="0.25">
      <c r="A7747" s="65">
        <v>7746</v>
      </c>
      <c r="B7747" s="64">
        <v>29064116.24398458</v>
      </c>
    </row>
    <row r="7748" spans="1:2" x14ac:dyDescent="0.25">
      <c r="A7748" s="65">
        <v>7747</v>
      </c>
      <c r="B7748" s="64">
        <v>28561698.402373578</v>
      </c>
    </row>
    <row r="7749" spans="1:2" x14ac:dyDescent="0.25">
      <c r="A7749" s="65">
        <v>7748</v>
      </c>
      <c r="B7749" s="64">
        <v>29753888.300632555</v>
      </c>
    </row>
    <row r="7750" spans="1:2" x14ac:dyDescent="0.25">
      <c r="A7750" s="65">
        <v>7749</v>
      </c>
      <c r="B7750" s="64">
        <v>28704614.343245119</v>
      </c>
    </row>
    <row r="7751" spans="1:2" x14ac:dyDescent="0.25">
      <c r="A7751" s="65">
        <v>7750</v>
      </c>
      <c r="B7751" s="64">
        <v>29799244.083860736</v>
      </c>
    </row>
    <row r="7752" spans="1:2" x14ac:dyDescent="0.25">
      <c r="A7752" s="65">
        <v>7751</v>
      </c>
      <c r="B7752" s="64">
        <v>30268676.829047352</v>
      </c>
    </row>
    <row r="7753" spans="1:2" x14ac:dyDescent="0.25">
      <c r="A7753" s="65">
        <v>7752</v>
      </c>
      <c r="B7753" s="64">
        <v>28368370.614416853</v>
      </c>
    </row>
    <row r="7754" spans="1:2" x14ac:dyDescent="0.25">
      <c r="A7754" s="65">
        <v>7753</v>
      </c>
      <c r="B7754" s="64">
        <v>29876950.109787617</v>
      </c>
    </row>
    <row r="7755" spans="1:2" x14ac:dyDescent="0.25">
      <c r="A7755" s="65">
        <v>7754</v>
      </c>
      <c r="B7755" s="64">
        <v>28938187.769218002</v>
      </c>
    </row>
    <row r="7756" spans="1:2" x14ac:dyDescent="0.25">
      <c r="A7756" s="65">
        <v>7755</v>
      </c>
      <c r="B7756" s="64">
        <v>29756663.87872472</v>
      </c>
    </row>
    <row r="7757" spans="1:2" x14ac:dyDescent="0.25">
      <c r="A7757" s="65">
        <v>7756</v>
      </c>
      <c r="B7757" s="64">
        <v>29917860.275335792</v>
      </c>
    </row>
    <row r="7758" spans="1:2" x14ac:dyDescent="0.25">
      <c r="A7758" s="65">
        <v>7757</v>
      </c>
      <c r="B7758" s="64">
        <v>28907993.768295169</v>
      </c>
    </row>
    <row r="7759" spans="1:2" x14ac:dyDescent="0.25">
      <c r="A7759" s="65">
        <v>7758</v>
      </c>
      <c r="B7759" s="64">
        <v>29488905.127644151</v>
      </c>
    </row>
    <row r="7760" spans="1:2" x14ac:dyDescent="0.25">
      <c r="A7760" s="65">
        <v>7759</v>
      </c>
      <c r="B7760" s="64">
        <v>28605267.419554763</v>
      </c>
    </row>
    <row r="7761" spans="1:2" x14ac:dyDescent="0.25">
      <c r="A7761" s="65">
        <v>7760</v>
      </c>
      <c r="B7761" s="64">
        <v>28886853.68936057</v>
      </c>
    </row>
    <row r="7762" spans="1:2" x14ac:dyDescent="0.25">
      <c r="A7762" s="65">
        <v>7761</v>
      </c>
      <c r="B7762" s="64">
        <v>29892600.751986671</v>
      </c>
    </row>
    <row r="7763" spans="1:2" x14ac:dyDescent="0.25">
      <c r="A7763" s="65">
        <v>7762</v>
      </c>
      <c r="B7763" s="64">
        <v>29005367.02864293</v>
      </c>
    </row>
    <row r="7764" spans="1:2" x14ac:dyDescent="0.25">
      <c r="A7764" s="65">
        <v>7763</v>
      </c>
      <c r="B7764" s="64">
        <v>28837811.04566573</v>
      </c>
    </row>
    <row r="7765" spans="1:2" x14ac:dyDescent="0.25">
      <c r="A7765" s="65">
        <v>7764</v>
      </c>
      <c r="B7765" s="64">
        <v>28926256.846342366</v>
      </c>
    </row>
    <row r="7766" spans="1:2" x14ac:dyDescent="0.25">
      <c r="A7766" s="65">
        <v>7765</v>
      </c>
      <c r="B7766" s="64">
        <v>28597066.420569547</v>
      </c>
    </row>
    <row r="7767" spans="1:2" x14ac:dyDescent="0.25">
      <c r="A7767" s="65">
        <v>7766</v>
      </c>
      <c r="B7767" s="64">
        <v>29335477.409778424</v>
      </c>
    </row>
    <row r="7768" spans="1:2" x14ac:dyDescent="0.25">
      <c r="A7768" s="65">
        <v>7767</v>
      </c>
      <c r="B7768" s="64">
        <v>28951064.473050058</v>
      </c>
    </row>
    <row r="7769" spans="1:2" x14ac:dyDescent="0.25">
      <c r="A7769" s="65">
        <v>7768</v>
      </c>
      <c r="B7769" s="64">
        <v>29146566.880873993</v>
      </c>
    </row>
    <row r="7770" spans="1:2" x14ac:dyDescent="0.25">
      <c r="A7770" s="65">
        <v>7769</v>
      </c>
      <c r="B7770" s="64">
        <v>29129773.043981425</v>
      </c>
    </row>
    <row r="7771" spans="1:2" x14ac:dyDescent="0.25">
      <c r="A7771" s="65">
        <v>7770</v>
      </c>
      <c r="B7771" s="64">
        <v>28780740.422219224</v>
      </c>
    </row>
    <row r="7772" spans="1:2" x14ac:dyDescent="0.25">
      <c r="A7772" s="65">
        <v>7771</v>
      </c>
      <c r="B7772" s="64">
        <v>29244329.594884049</v>
      </c>
    </row>
    <row r="7773" spans="1:2" x14ac:dyDescent="0.25">
      <c r="A7773" s="65">
        <v>7772</v>
      </c>
      <c r="B7773" s="64">
        <v>29236091.875022262</v>
      </c>
    </row>
    <row r="7774" spans="1:2" x14ac:dyDescent="0.25">
      <c r="A7774" s="65">
        <v>7773</v>
      </c>
      <c r="B7774" s="64">
        <v>28566241.504373658</v>
      </c>
    </row>
    <row r="7775" spans="1:2" x14ac:dyDescent="0.25">
      <c r="A7775" s="65">
        <v>7774</v>
      </c>
      <c r="B7775" s="64">
        <v>30289304.346047189</v>
      </c>
    </row>
    <row r="7776" spans="1:2" x14ac:dyDescent="0.25">
      <c r="A7776" s="65">
        <v>7775</v>
      </c>
      <c r="B7776" s="64">
        <v>29435545.507277217</v>
      </c>
    </row>
    <row r="7777" spans="1:2" x14ac:dyDescent="0.25">
      <c r="A7777" s="65">
        <v>7776</v>
      </c>
      <c r="B7777" s="64">
        <v>30053748.175260007</v>
      </c>
    </row>
    <row r="7778" spans="1:2" x14ac:dyDescent="0.25">
      <c r="A7778" s="65">
        <v>7777</v>
      </c>
      <c r="B7778" s="64">
        <v>29533523.75890125</v>
      </c>
    </row>
    <row r="7779" spans="1:2" x14ac:dyDescent="0.25">
      <c r="A7779" s="65">
        <v>7778</v>
      </c>
      <c r="B7779" s="64">
        <v>29760519.434545308</v>
      </c>
    </row>
    <row r="7780" spans="1:2" x14ac:dyDescent="0.25">
      <c r="A7780" s="65">
        <v>7779</v>
      </c>
      <c r="B7780" s="64">
        <v>29007496.513786476</v>
      </c>
    </row>
    <row r="7781" spans="1:2" x14ac:dyDescent="0.25">
      <c r="A7781" s="65">
        <v>7780</v>
      </c>
      <c r="B7781" s="64">
        <v>29144488.159280118</v>
      </c>
    </row>
    <row r="7782" spans="1:2" x14ac:dyDescent="0.25">
      <c r="A7782" s="65">
        <v>7781</v>
      </c>
      <c r="B7782" s="64">
        <v>28569967.21293046</v>
      </c>
    </row>
    <row r="7783" spans="1:2" x14ac:dyDescent="0.25">
      <c r="A7783" s="65">
        <v>7782</v>
      </c>
      <c r="B7783" s="64">
        <v>28801445.271632064</v>
      </c>
    </row>
    <row r="7784" spans="1:2" x14ac:dyDescent="0.25">
      <c r="A7784" s="65">
        <v>7783</v>
      </c>
      <c r="B7784" s="64">
        <v>28621518.063361462</v>
      </c>
    </row>
    <row r="7785" spans="1:2" x14ac:dyDescent="0.25">
      <c r="A7785" s="65">
        <v>7784</v>
      </c>
      <c r="B7785" s="64">
        <v>33563990.974860072</v>
      </c>
    </row>
    <row r="7786" spans="1:2" x14ac:dyDescent="0.25">
      <c r="A7786" s="65">
        <v>7785</v>
      </c>
      <c r="B7786" s="64">
        <v>29470700.643754665</v>
      </c>
    </row>
    <row r="7787" spans="1:2" x14ac:dyDescent="0.25">
      <c r="A7787" s="65">
        <v>7786</v>
      </c>
      <c r="B7787" s="64">
        <v>30409659.457813233</v>
      </c>
    </row>
    <row r="7788" spans="1:2" x14ac:dyDescent="0.25">
      <c r="A7788" s="65">
        <v>7787</v>
      </c>
      <c r="B7788" s="64">
        <v>30479139.03382403</v>
      </c>
    </row>
    <row r="7789" spans="1:2" x14ac:dyDescent="0.25">
      <c r="A7789" s="65">
        <v>7788</v>
      </c>
      <c r="B7789" s="64">
        <v>29166392.687569559</v>
      </c>
    </row>
    <row r="7790" spans="1:2" x14ac:dyDescent="0.25">
      <c r="A7790" s="65">
        <v>7789</v>
      </c>
      <c r="B7790" s="64">
        <v>29298152.427389514</v>
      </c>
    </row>
    <row r="7791" spans="1:2" x14ac:dyDescent="0.25">
      <c r="A7791" s="65">
        <v>7790</v>
      </c>
      <c r="B7791" s="64">
        <v>29545990.395109452</v>
      </c>
    </row>
    <row r="7792" spans="1:2" x14ac:dyDescent="0.25">
      <c r="A7792" s="65">
        <v>7791</v>
      </c>
      <c r="B7792" s="64">
        <v>28703371.919967558</v>
      </c>
    </row>
    <row r="7793" spans="1:2" x14ac:dyDescent="0.25">
      <c r="A7793" s="65">
        <v>7792</v>
      </c>
      <c r="B7793" s="64">
        <v>30036574.868377704</v>
      </c>
    </row>
    <row r="7794" spans="1:2" x14ac:dyDescent="0.25">
      <c r="A7794" s="65">
        <v>7793</v>
      </c>
      <c r="B7794" s="64">
        <v>28594533.14160303</v>
      </c>
    </row>
    <row r="7795" spans="1:2" x14ac:dyDescent="0.25">
      <c r="A7795" s="65">
        <v>7794</v>
      </c>
      <c r="B7795" s="64">
        <v>28854845.828120481</v>
      </c>
    </row>
    <row r="7796" spans="1:2" x14ac:dyDescent="0.25">
      <c r="A7796" s="65">
        <v>7795</v>
      </c>
      <c r="B7796" s="64">
        <v>28779502.104623921</v>
      </c>
    </row>
    <row r="7797" spans="1:2" x14ac:dyDescent="0.25">
      <c r="A7797" s="65">
        <v>7796</v>
      </c>
      <c r="B7797" s="64">
        <v>28993810.426140554</v>
      </c>
    </row>
    <row r="7798" spans="1:2" x14ac:dyDescent="0.25">
      <c r="A7798" s="65">
        <v>7797</v>
      </c>
      <c r="B7798" s="64">
        <v>29349191.901172537</v>
      </c>
    </row>
    <row r="7799" spans="1:2" x14ac:dyDescent="0.25">
      <c r="A7799" s="65">
        <v>7798</v>
      </c>
      <c r="B7799" s="64">
        <v>29256198.39731022</v>
      </c>
    </row>
    <row r="7800" spans="1:2" x14ac:dyDescent="0.25">
      <c r="A7800" s="65">
        <v>7799</v>
      </c>
      <c r="B7800" s="64">
        <v>29326923.222788829</v>
      </c>
    </row>
    <row r="7801" spans="1:2" x14ac:dyDescent="0.25">
      <c r="A7801" s="65">
        <v>7800</v>
      </c>
      <c r="B7801" s="64">
        <v>28658476.574515764</v>
      </c>
    </row>
    <row r="7802" spans="1:2" x14ac:dyDescent="0.25">
      <c r="A7802" s="65">
        <v>7801</v>
      </c>
      <c r="B7802" s="64">
        <v>29083723.775370009</v>
      </c>
    </row>
    <row r="7803" spans="1:2" x14ac:dyDescent="0.25">
      <c r="A7803" s="65">
        <v>7802</v>
      </c>
      <c r="B7803" s="64">
        <v>28847952.817958202</v>
      </c>
    </row>
    <row r="7804" spans="1:2" x14ac:dyDescent="0.25">
      <c r="A7804" s="65">
        <v>7803</v>
      </c>
      <c r="B7804" s="64">
        <v>28716784.730167102</v>
      </c>
    </row>
    <row r="7805" spans="1:2" x14ac:dyDescent="0.25">
      <c r="A7805" s="65">
        <v>7804</v>
      </c>
      <c r="B7805" s="64">
        <v>30027150.408231288</v>
      </c>
    </row>
    <row r="7806" spans="1:2" x14ac:dyDescent="0.25">
      <c r="A7806" s="65">
        <v>7805</v>
      </c>
      <c r="B7806" s="64">
        <v>29896294.004809149</v>
      </c>
    </row>
    <row r="7807" spans="1:2" x14ac:dyDescent="0.25">
      <c r="A7807" s="65">
        <v>7806</v>
      </c>
      <c r="B7807" s="64">
        <v>29200851.601613756</v>
      </c>
    </row>
    <row r="7808" spans="1:2" x14ac:dyDescent="0.25">
      <c r="A7808" s="65">
        <v>7807</v>
      </c>
      <c r="B7808" s="64">
        <v>28857313.634914257</v>
      </c>
    </row>
    <row r="7809" spans="1:2" x14ac:dyDescent="0.25">
      <c r="A7809" s="65">
        <v>7808</v>
      </c>
      <c r="B7809" s="64">
        <v>29411484.041568656</v>
      </c>
    </row>
    <row r="7810" spans="1:2" x14ac:dyDescent="0.25">
      <c r="A7810" s="65">
        <v>7809</v>
      </c>
      <c r="B7810" s="64">
        <v>28680607.952236131</v>
      </c>
    </row>
    <row r="7811" spans="1:2" x14ac:dyDescent="0.25">
      <c r="A7811" s="65">
        <v>7810</v>
      </c>
      <c r="B7811" s="64">
        <v>29809208.700926047</v>
      </c>
    </row>
    <row r="7812" spans="1:2" x14ac:dyDescent="0.25">
      <c r="A7812" s="65">
        <v>7811</v>
      </c>
      <c r="B7812" s="64">
        <v>30105523.443479452</v>
      </c>
    </row>
    <row r="7813" spans="1:2" x14ac:dyDescent="0.25">
      <c r="A7813" s="65">
        <v>7812</v>
      </c>
      <c r="B7813" s="64">
        <v>29149800.566270586</v>
      </c>
    </row>
    <row r="7814" spans="1:2" x14ac:dyDescent="0.25">
      <c r="A7814" s="65">
        <v>7813</v>
      </c>
      <c r="B7814" s="64">
        <v>30105080.398093458</v>
      </c>
    </row>
    <row r="7815" spans="1:2" x14ac:dyDescent="0.25">
      <c r="A7815" s="65">
        <v>7814</v>
      </c>
      <c r="B7815" s="64">
        <v>28682818.60625767</v>
      </c>
    </row>
    <row r="7816" spans="1:2" x14ac:dyDescent="0.25">
      <c r="A7816" s="65">
        <v>7815</v>
      </c>
      <c r="B7816" s="64">
        <v>29351838.824567527</v>
      </c>
    </row>
    <row r="7817" spans="1:2" x14ac:dyDescent="0.25">
      <c r="A7817" s="65">
        <v>7816</v>
      </c>
      <c r="B7817" s="64">
        <v>29013967.248060144</v>
      </c>
    </row>
    <row r="7818" spans="1:2" x14ac:dyDescent="0.25">
      <c r="A7818" s="65">
        <v>7817</v>
      </c>
      <c r="B7818" s="64">
        <v>29105431.006760437</v>
      </c>
    </row>
    <row r="7819" spans="1:2" x14ac:dyDescent="0.25">
      <c r="A7819" s="65">
        <v>7818</v>
      </c>
      <c r="B7819" s="64">
        <v>28856549.633991819</v>
      </c>
    </row>
    <row r="7820" spans="1:2" x14ac:dyDescent="0.25">
      <c r="A7820" s="65">
        <v>7819</v>
      </c>
      <c r="B7820" s="64">
        <v>29127647.401484434</v>
      </c>
    </row>
    <row r="7821" spans="1:2" x14ac:dyDescent="0.25">
      <c r="A7821" s="65">
        <v>7820</v>
      </c>
      <c r="B7821" s="64">
        <v>29053018.943154112</v>
      </c>
    </row>
    <row r="7822" spans="1:2" x14ac:dyDescent="0.25">
      <c r="A7822" s="65">
        <v>7821</v>
      </c>
      <c r="B7822" s="64">
        <v>28811015.198391959</v>
      </c>
    </row>
    <row r="7823" spans="1:2" x14ac:dyDescent="0.25">
      <c r="A7823" s="65">
        <v>7822</v>
      </c>
      <c r="B7823" s="64">
        <v>28548352.031465452</v>
      </c>
    </row>
    <row r="7824" spans="1:2" x14ac:dyDescent="0.25">
      <c r="A7824" s="65">
        <v>7823</v>
      </c>
      <c r="B7824" s="64">
        <v>29670486.076063972</v>
      </c>
    </row>
    <row r="7825" spans="1:2" x14ac:dyDescent="0.25">
      <c r="A7825" s="65">
        <v>7824</v>
      </c>
      <c r="B7825" s="64">
        <v>29135303.171013635</v>
      </c>
    </row>
    <row r="7826" spans="1:2" x14ac:dyDescent="0.25">
      <c r="A7826" s="65">
        <v>7825</v>
      </c>
      <c r="B7826" s="64">
        <v>28965830.909368869</v>
      </c>
    </row>
    <row r="7827" spans="1:2" x14ac:dyDescent="0.25">
      <c r="A7827" s="65">
        <v>7826</v>
      </c>
      <c r="B7827" s="64">
        <v>29306528.015411921</v>
      </c>
    </row>
    <row r="7828" spans="1:2" x14ac:dyDescent="0.25">
      <c r="A7828" s="65">
        <v>7827</v>
      </c>
      <c r="B7828" s="64">
        <v>28846339.761423118</v>
      </c>
    </row>
    <row r="7829" spans="1:2" x14ac:dyDescent="0.25">
      <c r="A7829" s="65">
        <v>7828</v>
      </c>
      <c r="B7829" s="64">
        <v>29564906.253320519</v>
      </c>
    </row>
    <row r="7830" spans="1:2" x14ac:dyDescent="0.25">
      <c r="A7830" s="65">
        <v>7829</v>
      </c>
      <c r="B7830" s="64">
        <v>29504786.769947305</v>
      </c>
    </row>
    <row r="7831" spans="1:2" x14ac:dyDescent="0.25">
      <c r="A7831" s="65">
        <v>7830</v>
      </c>
      <c r="B7831" s="64">
        <v>29076686.112197883</v>
      </c>
    </row>
    <row r="7832" spans="1:2" x14ac:dyDescent="0.25">
      <c r="A7832" s="65">
        <v>7831</v>
      </c>
      <c r="B7832" s="64">
        <v>29312171.509893682</v>
      </c>
    </row>
    <row r="7833" spans="1:2" x14ac:dyDescent="0.25">
      <c r="A7833" s="65">
        <v>7832</v>
      </c>
      <c r="B7833" s="64">
        <v>28630738.296354488</v>
      </c>
    </row>
    <row r="7834" spans="1:2" x14ac:dyDescent="0.25">
      <c r="A7834" s="65">
        <v>7833</v>
      </c>
      <c r="B7834" s="64">
        <v>28926919.229949195</v>
      </c>
    </row>
    <row r="7835" spans="1:2" x14ac:dyDescent="0.25">
      <c r="A7835" s="65">
        <v>7834</v>
      </c>
      <c r="B7835" s="64">
        <v>29459443.394765835</v>
      </c>
    </row>
    <row r="7836" spans="1:2" x14ac:dyDescent="0.25">
      <c r="A7836" s="65">
        <v>7835</v>
      </c>
      <c r="B7836" s="64">
        <v>28386267.826311793</v>
      </c>
    </row>
    <row r="7837" spans="1:2" x14ac:dyDescent="0.25">
      <c r="A7837" s="65">
        <v>7836</v>
      </c>
      <c r="B7837" s="64">
        <v>30782773.172993511</v>
      </c>
    </row>
    <row r="7838" spans="1:2" x14ac:dyDescent="0.25">
      <c r="A7838" s="65">
        <v>7837</v>
      </c>
      <c r="B7838" s="64">
        <v>29243576.489676543</v>
      </c>
    </row>
    <row r="7839" spans="1:2" x14ac:dyDescent="0.25">
      <c r="A7839" s="65">
        <v>7838</v>
      </c>
      <c r="B7839" s="64">
        <v>28916448.87228027</v>
      </c>
    </row>
    <row r="7840" spans="1:2" x14ac:dyDescent="0.25">
      <c r="A7840" s="65">
        <v>7839</v>
      </c>
      <c r="B7840" s="64">
        <v>30308934.372411031</v>
      </c>
    </row>
    <row r="7841" spans="1:2" x14ac:dyDescent="0.25">
      <c r="A7841" s="65">
        <v>7840</v>
      </c>
      <c r="B7841" s="64">
        <v>28596527.462519411</v>
      </c>
    </row>
    <row r="7842" spans="1:2" x14ac:dyDescent="0.25">
      <c r="A7842" s="65">
        <v>7841</v>
      </c>
      <c r="B7842" s="64">
        <v>29914393.230171893</v>
      </c>
    </row>
    <row r="7843" spans="1:2" x14ac:dyDescent="0.25">
      <c r="A7843" s="65">
        <v>7842</v>
      </c>
      <c r="B7843" s="64">
        <v>29060398.19450013</v>
      </c>
    </row>
    <row r="7844" spans="1:2" x14ac:dyDescent="0.25">
      <c r="A7844" s="65">
        <v>7843</v>
      </c>
      <c r="B7844" s="64">
        <v>28755361.650691651</v>
      </c>
    </row>
    <row r="7845" spans="1:2" x14ac:dyDescent="0.25">
      <c r="A7845" s="65">
        <v>7844</v>
      </c>
      <c r="B7845" s="64">
        <v>28774498.077323228</v>
      </c>
    </row>
    <row r="7846" spans="1:2" x14ac:dyDescent="0.25">
      <c r="A7846" s="65">
        <v>7845</v>
      </c>
      <c r="B7846" s="64">
        <v>28640169.367085312</v>
      </c>
    </row>
    <row r="7847" spans="1:2" x14ac:dyDescent="0.25">
      <c r="A7847" s="65">
        <v>7846</v>
      </c>
      <c r="B7847" s="64">
        <v>29508293.856344759</v>
      </c>
    </row>
    <row r="7848" spans="1:2" x14ac:dyDescent="0.25">
      <c r="A7848" s="65">
        <v>7847</v>
      </c>
      <c r="B7848" s="64">
        <v>29202744.215105917</v>
      </c>
    </row>
    <row r="7849" spans="1:2" x14ac:dyDescent="0.25">
      <c r="A7849" s="65">
        <v>7848</v>
      </c>
      <c r="B7849" s="64">
        <v>29573263.005276203</v>
      </c>
    </row>
    <row r="7850" spans="1:2" x14ac:dyDescent="0.25">
      <c r="A7850" s="65">
        <v>7849</v>
      </c>
      <c r="B7850" s="64">
        <v>28973074.436883718</v>
      </c>
    </row>
    <row r="7851" spans="1:2" x14ac:dyDescent="0.25">
      <c r="A7851" s="65">
        <v>7850</v>
      </c>
      <c r="B7851" s="64">
        <v>28753447.09574908</v>
      </c>
    </row>
    <row r="7852" spans="1:2" x14ac:dyDescent="0.25">
      <c r="A7852" s="65">
        <v>7851</v>
      </c>
      <c r="B7852" s="64">
        <v>28642571.239421383</v>
      </c>
    </row>
    <row r="7853" spans="1:2" x14ac:dyDescent="0.25">
      <c r="A7853" s="65">
        <v>7852</v>
      </c>
      <c r="B7853" s="64">
        <v>28762343.424337067</v>
      </c>
    </row>
    <row r="7854" spans="1:2" x14ac:dyDescent="0.25">
      <c r="A7854" s="65">
        <v>7853</v>
      </c>
      <c r="B7854" s="64">
        <v>29384979.51855886</v>
      </c>
    </row>
    <row r="7855" spans="1:2" x14ac:dyDescent="0.25">
      <c r="A7855" s="65">
        <v>7854</v>
      </c>
      <c r="B7855" s="64">
        <v>29600685.905017432</v>
      </c>
    </row>
    <row r="7856" spans="1:2" x14ac:dyDescent="0.25">
      <c r="A7856" s="65">
        <v>7855</v>
      </c>
      <c r="B7856" s="64">
        <v>29739235.891999952</v>
      </c>
    </row>
    <row r="7857" spans="1:2" x14ac:dyDescent="0.25">
      <c r="A7857" s="65">
        <v>7856</v>
      </c>
      <c r="B7857" s="64">
        <v>28724154.8027604</v>
      </c>
    </row>
    <row r="7858" spans="1:2" x14ac:dyDescent="0.25">
      <c r="A7858" s="65">
        <v>7857</v>
      </c>
      <c r="B7858" s="64">
        <v>29114800.604334604</v>
      </c>
    </row>
    <row r="7859" spans="1:2" x14ac:dyDescent="0.25">
      <c r="A7859" s="65">
        <v>7858</v>
      </c>
      <c r="B7859" s="64">
        <v>29795695.289649613</v>
      </c>
    </row>
    <row r="7860" spans="1:2" x14ac:dyDescent="0.25">
      <c r="A7860" s="65">
        <v>7859</v>
      </c>
      <c r="B7860" s="64">
        <v>28904592.903914731</v>
      </c>
    </row>
    <row r="7861" spans="1:2" x14ac:dyDescent="0.25">
      <c r="A7861" s="65">
        <v>7860</v>
      </c>
      <c r="B7861" s="64">
        <v>28947147.776032045</v>
      </c>
    </row>
    <row r="7862" spans="1:2" x14ac:dyDescent="0.25">
      <c r="A7862" s="65">
        <v>7861</v>
      </c>
      <c r="B7862" s="64">
        <v>29548716.808030862</v>
      </c>
    </row>
    <row r="7863" spans="1:2" x14ac:dyDescent="0.25">
      <c r="A7863" s="65">
        <v>7862</v>
      </c>
      <c r="B7863" s="64">
        <v>28592097.408461567</v>
      </c>
    </row>
    <row r="7864" spans="1:2" x14ac:dyDescent="0.25">
      <c r="A7864" s="65">
        <v>7863</v>
      </c>
      <c r="B7864" s="64">
        <v>29260807.357467439</v>
      </c>
    </row>
    <row r="7865" spans="1:2" x14ac:dyDescent="0.25">
      <c r="A7865" s="65">
        <v>7864</v>
      </c>
      <c r="B7865" s="64">
        <v>29620021.84962</v>
      </c>
    </row>
    <row r="7866" spans="1:2" x14ac:dyDescent="0.25">
      <c r="A7866" s="65">
        <v>7865</v>
      </c>
      <c r="B7866" s="64">
        <v>29429623.123320509</v>
      </c>
    </row>
    <row r="7867" spans="1:2" x14ac:dyDescent="0.25">
      <c r="A7867" s="65">
        <v>7866</v>
      </c>
      <c r="B7867" s="64">
        <v>28929763.478802577</v>
      </c>
    </row>
    <row r="7868" spans="1:2" x14ac:dyDescent="0.25">
      <c r="A7868" s="65">
        <v>7867</v>
      </c>
      <c r="B7868" s="64">
        <v>28916249.804130409</v>
      </c>
    </row>
    <row r="7869" spans="1:2" x14ac:dyDescent="0.25">
      <c r="A7869" s="65">
        <v>7868</v>
      </c>
      <c r="B7869" s="64">
        <v>28400233.623297628</v>
      </c>
    </row>
    <row r="7870" spans="1:2" x14ac:dyDescent="0.25">
      <c r="A7870" s="65">
        <v>7869</v>
      </c>
      <c r="B7870" s="64">
        <v>28499843.140485059</v>
      </c>
    </row>
    <row r="7871" spans="1:2" x14ac:dyDescent="0.25">
      <c r="A7871" s="65">
        <v>7870</v>
      </c>
      <c r="B7871" s="64">
        <v>28888179.601680465</v>
      </c>
    </row>
    <row r="7872" spans="1:2" x14ac:dyDescent="0.25">
      <c r="A7872" s="65">
        <v>7871</v>
      </c>
      <c r="B7872" s="64">
        <v>30521642.680324093</v>
      </c>
    </row>
    <row r="7873" spans="1:2" x14ac:dyDescent="0.25">
      <c r="A7873" s="65">
        <v>7872</v>
      </c>
      <c r="B7873" s="64">
        <v>28812575.884631295</v>
      </c>
    </row>
    <row r="7874" spans="1:2" x14ac:dyDescent="0.25">
      <c r="A7874" s="65">
        <v>7873</v>
      </c>
      <c r="B7874" s="64">
        <v>30440223.331401072</v>
      </c>
    </row>
    <row r="7875" spans="1:2" x14ac:dyDescent="0.25">
      <c r="A7875" s="65">
        <v>7874</v>
      </c>
      <c r="B7875" s="64">
        <v>29517041.063023359</v>
      </c>
    </row>
    <row r="7876" spans="1:2" x14ac:dyDescent="0.25">
      <c r="A7876" s="65">
        <v>7875</v>
      </c>
      <c r="B7876" s="64">
        <v>29526772.794531647</v>
      </c>
    </row>
    <row r="7877" spans="1:2" x14ac:dyDescent="0.25">
      <c r="A7877" s="65">
        <v>7876</v>
      </c>
      <c r="B7877" s="64">
        <v>30321113.138371527</v>
      </c>
    </row>
    <row r="7878" spans="1:2" x14ac:dyDescent="0.25">
      <c r="A7878" s="65">
        <v>7877</v>
      </c>
      <c r="B7878" s="64">
        <v>29632109.465360913</v>
      </c>
    </row>
    <row r="7879" spans="1:2" x14ac:dyDescent="0.25">
      <c r="A7879" s="65">
        <v>7878</v>
      </c>
      <c r="B7879" s="64">
        <v>29012543.735576313</v>
      </c>
    </row>
    <row r="7880" spans="1:2" x14ac:dyDescent="0.25">
      <c r="A7880" s="65">
        <v>7879</v>
      </c>
      <c r="B7880" s="64">
        <v>28681837.748442139</v>
      </c>
    </row>
    <row r="7881" spans="1:2" x14ac:dyDescent="0.25">
      <c r="A7881" s="65">
        <v>7880</v>
      </c>
      <c r="B7881" s="64">
        <v>28538462.079537839</v>
      </c>
    </row>
    <row r="7882" spans="1:2" x14ac:dyDescent="0.25">
      <c r="A7882" s="65">
        <v>7881</v>
      </c>
      <c r="B7882" s="64">
        <v>29590606.911401112</v>
      </c>
    </row>
    <row r="7883" spans="1:2" x14ac:dyDescent="0.25">
      <c r="A7883" s="65">
        <v>7882</v>
      </c>
      <c r="B7883" s="64">
        <v>28517794.267337661</v>
      </c>
    </row>
    <row r="7884" spans="1:2" x14ac:dyDescent="0.25">
      <c r="A7884" s="65">
        <v>7883</v>
      </c>
      <c r="B7884" s="64">
        <v>29322308.671321556</v>
      </c>
    </row>
    <row r="7885" spans="1:2" x14ac:dyDescent="0.25">
      <c r="A7885" s="65">
        <v>7884</v>
      </c>
      <c r="B7885" s="64">
        <v>28595971.160514425</v>
      </c>
    </row>
    <row r="7886" spans="1:2" x14ac:dyDescent="0.25">
      <c r="A7886" s="65">
        <v>7885</v>
      </c>
      <c r="B7886" s="64">
        <v>29201245.403845284</v>
      </c>
    </row>
    <row r="7887" spans="1:2" x14ac:dyDescent="0.25">
      <c r="A7887" s="65">
        <v>7886</v>
      </c>
      <c r="B7887" s="64">
        <v>28843516.200002961</v>
      </c>
    </row>
    <row r="7888" spans="1:2" x14ac:dyDescent="0.25">
      <c r="A7888" s="65">
        <v>7887</v>
      </c>
      <c r="B7888" s="64">
        <v>28581756.080022182</v>
      </c>
    </row>
    <row r="7889" spans="1:2" x14ac:dyDescent="0.25">
      <c r="A7889" s="65">
        <v>7888</v>
      </c>
      <c r="B7889" s="64">
        <v>28951292.813089132</v>
      </c>
    </row>
    <row r="7890" spans="1:2" x14ac:dyDescent="0.25">
      <c r="A7890" s="65">
        <v>7889</v>
      </c>
      <c r="B7890" s="64">
        <v>30141557.452802412</v>
      </c>
    </row>
    <row r="7891" spans="1:2" x14ac:dyDescent="0.25">
      <c r="A7891" s="65">
        <v>7890</v>
      </c>
      <c r="B7891" s="64">
        <v>29212470.604483344</v>
      </c>
    </row>
    <row r="7892" spans="1:2" x14ac:dyDescent="0.25">
      <c r="A7892" s="65">
        <v>7891</v>
      </c>
      <c r="B7892" s="64">
        <v>29066800.21914845</v>
      </c>
    </row>
    <row r="7893" spans="1:2" x14ac:dyDescent="0.25">
      <c r="A7893" s="65">
        <v>7892</v>
      </c>
      <c r="B7893" s="64">
        <v>29475757.800018024</v>
      </c>
    </row>
    <row r="7894" spans="1:2" x14ac:dyDescent="0.25">
      <c r="A7894" s="65">
        <v>7893</v>
      </c>
      <c r="B7894" s="64">
        <v>29527140.10059958</v>
      </c>
    </row>
    <row r="7895" spans="1:2" x14ac:dyDescent="0.25">
      <c r="A7895" s="65">
        <v>7894</v>
      </c>
      <c r="B7895" s="64">
        <v>29058719.892361324</v>
      </c>
    </row>
    <row r="7896" spans="1:2" x14ac:dyDescent="0.25">
      <c r="A7896" s="65">
        <v>7895</v>
      </c>
      <c r="B7896" s="64">
        <v>28789619.045950431</v>
      </c>
    </row>
    <row r="7897" spans="1:2" x14ac:dyDescent="0.25">
      <c r="A7897" s="65">
        <v>7896</v>
      </c>
      <c r="B7897" s="64">
        <v>29276538.606443807</v>
      </c>
    </row>
    <row r="7898" spans="1:2" x14ac:dyDescent="0.25">
      <c r="A7898" s="65">
        <v>7897</v>
      </c>
      <c r="B7898" s="64">
        <v>28701798.541724294</v>
      </c>
    </row>
    <row r="7899" spans="1:2" x14ac:dyDescent="0.25">
      <c r="A7899" s="65">
        <v>7898</v>
      </c>
      <c r="B7899" s="64">
        <v>29236777.958488539</v>
      </c>
    </row>
    <row r="7900" spans="1:2" x14ac:dyDescent="0.25">
      <c r="A7900" s="65">
        <v>7899</v>
      </c>
      <c r="B7900" s="64">
        <v>30033879.45545895</v>
      </c>
    </row>
    <row r="7901" spans="1:2" x14ac:dyDescent="0.25">
      <c r="A7901" s="65">
        <v>7900</v>
      </c>
      <c r="B7901" s="64">
        <v>28901913.225224912</v>
      </c>
    </row>
    <row r="7902" spans="1:2" x14ac:dyDescent="0.25">
      <c r="A7902" s="65">
        <v>7901</v>
      </c>
      <c r="B7902" s="64">
        <v>29285263.584402513</v>
      </c>
    </row>
    <row r="7903" spans="1:2" x14ac:dyDescent="0.25">
      <c r="A7903" s="65">
        <v>7902</v>
      </c>
      <c r="B7903" s="64">
        <v>30790473.982526973</v>
      </c>
    </row>
    <row r="7904" spans="1:2" x14ac:dyDescent="0.25">
      <c r="A7904" s="65">
        <v>7903</v>
      </c>
      <c r="B7904" s="64">
        <v>28799643.005236164</v>
      </c>
    </row>
    <row r="7905" spans="1:2" x14ac:dyDescent="0.25">
      <c r="A7905" s="65">
        <v>7904</v>
      </c>
      <c r="B7905" s="64">
        <v>28660574.065000251</v>
      </c>
    </row>
    <row r="7906" spans="1:2" x14ac:dyDescent="0.25">
      <c r="A7906" s="65">
        <v>7905</v>
      </c>
      <c r="B7906" s="64">
        <v>28755432.465151843</v>
      </c>
    </row>
    <row r="7907" spans="1:2" x14ac:dyDescent="0.25">
      <c r="A7907" s="65">
        <v>7906</v>
      </c>
      <c r="B7907" s="64">
        <v>30202670.002181154</v>
      </c>
    </row>
    <row r="7908" spans="1:2" x14ac:dyDescent="0.25">
      <c r="A7908" s="65">
        <v>7907</v>
      </c>
      <c r="B7908" s="64">
        <v>29329696.883529365</v>
      </c>
    </row>
    <row r="7909" spans="1:2" x14ac:dyDescent="0.25">
      <c r="A7909" s="65">
        <v>7908</v>
      </c>
      <c r="B7909" s="64">
        <v>29057922.758502141</v>
      </c>
    </row>
    <row r="7910" spans="1:2" x14ac:dyDescent="0.25">
      <c r="A7910" s="65">
        <v>7909</v>
      </c>
      <c r="B7910" s="64">
        <v>29202304.959220119</v>
      </c>
    </row>
    <row r="7911" spans="1:2" x14ac:dyDescent="0.25">
      <c r="A7911" s="65">
        <v>7910</v>
      </c>
      <c r="B7911" s="64">
        <v>28889766.796336293</v>
      </c>
    </row>
    <row r="7912" spans="1:2" x14ac:dyDescent="0.25">
      <c r="A7912" s="65">
        <v>7911</v>
      </c>
      <c r="B7912" s="64">
        <v>28458248.265235227</v>
      </c>
    </row>
    <row r="7913" spans="1:2" x14ac:dyDescent="0.25">
      <c r="A7913" s="65">
        <v>7912</v>
      </c>
      <c r="B7913" s="64">
        <v>28752478.757512193</v>
      </c>
    </row>
    <row r="7914" spans="1:2" x14ac:dyDescent="0.25">
      <c r="A7914" s="65">
        <v>7913</v>
      </c>
      <c r="B7914" s="64">
        <v>28686703.221918941</v>
      </c>
    </row>
    <row r="7915" spans="1:2" x14ac:dyDescent="0.25">
      <c r="A7915" s="65">
        <v>7914</v>
      </c>
      <c r="B7915" s="64">
        <v>29888197.052616742</v>
      </c>
    </row>
    <row r="7916" spans="1:2" x14ac:dyDescent="0.25">
      <c r="A7916" s="65">
        <v>7915</v>
      </c>
      <c r="B7916" s="64">
        <v>28821896.368961863</v>
      </c>
    </row>
    <row r="7917" spans="1:2" x14ac:dyDescent="0.25">
      <c r="A7917" s="65">
        <v>7916</v>
      </c>
      <c r="B7917" s="64">
        <v>28675522.238045733</v>
      </c>
    </row>
    <row r="7918" spans="1:2" x14ac:dyDescent="0.25">
      <c r="A7918" s="65">
        <v>7917</v>
      </c>
      <c r="B7918" s="64">
        <v>28661039.71061122</v>
      </c>
    </row>
    <row r="7919" spans="1:2" x14ac:dyDescent="0.25">
      <c r="A7919" s="65">
        <v>7918</v>
      </c>
      <c r="B7919" s="64">
        <v>28818998.686047375</v>
      </c>
    </row>
    <row r="7920" spans="1:2" x14ac:dyDescent="0.25">
      <c r="A7920" s="65">
        <v>7919</v>
      </c>
      <c r="B7920" s="64">
        <v>30420641.604668472</v>
      </c>
    </row>
    <row r="7921" spans="1:2" x14ac:dyDescent="0.25">
      <c r="A7921" s="65">
        <v>7920</v>
      </c>
      <c r="B7921" s="64">
        <v>29913029.679607697</v>
      </c>
    </row>
    <row r="7922" spans="1:2" x14ac:dyDescent="0.25">
      <c r="A7922" s="65">
        <v>7921</v>
      </c>
      <c r="B7922" s="64">
        <v>30052646.9507006</v>
      </c>
    </row>
    <row r="7923" spans="1:2" x14ac:dyDescent="0.25">
      <c r="A7923" s="65">
        <v>7922</v>
      </c>
      <c r="B7923" s="64">
        <v>30318438.74125756</v>
      </c>
    </row>
    <row r="7924" spans="1:2" x14ac:dyDescent="0.25">
      <c r="A7924" s="65">
        <v>7923</v>
      </c>
      <c r="B7924" s="64">
        <v>29124176.062363118</v>
      </c>
    </row>
    <row r="7925" spans="1:2" x14ac:dyDescent="0.25">
      <c r="A7925" s="65">
        <v>7924</v>
      </c>
      <c r="B7925" s="64">
        <v>29078508.03476258</v>
      </c>
    </row>
    <row r="7926" spans="1:2" x14ac:dyDescent="0.25">
      <c r="A7926" s="65">
        <v>7925</v>
      </c>
      <c r="B7926" s="64">
        <v>28592873.305590305</v>
      </c>
    </row>
    <row r="7927" spans="1:2" x14ac:dyDescent="0.25">
      <c r="A7927" s="65">
        <v>7926</v>
      </c>
      <c r="B7927" s="64">
        <v>28978197.464556411</v>
      </c>
    </row>
    <row r="7928" spans="1:2" x14ac:dyDescent="0.25">
      <c r="A7928" s="65">
        <v>7927</v>
      </c>
      <c r="B7928" s="64">
        <v>29414446.226462349</v>
      </c>
    </row>
    <row r="7929" spans="1:2" x14ac:dyDescent="0.25">
      <c r="A7929" s="65">
        <v>7928</v>
      </c>
      <c r="B7929" s="64">
        <v>30156901.680416219</v>
      </c>
    </row>
    <row r="7930" spans="1:2" x14ac:dyDescent="0.25">
      <c r="A7930" s="65">
        <v>7929</v>
      </c>
      <c r="B7930" s="64">
        <v>29025665.262352895</v>
      </c>
    </row>
    <row r="7931" spans="1:2" x14ac:dyDescent="0.25">
      <c r="A7931" s="65">
        <v>7930</v>
      </c>
      <c r="B7931" s="64">
        <v>30258266.557434507</v>
      </c>
    </row>
    <row r="7932" spans="1:2" x14ac:dyDescent="0.25">
      <c r="A7932" s="65">
        <v>7931</v>
      </c>
      <c r="B7932" s="64">
        <v>28823541.400479265</v>
      </c>
    </row>
    <row r="7933" spans="1:2" x14ac:dyDescent="0.25">
      <c r="A7933" s="65">
        <v>7932</v>
      </c>
      <c r="B7933" s="64">
        <v>28851814.872158457</v>
      </c>
    </row>
    <row r="7934" spans="1:2" x14ac:dyDescent="0.25">
      <c r="A7934" s="65">
        <v>7933</v>
      </c>
      <c r="B7934" s="64">
        <v>28419556.253693931</v>
      </c>
    </row>
    <row r="7935" spans="1:2" x14ac:dyDescent="0.25">
      <c r="A7935" s="65">
        <v>7934</v>
      </c>
      <c r="B7935" s="64">
        <v>28886964.6647406</v>
      </c>
    </row>
    <row r="7936" spans="1:2" x14ac:dyDescent="0.25">
      <c r="A7936" s="65">
        <v>7935</v>
      </c>
      <c r="B7936" s="64">
        <v>28649450.063168544</v>
      </c>
    </row>
    <row r="7937" spans="1:2" x14ac:dyDescent="0.25">
      <c r="A7937" s="65">
        <v>7936</v>
      </c>
      <c r="B7937" s="64">
        <v>28948325.910750151</v>
      </c>
    </row>
    <row r="7938" spans="1:2" x14ac:dyDescent="0.25">
      <c r="A7938" s="65">
        <v>7937</v>
      </c>
      <c r="B7938" s="64">
        <v>28835622.012430392</v>
      </c>
    </row>
    <row r="7939" spans="1:2" x14ac:dyDescent="0.25">
      <c r="A7939" s="65">
        <v>7938</v>
      </c>
      <c r="B7939" s="64">
        <v>29179625.365810324</v>
      </c>
    </row>
    <row r="7940" spans="1:2" x14ac:dyDescent="0.25">
      <c r="A7940" s="65">
        <v>7939</v>
      </c>
      <c r="B7940" s="64">
        <v>28937000.14453543</v>
      </c>
    </row>
    <row r="7941" spans="1:2" x14ac:dyDescent="0.25">
      <c r="A7941" s="65">
        <v>7940</v>
      </c>
      <c r="B7941" s="64">
        <v>28528777.882756244</v>
      </c>
    </row>
    <row r="7942" spans="1:2" x14ac:dyDescent="0.25">
      <c r="A7942" s="65">
        <v>7941</v>
      </c>
      <c r="B7942" s="64">
        <v>29011186.111206073</v>
      </c>
    </row>
    <row r="7943" spans="1:2" x14ac:dyDescent="0.25">
      <c r="A7943" s="65">
        <v>7942</v>
      </c>
      <c r="B7943" s="64">
        <v>28750437.416605297</v>
      </c>
    </row>
    <row r="7944" spans="1:2" x14ac:dyDescent="0.25">
      <c r="A7944" s="65">
        <v>7943</v>
      </c>
      <c r="B7944" s="64">
        <v>28826194.706994414</v>
      </c>
    </row>
    <row r="7945" spans="1:2" x14ac:dyDescent="0.25">
      <c r="A7945" s="65">
        <v>7944</v>
      </c>
      <c r="B7945" s="64">
        <v>29008952.655408449</v>
      </c>
    </row>
    <row r="7946" spans="1:2" x14ac:dyDescent="0.25">
      <c r="A7946" s="65">
        <v>7945</v>
      </c>
      <c r="B7946" s="64">
        <v>28689413.617508385</v>
      </c>
    </row>
    <row r="7947" spans="1:2" x14ac:dyDescent="0.25">
      <c r="A7947" s="65">
        <v>7946</v>
      </c>
      <c r="B7947" s="64">
        <v>28825820.090854209</v>
      </c>
    </row>
    <row r="7948" spans="1:2" x14ac:dyDescent="0.25">
      <c r="A7948" s="65">
        <v>7947</v>
      </c>
      <c r="B7948" s="64">
        <v>28535135.307824533</v>
      </c>
    </row>
    <row r="7949" spans="1:2" x14ac:dyDescent="0.25">
      <c r="A7949" s="65">
        <v>7948</v>
      </c>
      <c r="B7949" s="64">
        <v>30389854.420182873</v>
      </c>
    </row>
    <row r="7950" spans="1:2" x14ac:dyDescent="0.25">
      <c r="A7950" s="65">
        <v>7949</v>
      </c>
      <c r="B7950" s="64">
        <v>30592701.097276084</v>
      </c>
    </row>
    <row r="7951" spans="1:2" x14ac:dyDescent="0.25">
      <c r="A7951" s="65">
        <v>7950</v>
      </c>
      <c r="B7951" s="64">
        <v>28498974.641822394</v>
      </c>
    </row>
    <row r="7952" spans="1:2" x14ac:dyDescent="0.25">
      <c r="A7952" s="65">
        <v>7951</v>
      </c>
      <c r="B7952" s="64">
        <v>28844483.935654547</v>
      </c>
    </row>
    <row r="7953" spans="1:2" x14ac:dyDescent="0.25">
      <c r="A7953" s="65">
        <v>7952</v>
      </c>
      <c r="B7953" s="64">
        <v>28646835.364089713</v>
      </c>
    </row>
    <row r="7954" spans="1:2" x14ac:dyDescent="0.25">
      <c r="A7954" s="65">
        <v>7953</v>
      </c>
      <c r="B7954" s="64">
        <v>29183380.371934187</v>
      </c>
    </row>
    <row r="7955" spans="1:2" x14ac:dyDescent="0.25">
      <c r="A7955" s="65">
        <v>7954</v>
      </c>
      <c r="B7955" s="64">
        <v>28943052.587016154</v>
      </c>
    </row>
    <row r="7956" spans="1:2" x14ac:dyDescent="0.25">
      <c r="A7956" s="65">
        <v>7955</v>
      </c>
      <c r="B7956" s="64">
        <v>29243082.166233588</v>
      </c>
    </row>
    <row r="7957" spans="1:2" x14ac:dyDescent="0.25">
      <c r="A7957" s="65">
        <v>7956</v>
      </c>
      <c r="B7957" s="64">
        <v>29195335.913832802</v>
      </c>
    </row>
    <row r="7958" spans="1:2" x14ac:dyDescent="0.25">
      <c r="A7958" s="65">
        <v>7957</v>
      </c>
      <c r="B7958" s="64">
        <v>31513429.568320949</v>
      </c>
    </row>
    <row r="7959" spans="1:2" x14ac:dyDescent="0.25">
      <c r="A7959" s="65">
        <v>7958</v>
      </c>
      <c r="B7959" s="64">
        <v>29145049.95206194</v>
      </c>
    </row>
    <row r="7960" spans="1:2" x14ac:dyDescent="0.25">
      <c r="A7960" s="65">
        <v>7959</v>
      </c>
      <c r="B7960" s="64">
        <v>29193936.050950862</v>
      </c>
    </row>
    <row r="7961" spans="1:2" x14ac:dyDescent="0.25">
      <c r="A7961" s="65">
        <v>7960</v>
      </c>
      <c r="B7961" s="64">
        <v>30183994.812184215</v>
      </c>
    </row>
    <row r="7962" spans="1:2" x14ac:dyDescent="0.25">
      <c r="A7962" s="65">
        <v>7961</v>
      </c>
      <c r="B7962" s="64">
        <v>28607274.274369083</v>
      </c>
    </row>
    <row r="7963" spans="1:2" x14ac:dyDescent="0.25">
      <c r="A7963" s="65">
        <v>7962</v>
      </c>
      <c r="B7963" s="64">
        <v>29458114.898521036</v>
      </c>
    </row>
    <row r="7964" spans="1:2" x14ac:dyDescent="0.25">
      <c r="A7964" s="65">
        <v>7963</v>
      </c>
      <c r="B7964" s="64">
        <v>29142161.240468901</v>
      </c>
    </row>
    <row r="7965" spans="1:2" x14ac:dyDescent="0.25">
      <c r="A7965" s="65">
        <v>7964</v>
      </c>
      <c r="B7965" s="64">
        <v>28816556.978450075</v>
      </c>
    </row>
    <row r="7966" spans="1:2" x14ac:dyDescent="0.25">
      <c r="A7966" s="65">
        <v>7965</v>
      </c>
      <c r="B7966" s="64">
        <v>28683102.85049725</v>
      </c>
    </row>
    <row r="7967" spans="1:2" x14ac:dyDescent="0.25">
      <c r="A7967" s="65">
        <v>7966</v>
      </c>
      <c r="B7967" s="64">
        <v>28751674.417181868</v>
      </c>
    </row>
    <row r="7968" spans="1:2" x14ac:dyDescent="0.25">
      <c r="A7968" s="65">
        <v>7967</v>
      </c>
      <c r="B7968" s="64">
        <v>28652705.467006639</v>
      </c>
    </row>
    <row r="7969" spans="1:2" x14ac:dyDescent="0.25">
      <c r="A7969" s="65">
        <v>7968</v>
      </c>
      <c r="B7969" s="64">
        <v>28839533.255707312</v>
      </c>
    </row>
    <row r="7970" spans="1:2" x14ac:dyDescent="0.25">
      <c r="A7970" s="65">
        <v>7969</v>
      </c>
      <c r="B7970" s="64">
        <v>28762732.045710843</v>
      </c>
    </row>
    <row r="7971" spans="1:2" x14ac:dyDescent="0.25">
      <c r="A7971" s="65">
        <v>7970</v>
      </c>
      <c r="B7971" s="64">
        <v>29602910.05599473</v>
      </c>
    </row>
    <row r="7972" spans="1:2" x14ac:dyDescent="0.25">
      <c r="A7972" s="65">
        <v>7971</v>
      </c>
      <c r="B7972" s="64">
        <v>29394560.798295148</v>
      </c>
    </row>
    <row r="7973" spans="1:2" x14ac:dyDescent="0.25">
      <c r="A7973" s="65">
        <v>7972</v>
      </c>
      <c r="B7973" s="64">
        <v>28918170.559181482</v>
      </c>
    </row>
    <row r="7974" spans="1:2" x14ac:dyDescent="0.25">
      <c r="A7974" s="65">
        <v>7973</v>
      </c>
      <c r="B7974" s="64">
        <v>29098863.051441632</v>
      </c>
    </row>
    <row r="7975" spans="1:2" x14ac:dyDescent="0.25">
      <c r="A7975" s="65">
        <v>7974</v>
      </c>
      <c r="B7975" s="64">
        <v>29104263.720854979</v>
      </c>
    </row>
    <row r="7976" spans="1:2" x14ac:dyDescent="0.25">
      <c r="A7976" s="65">
        <v>7975</v>
      </c>
      <c r="B7976" s="64">
        <v>29004276.804529045</v>
      </c>
    </row>
    <row r="7977" spans="1:2" x14ac:dyDescent="0.25">
      <c r="A7977" s="65">
        <v>7976</v>
      </c>
      <c r="B7977" s="64">
        <v>30496753.517946701</v>
      </c>
    </row>
    <row r="7978" spans="1:2" x14ac:dyDescent="0.25">
      <c r="A7978" s="65">
        <v>7977</v>
      </c>
      <c r="B7978" s="64">
        <v>29362774.6663878</v>
      </c>
    </row>
    <row r="7979" spans="1:2" x14ac:dyDescent="0.25">
      <c r="A7979" s="65">
        <v>7978</v>
      </c>
      <c r="B7979" s="64">
        <v>29350839.693195809</v>
      </c>
    </row>
    <row r="7980" spans="1:2" x14ac:dyDescent="0.25">
      <c r="A7980" s="65">
        <v>7979</v>
      </c>
      <c r="B7980" s="64">
        <v>29434839.293961398</v>
      </c>
    </row>
    <row r="7981" spans="1:2" x14ac:dyDescent="0.25">
      <c r="A7981" s="65">
        <v>7980</v>
      </c>
      <c r="B7981" s="64">
        <v>29622861.452577796</v>
      </c>
    </row>
    <row r="7982" spans="1:2" x14ac:dyDescent="0.25">
      <c r="A7982" s="65">
        <v>7981</v>
      </c>
      <c r="B7982" s="64">
        <v>29853044.296615228</v>
      </c>
    </row>
    <row r="7983" spans="1:2" x14ac:dyDescent="0.25">
      <c r="A7983" s="65">
        <v>7982</v>
      </c>
      <c r="B7983" s="64">
        <v>29890801.662182681</v>
      </c>
    </row>
    <row r="7984" spans="1:2" x14ac:dyDescent="0.25">
      <c r="A7984" s="65">
        <v>7983</v>
      </c>
      <c r="B7984" s="64">
        <v>29782489.799859643</v>
      </c>
    </row>
    <row r="7985" spans="1:2" x14ac:dyDescent="0.25">
      <c r="A7985" s="65">
        <v>7984</v>
      </c>
      <c r="B7985" s="64">
        <v>28812137.696628619</v>
      </c>
    </row>
    <row r="7986" spans="1:2" x14ac:dyDescent="0.25">
      <c r="A7986" s="65">
        <v>7985</v>
      </c>
      <c r="B7986" s="64">
        <v>28764017.212054946</v>
      </c>
    </row>
    <row r="7987" spans="1:2" x14ac:dyDescent="0.25">
      <c r="A7987" s="65">
        <v>7986</v>
      </c>
      <c r="B7987" s="64">
        <v>30719586.116657898</v>
      </c>
    </row>
    <row r="7988" spans="1:2" x14ac:dyDescent="0.25">
      <c r="A7988" s="65">
        <v>7987</v>
      </c>
      <c r="B7988" s="64">
        <v>30182437.604041964</v>
      </c>
    </row>
    <row r="7989" spans="1:2" x14ac:dyDescent="0.25">
      <c r="A7989" s="65">
        <v>7988</v>
      </c>
      <c r="B7989" s="64">
        <v>30337663.116727091</v>
      </c>
    </row>
    <row r="7990" spans="1:2" x14ac:dyDescent="0.25">
      <c r="A7990" s="65">
        <v>7989</v>
      </c>
      <c r="B7990" s="64">
        <v>29776608.419072472</v>
      </c>
    </row>
    <row r="7991" spans="1:2" x14ac:dyDescent="0.25">
      <c r="A7991" s="65">
        <v>7990</v>
      </c>
      <c r="B7991" s="64">
        <v>29022854.642678212</v>
      </c>
    </row>
    <row r="7992" spans="1:2" x14ac:dyDescent="0.25">
      <c r="A7992" s="65">
        <v>7991</v>
      </c>
      <c r="B7992" s="64">
        <v>28865253.573538844</v>
      </c>
    </row>
    <row r="7993" spans="1:2" x14ac:dyDescent="0.25">
      <c r="A7993" s="65">
        <v>7992</v>
      </c>
      <c r="B7993" s="64">
        <v>29470949.430727363</v>
      </c>
    </row>
    <row r="7994" spans="1:2" x14ac:dyDescent="0.25">
      <c r="A7994" s="65">
        <v>7993</v>
      </c>
      <c r="B7994" s="64">
        <v>29117397.035629403</v>
      </c>
    </row>
    <row r="7995" spans="1:2" x14ac:dyDescent="0.25">
      <c r="A7995" s="65">
        <v>7994</v>
      </c>
      <c r="B7995" s="64">
        <v>28856794.926447414</v>
      </c>
    </row>
    <row r="7996" spans="1:2" x14ac:dyDescent="0.25">
      <c r="A7996" s="65">
        <v>7995</v>
      </c>
      <c r="B7996" s="64">
        <v>28911515.286561675</v>
      </c>
    </row>
    <row r="7997" spans="1:2" x14ac:dyDescent="0.25">
      <c r="A7997" s="65">
        <v>7996</v>
      </c>
      <c r="B7997" s="64">
        <v>29170895.625481851</v>
      </c>
    </row>
    <row r="7998" spans="1:2" x14ac:dyDescent="0.25">
      <c r="A7998" s="65">
        <v>7997</v>
      </c>
      <c r="B7998" s="64">
        <v>29274053.555680823</v>
      </c>
    </row>
    <row r="7999" spans="1:2" x14ac:dyDescent="0.25">
      <c r="A7999" s="65">
        <v>7998</v>
      </c>
      <c r="B7999" s="64">
        <v>30400518.404315796</v>
      </c>
    </row>
    <row r="8000" spans="1:2" x14ac:dyDescent="0.25">
      <c r="A8000" s="65">
        <v>7999</v>
      </c>
      <c r="B8000" s="64">
        <v>28802776.630646091</v>
      </c>
    </row>
    <row r="8001" spans="1:2" x14ac:dyDescent="0.25">
      <c r="A8001" s="65">
        <v>8000</v>
      </c>
      <c r="B8001" s="64">
        <v>28988398.500053223</v>
      </c>
    </row>
    <row r="8002" spans="1:2" x14ac:dyDescent="0.25">
      <c r="A8002" s="65">
        <v>8001</v>
      </c>
      <c r="B8002" s="64">
        <v>28823868.563928682</v>
      </c>
    </row>
    <row r="8003" spans="1:2" x14ac:dyDescent="0.25">
      <c r="A8003" s="65">
        <v>8002</v>
      </c>
      <c r="B8003" s="64">
        <v>29650723.768694762</v>
      </c>
    </row>
    <row r="8004" spans="1:2" x14ac:dyDescent="0.25">
      <c r="A8004" s="65">
        <v>8003</v>
      </c>
      <c r="B8004" s="64">
        <v>28984313.968645941</v>
      </c>
    </row>
    <row r="8005" spans="1:2" x14ac:dyDescent="0.25">
      <c r="A8005" s="65">
        <v>8004</v>
      </c>
      <c r="B8005" s="64">
        <v>28565779.444209173</v>
      </c>
    </row>
    <row r="8006" spans="1:2" x14ac:dyDescent="0.25">
      <c r="A8006" s="65">
        <v>8005</v>
      </c>
      <c r="B8006" s="64">
        <v>28673149.067826502</v>
      </c>
    </row>
    <row r="8007" spans="1:2" x14ac:dyDescent="0.25">
      <c r="A8007" s="65">
        <v>8006</v>
      </c>
      <c r="B8007" s="64">
        <v>30268505.725944526</v>
      </c>
    </row>
    <row r="8008" spans="1:2" x14ac:dyDescent="0.25">
      <c r="A8008" s="65">
        <v>8007</v>
      </c>
      <c r="B8008" s="64">
        <v>28886979.972460501</v>
      </c>
    </row>
    <row r="8009" spans="1:2" x14ac:dyDescent="0.25">
      <c r="A8009" s="65">
        <v>8008</v>
      </c>
      <c r="B8009" s="64">
        <v>29365724.24512361</v>
      </c>
    </row>
    <row r="8010" spans="1:2" x14ac:dyDescent="0.25">
      <c r="A8010" s="65">
        <v>8009</v>
      </c>
      <c r="B8010" s="64">
        <v>29351600.857222483</v>
      </c>
    </row>
    <row r="8011" spans="1:2" x14ac:dyDescent="0.25">
      <c r="A8011" s="65">
        <v>8010</v>
      </c>
      <c r="B8011" s="64">
        <v>29222022.097841173</v>
      </c>
    </row>
    <row r="8012" spans="1:2" x14ac:dyDescent="0.25">
      <c r="A8012" s="65">
        <v>8011</v>
      </c>
      <c r="B8012" s="64">
        <v>29018073.563626725</v>
      </c>
    </row>
    <row r="8013" spans="1:2" x14ac:dyDescent="0.25">
      <c r="A8013" s="65">
        <v>8012</v>
      </c>
      <c r="B8013" s="64">
        <v>29179095.180727761</v>
      </c>
    </row>
    <row r="8014" spans="1:2" x14ac:dyDescent="0.25">
      <c r="A8014" s="65">
        <v>8013</v>
      </c>
      <c r="B8014" s="64">
        <v>28584192.34337195</v>
      </c>
    </row>
    <row r="8015" spans="1:2" x14ac:dyDescent="0.25">
      <c r="A8015" s="65">
        <v>8014</v>
      </c>
      <c r="B8015" s="64">
        <v>28633283.886431143</v>
      </c>
    </row>
    <row r="8016" spans="1:2" x14ac:dyDescent="0.25">
      <c r="A8016" s="65">
        <v>8015</v>
      </c>
      <c r="B8016" s="64">
        <v>28363442.23897437</v>
      </c>
    </row>
    <row r="8017" spans="1:2" x14ac:dyDescent="0.25">
      <c r="A8017" s="65">
        <v>8016</v>
      </c>
      <c r="B8017" s="64">
        <v>29053560.235440895</v>
      </c>
    </row>
    <row r="8018" spans="1:2" x14ac:dyDescent="0.25">
      <c r="A8018" s="65">
        <v>8017</v>
      </c>
      <c r="B8018" s="64">
        <v>30976713.741996605</v>
      </c>
    </row>
    <row r="8019" spans="1:2" x14ac:dyDescent="0.25">
      <c r="A8019" s="65">
        <v>8018</v>
      </c>
      <c r="B8019" s="64">
        <v>29176637.704724751</v>
      </c>
    </row>
    <row r="8020" spans="1:2" x14ac:dyDescent="0.25">
      <c r="A8020" s="65">
        <v>8019</v>
      </c>
      <c r="B8020" s="64">
        <v>30331404.184682392</v>
      </c>
    </row>
    <row r="8021" spans="1:2" x14ac:dyDescent="0.25">
      <c r="A8021" s="65">
        <v>8020</v>
      </c>
      <c r="B8021" s="64">
        <v>29647679.807476155</v>
      </c>
    </row>
    <row r="8022" spans="1:2" x14ac:dyDescent="0.25">
      <c r="A8022" s="65">
        <v>8021</v>
      </c>
      <c r="B8022" s="64">
        <v>32995703.081245646</v>
      </c>
    </row>
    <row r="8023" spans="1:2" x14ac:dyDescent="0.25">
      <c r="A8023" s="65">
        <v>8022</v>
      </c>
      <c r="B8023" s="64">
        <v>28658819.008071553</v>
      </c>
    </row>
    <row r="8024" spans="1:2" x14ac:dyDescent="0.25">
      <c r="A8024" s="65">
        <v>8023</v>
      </c>
      <c r="B8024" s="64">
        <v>28626218.080480196</v>
      </c>
    </row>
    <row r="8025" spans="1:2" x14ac:dyDescent="0.25">
      <c r="A8025" s="65">
        <v>8024</v>
      </c>
      <c r="B8025" s="64">
        <v>29546858.537518717</v>
      </c>
    </row>
    <row r="8026" spans="1:2" x14ac:dyDescent="0.25">
      <c r="A8026" s="65">
        <v>8025</v>
      </c>
      <c r="B8026" s="64">
        <v>28667790.282214407</v>
      </c>
    </row>
    <row r="8027" spans="1:2" x14ac:dyDescent="0.25">
      <c r="A8027" s="65">
        <v>8026</v>
      </c>
      <c r="B8027" s="64">
        <v>28891883.482445557</v>
      </c>
    </row>
    <row r="8028" spans="1:2" x14ac:dyDescent="0.25">
      <c r="A8028" s="65">
        <v>8027</v>
      </c>
      <c r="B8028" s="64">
        <v>30083796.203484777</v>
      </c>
    </row>
    <row r="8029" spans="1:2" x14ac:dyDescent="0.25">
      <c r="A8029" s="65">
        <v>8028</v>
      </c>
      <c r="B8029" s="64">
        <v>28828228.212002516</v>
      </c>
    </row>
    <row r="8030" spans="1:2" x14ac:dyDescent="0.25">
      <c r="A8030" s="65">
        <v>8029</v>
      </c>
      <c r="B8030" s="64">
        <v>28336402.837273579</v>
      </c>
    </row>
    <row r="8031" spans="1:2" x14ac:dyDescent="0.25">
      <c r="A8031" s="65">
        <v>8030</v>
      </c>
      <c r="B8031" s="64">
        <v>28960379.638023913</v>
      </c>
    </row>
    <row r="8032" spans="1:2" x14ac:dyDescent="0.25">
      <c r="A8032" s="65">
        <v>8031</v>
      </c>
      <c r="B8032" s="64">
        <v>29004934.734628808</v>
      </c>
    </row>
    <row r="8033" spans="1:2" x14ac:dyDescent="0.25">
      <c r="A8033" s="65">
        <v>8032</v>
      </c>
      <c r="B8033" s="64">
        <v>31544850.736780878</v>
      </c>
    </row>
    <row r="8034" spans="1:2" x14ac:dyDescent="0.25">
      <c r="A8034" s="65">
        <v>8033</v>
      </c>
      <c r="B8034" s="64">
        <v>28703401.521027904</v>
      </c>
    </row>
    <row r="8035" spans="1:2" x14ac:dyDescent="0.25">
      <c r="A8035" s="65">
        <v>8034</v>
      </c>
      <c r="B8035" s="64">
        <v>28795541.878622495</v>
      </c>
    </row>
    <row r="8036" spans="1:2" x14ac:dyDescent="0.25">
      <c r="A8036" s="65">
        <v>8035</v>
      </c>
      <c r="B8036" s="64">
        <v>28527022.008907292</v>
      </c>
    </row>
    <row r="8037" spans="1:2" x14ac:dyDescent="0.25">
      <c r="A8037" s="65">
        <v>8036</v>
      </c>
      <c r="B8037" s="64">
        <v>29185026.381312426</v>
      </c>
    </row>
    <row r="8038" spans="1:2" x14ac:dyDescent="0.25">
      <c r="A8038" s="65">
        <v>8037</v>
      </c>
      <c r="B8038" s="64">
        <v>28724591.973076358</v>
      </c>
    </row>
    <row r="8039" spans="1:2" x14ac:dyDescent="0.25">
      <c r="A8039" s="65">
        <v>8038</v>
      </c>
      <c r="B8039" s="64">
        <v>29630201.290534247</v>
      </c>
    </row>
    <row r="8040" spans="1:2" x14ac:dyDescent="0.25">
      <c r="A8040" s="65">
        <v>8039</v>
      </c>
      <c r="B8040" s="64">
        <v>29484697.648432013</v>
      </c>
    </row>
    <row r="8041" spans="1:2" x14ac:dyDescent="0.25">
      <c r="A8041" s="65">
        <v>8040</v>
      </c>
      <c r="B8041" s="64">
        <v>29347959.13901959</v>
      </c>
    </row>
    <row r="8042" spans="1:2" x14ac:dyDescent="0.25">
      <c r="A8042" s="65">
        <v>8041</v>
      </c>
      <c r="B8042" s="64">
        <v>30224618.582360182</v>
      </c>
    </row>
    <row r="8043" spans="1:2" x14ac:dyDescent="0.25">
      <c r="A8043" s="65">
        <v>8042</v>
      </c>
      <c r="B8043" s="64">
        <v>28888126.116499394</v>
      </c>
    </row>
    <row r="8044" spans="1:2" x14ac:dyDescent="0.25">
      <c r="A8044" s="65">
        <v>8043</v>
      </c>
      <c r="B8044" s="64">
        <v>28917967.172565684</v>
      </c>
    </row>
    <row r="8045" spans="1:2" x14ac:dyDescent="0.25">
      <c r="A8045" s="65">
        <v>8044</v>
      </c>
      <c r="B8045" s="64">
        <v>29249149.355133671</v>
      </c>
    </row>
    <row r="8046" spans="1:2" x14ac:dyDescent="0.25">
      <c r="A8046" s="65">
        <v>8045</v>
      </c>
      <c r="B8046" s="64">
        <v>29747381.038460415</v>
      </c>
    </row>
    <row r="8047" spans="1:2" x14ac:dyDescent="0.25">
      <c r="A8047" s="65">
        <v>8046</v>
      </c>
      <c r="B8047" s="64">
        <v>29563295.906379212</v>
      </c>
    </row>
    <row r="8048" spans="1:2" x14ac:dyDescent="0.25">
      <c r="A8048" s="65">
        <v>8047</v>
      </c>
      <c r="B8048" s="64">
        <v>29469667.014526993</v>
      </c>
    </row>
    <row r="8049" spans="1:2" x14ac:dyDescent="0.25">
      <c r="A8049" s="65">
        <v>8048</v>
      </c>
      <c r="B8049" s="64">
        <v>29308076.733270198</v>
      </c>
    </row>
    <row r="8050" spans="1:2" x14ac:dyDescent="0.25">
      <c r="A8050" s="65">
        <v>8049</v>
      </c>
      <c r="B8050" s="64">
        <v>28732702.238153305</v>
      </c>
    </row>
    <row r="8051" spans="1:2" x14ac:dyDescent="0.25">
      <c r="A8051" s="65">
        <v>8050</v>
      </c>
      <c r="B8051" s="64">
        <v>28892995.645594493</v>
      </c>
    </row>
    <row r="8052" spans="1:2" x14ac:dyDescent="0.25">
      <c r="A8052" s="65">
        <v>8051</v>
      </c>
      <c r="B8052" s="64">
        <v>33247651.820487119</v>
      </c>
    </row>
    <row r="8053" spans="1:2" x14ac:dyDescent="0.25">
      <c r="A8053" s="65">
        <v>8052</v>
      </c>
      <c r="B8053" s="64">
        <v>31816354.133818667</v>
      </c>
    </row>
    <row r="8054" spans="1:2" x14ac:dyDescent="0.25">
      <c r="A8054" s="65">
        <v>8053</v>
      </c>
      <c r="B8054" s="64">
        <v>29098184.595772788</v>
      </c>
    </row>
    <row r="8055" spans="1:2" x14ac:dyDescent="0.25">
      <c r="A8055" s="65">
        <v>8054</v>
      </c>
      <c r="B8055" s="64">
        <v>28798442.439736411</v>
      </c>
    </row>
    <row r="8056" spans="1:2" x14ac:dyDescent="0.25">
      <c r="A8056" s="65">
        <v>8055</v>
      </c>
      <c r="B8056" s="64">
        <v>28793689.823369108</v>
      </c>
    </row>
    <row r="8057" spans="1:2" x14ac:dyDescent="0.25">
      <c r="A8057" s="65">
        <v>8056</v>
      </c>
      <c r="B8057" s="64">
        <v>29091421.841769449</v>
      </c>
    </row>
    <row r="8058" spans="1:2" x14ac:dyDescent="0.25">
      <c r="A8058" s="65">
        <v>8057</v>
      </c>
      <c r="B8058" s="64">
        <v>33046085.926668853</v>
      </c>
    </row>
    <row r="8059" spans="1:2" x14ac:dyDescent="0.25">
      <c r="A8059" s="65">
        <v>8058</v>
      </c>
      <c r="B8059" s="64">
        <v>34934670.210825376</v>
      </c>
    </row>
    <row r="8060" spans="1:2" x14ac:dyDescent="0.25">
      <c r="A8060" s="65">
        <v>8059</v>
      </c>
      <c r="B8060" s="64">
        <v>28752892.925347995</v>
      </c>
    </row>
    <row r="8061" spans="1:2" x14ac:dyDescent="0.25">
      <c r="A8061" s="65">
        <v>8060</v>
      </c>
      <c r="B8061" s="64">
        <v>29238413.872274596</v>
      </c>
    </row>
    <row r="8062" spans="1:2" x14ac:dyDescent="0.25">
      <c r="A8062" s="65">
        <v>8061</v>
      </c>
      <c r="B8062" s="64">
        <v>29281528.075672999</v>
      </c>
    </row>
    <row r="8063" spans="1:2" x14ac:dyDescent="0.25">
      <c r="A8063" s="65">
        <v>8062</v>
      </c>
      <c r="B8063" s="64">
        <v>29145795.789004397</v>
      </c>
    </row>
    <row r="8064" spans="1:2" x14ac:dyDescent="0.25">
      <c r="A8064" s="65">
        <v>8063</v>
      </c>
      <c r="B8064" s="64">
        <v>28448334.264356833</v>
      </c>
    </row>
    <row r="8065" spans="1:2" x14ac:dyDescent="0.25">
      <c r="A8065" s="65">
        <v>8064</v>
      </c>
      <c r="B8065" s="64">
        <v>29221567.849871457</v>
      </c>
    </row>
    <row r="8066" spans="1:2" x14ac:dyDescent="0.25">
      <c r="A8066" s="65">
        <v>8065</v>
      </c>
      <c r="B8066" s="64">
        <v>29641334.633888759</v>
      </c>
    </row>
    <row r="8067" spans="1:2" x14ac:dyDescent="0.25">
      <c r="A8067" s="65">
        <v>8066</v>
      </c>
      <c r="B8067" s="64">
        <v>30439665.19216926</v>
      </c>
    </row>
    <row r="8068" spans="1:2" x14ac:dyDescent="0.25">
      <c r="A8068" s="65">
        <v>8067</v>
      </c>
      <c r="B8068" s="64">
        <v>28932515.364573877</v>
      </c>
    </row>
    <row r="8069" spans="1:2" x14ac:dyDescent="0.25">
      <c r="A8069" s="65">
        <v>8068</v>
      </c>
      <c r="B8069" s="64">
        <v>28915193.66216315</v>
      </c>
    </row>
    <row r="8070" spans="1:2" x14ac:dyDescent="0.25">
      <c r="A8070" s="65">
        <v>8069</v>
      </c>
      <c r="B8070" s="64">
        <v>28968378.239406433</v>
      </c>
    </row>
    <row r="8071" spans="1:2" x14ac:dyDescent="0.25">
      <c r="A8071" s="65">
        <v>8070</v>
      </c>
      <c r="B8071" s="64">
        <v>28749446.496737745</v>
      </c>
    </row>
    <row r="8072" spans="1:2" x14ac:dyDescent="0.25">
      <c r="A8072" s="65">
        <v>8071</v>
      </c>
      <c r="B8072" s="64">
        <v>29018490.932890333</v>
      </c>
    </row>
    <row r="8073" spans="1:2" x14ac:dyDescent="0.25">
      <c r="A8073" s="65">
        <v>8072</v>
      </c>
      <c r="B8073" s="64">
        <v>31871381.562795404</v>
      </c>
    </row>
    <row r="8074" spans="1:2" x14ac:dyDescent="0.25">
      <c r="A8074" s="65">
        <v>8073</v>
      </c>
      <c r="B8074" s="64">
        <v>28722414.271086887</v>
      </c>
    </row>
    <row r="8075" spans="1:2" x14ac:dyDescent="0.25">
      <c r="A8075" s="65">
        <v>8074</v>
      </c>
      <c r="B8075" s="64">
        <v>29356718.421658229</v>
      </c>
    </row>
    <row r="8076" spans="1:2" x14ac:dyDescent="0.25">
      <c r="A8076" s="65">
        <v>8075</v>
      </c>
      <c r="B8076" s="64">
        <v>30114376.387087416</v>
      </c>
    </row>
    <row r="8077" spans="1:2" x14ac:dyDescent="0.25">
      <c r="A8077" s="65">
        <v>8076</v>
      </c>
      <c r="B8077" s="64">
        <v>28906642.32423554</v>
      </c>
    </row>
    <row r="8078" spans="1:2" x14ac:dyDescent="0.25">
      <c r="A8078" s="65">
        <v>8077</v>
      </c>
      <c r="B8078" s="64">
        <v>29126598.871583689</v>
      </c>
    </row>
    <row r="8079" spans="1:2" x14ac:dyDescent="0.25">
      <c r="A8079" s="65">
        <v>8078</v>
      </c>
      <c r="B8079" s="64">
        <v>28649464.779431991</v>
      </c>
    </row>
    <row r="8080" spans="1:2" x14ac:dyDescent="0.25">
      <c r="A8080" s="65">
        <v>8079</v>
      </c>
      <c r="B8080" s="64">
        <v>28445649.409834825</v>
      </c>
    </row>
    <row r="8081" spans="1:2" x14ac:dyDescent="0.25">
      <c r="A8081" s="65">
        <v>8080</v>
      </c>
      <c r="B8081" s="64">
        <v>29604680.897229582</v>
      </c>
    </row>
    <row r="8082" spans="1:2" x14ac:dyDescent="0.25">
      <c r="A8082" s="65">
        <v>8081</v>
      </c>
      <c r="B8082" s="64">
        <v>29673912.521722354</v>
      </c>
    </row>
    <row r="8083" spans="1:2" x14ac:dyDescent="0.25">
      <c r="A8083" s="65">
        <v>8082</v>
      </c>
      <c r="B8083" s="64">
        <v>28452799.306373756</v>
      </c>
    </row>
    <row r="8084" spans="1:2" x14ac:dyDescent="0.25">
      <c r="A8084" s="65">
        <v>8083</v>
      </c>
      <c r="B8084" s="64">
        <v>33252493.481783234</v>
      </c>
    </row>
    <row r="8085" spans="1:2" x14ac:dyDescent="0.25">
      <c r="A8085" s="65">
        <v>8084</v>
      </c>
      <c r="B8085" s="64">
        <v>28690584.451321583</v>
      </c>
    </row>
    <row r="8086" spans="1:2" x14ac:dyDescent="0.25">
      <c r="A8086" s="65">
        <v>8085</v>
      </c>
      <c r="B8086" s="64">
        <v>33326966.797817558</v>
      </c>
    </row>
    <row r="8087" spans="1:2" x14ac:dyDescent="0.25">
      <c r="A8087" s="65">
        <v>8086</v>
      </c>
      <c r="B8087" s="64">
        <v>29184003.550478976</v>
      </c>
    </row>
    <row r="8088" spans="1:2" x14ac:dyDescent="0.25">
      <c r="A8088" s="65">
        <v>8087</v>
      </c>
      <c r="B8088" s="64">
        <v>28556162.521126308</v>
      </c>
    </row>
    <row r="8089" spans="1:2" x14ac:dyDescent="0.25">
      <c r="A8089" s="65">
        <v>8088</v>
      </c>
      <c r="B8089" s="64">
        <v>28765568.076321416</v>
      </c>
    </row>
    <row r="8090" spans="1:2" x14ac:dyDescent="0.25">
      <c r="A8090" s="65">
        <v>8089</v>
      </c>
      <c r="B8090" s="64">
        <v>29413823.319402643</v>
      </c>
    </row>
    <row r="8091" spans="1:2" x14ac:dyDescent="0.25">
      <c r="A8091" s="65">
        <v>8090</v>
      </c>
      <c r="B8091" s="64">
        <v>29018932.691055868</v>
      </c>
    </row>
    <row r="8092" spans="1:2" x14ac:dyDescent="0.25">
      <c r="A8092" s="65">
        <v>8091</v>
      </c>
      <c r="B8092" s="64">
        <v>30575777.801556595</v>
      </c>
    </row>
    <row r="8093" spans="1:2" x14ac:dyDescent="0.25">
      <c r="A8093" s="65">
        <v>8092</v>
      </c>
      <c r="B8093" s="64">
        <v>30157964.334669266</v>
      </c>
    </row>
    <row r="8094" spans="1:2" x14ac:dyDescent="0.25">
      <c r="A8094" s="65">
        <v>8093</v>
      </c>
      <c r="B8094" s="64">
        <v>29594117.281043816</v>
      </c>
    </row>
    <row r="8095" spans="1:2" x14ac:dyDescent="0.25">
      <c r="A8095" s="65">
        <v>8094</v>
      </c>
      <c r="B8095" s="64">
        <v>29342783.46251021</v>
      </c>
    </row>
    <row r="8096" spans="1:2" x14ac:dyDescent="0.25">
      <c r="A8096" s="65">
        <v>8095</v>
      </c>
      <c r="B8096" s="64">
        <v>29754463.618931241</v>
      </c>
    </row>
    <row r="8097" spans="1:2" x14ac:dyDescent="0.25">
      <c r="A8097" s="65">
        <v>8096</v>
      </c>
      <c r="B8097" s="64">
        <v>28938397.421536837</v>
      </c>
    </row>
    <row r="8098" spans="1:2" x14ac:dyDescent="0.25">
      <c r="A8098" s="65">
        <v>8097</v>
      </c>
      <c r="B8098" s="64">
        <v>30580129.239370905</v>
      </c>
    </row>
    <row r="8099" spans="1:2" x14ac:dyDescent="0.25">
      <c r="A8099" s="65">
        <v>8098</v>
      </c>
      <c r="B8099" s="64">
        <v>28761711.343752448</v>
      </c>
    </row>
    <row r="8100" spans="1:2" x14ac:dyDescent="0.25">
      <c r="A8100" s="65">
        <v>8099</v>
      </c>
      <c r="B8100" s="64">
        <v>29203468.684819389</v>
      </c>
    </row>
    <row r="8101" spans="1:2" x14ac:dyDescent="0.25">
      <c r="A8101" s="65">
        <v>8100</v>
      </c>
      <c r="B8101" s="64">
        <v>29518470.178158808</v>
      </c>
    </row>
    <row r="8102" spans="1:2" x14ac:dyDescent="0.25">
      <c r="A8102" s="65">
        <v>8101</v>
      </c>
      <c r="B8102" s="64">
        <v>28353989.150680196</v>
      </c>
    </row>
    <row r="8103" spans="1:2" x14ac:dyDescent="0.25">
      <c r="A8103" s="65">
        <v>8102</v>
      </c>
      <c r="B8103" s="64">
        <v>29777119.9601027</v>
      </c>
    </row>
    <row r="8104" spans="1:2" x14ac:dyDescent="0.25">
      <c r="A8104" s="65">
        <v>8103</v>
      </c>
      <c r="B8104" s="64">
        <v>28433445.232025877</v>
      </c>
    </row>
    <row r="8105" spans="1:2" x14ac:dyDescent="0.25">
      <c r="A8105" s="65">
        <v>8104</v>
      </c>
      <c r="B8105" s="64">
        <v>29049651.104168754</v>
      </c>
    </row>
    <row r="8106" spans="1:2" x14ac:dyDescent="0.25">
      <c r="A8106" s="65">
        <v>8105</v>
      </c>
      <c r="B8106" s="64">
        <v>34042340.606171332</v>
      </c>
    </row>
    <row r="8107" spans="1:2" x14ac:dyDescent="0.25">
      <c r="A8107" s="65">
        <v>8106</v>
      </c>
      <c r="B8107" s="64">
        <v>29101573.577652834</v>
      </c>
    </row>
    <row r="8108" spans="1:2" x14ac:dyDescent="0.25">
      <c r="A8108" s="65">
        <v>8107</v>
      </c>
      <c r="B8108" s="64">
        <v>29343345.668703847</v>
      </c>
    </row>
    <row r="8109" spans="1:2" x14ac:dyDescent="0.25">
      <c r="A8109" s="65">
        <v>8108</v>
      </c>
      <c r="B8109" s="64">
        <v>28829944.902019814</v>
      </c>
    </row>
    <row r="8110" spans="1:2" x14ac:dyDescent="0.25">
      <c r="A8110" s="65">
        <v>8109</v>
      </c>
      <c r="B8110" s="64">
        <v>28766875.434117097</v>
      </c>
    </row>
    <row r="8111" spans="1:2" x14ac:dyDescent="0.25">
      <c r="A8111" s="65">
        <v>8110</v>
      </c>
      <c r="B8111" s="64">
        <v>29171451.26906576</v>
      </c>
    </row>
    <row r="8112" spans="1:2" x14ac:dyDescent="0.25">
      <c r="A8112" s="65">
        <v>8111</v>
      </c>
      <c r="B8112" s="64">
        <v>28865196.5712246</v>
      </c>
    </row>
    <row r="8113" spans="1:2" x14ac:dyDescent="0.25">
      <c r="A8113" s="65">
        <v>8112</v>
      </c>
      <c r="B8113" s="64">
        <v>30228507.187319215</v>
      </c>
    </row>
    <row r="8114" spans="1:2" x14ac:dyDescent="0.25">
      <c r="A8114" s="65">
        <v>8113</v>
      </c>
      <c r="B8114" s="64">
        <v>29295224.005786758</v>
      </c>
    </row>
    <row r="8115" spans="1:2" x14ac:dyDescent="0.25">
      <c r="A8115" s="65">
        <v>8114</v>
      </c>
      <c r="B8115" s="64">
        <v>29501068.582887277</v>
      </c>
    </row>
    <row r="8116" spans="1:2" x14ac:dyDescent="0.25">
      <c r="A8116" s="65">
        <v>8115</v>
      </c>
      <c r="B8116" s="64">
        <v>29373098.571318306</v>
      </c>
    </row>
    <row r="8117" spans="1:2" x14ac:dyDescent="0.25">
      <c r="A8117" s="65">
        <v>8116</v>
      </c>
      <c r="B8117" s="64">
        <v>28608570.186073888</v>
      </c>
    </row>
    <row r="8118" spans="1:2" x14ac:dyDescent="0.25">
      <c r="A8118" s="65">
        <v>8117</v>
      </c>
      <c r="B8118" s="64">
        <v>28751010.196492914</v>
      </c>
    </row>
    <row r="8119" spans="1:2" x14ac:dyDescent="0.25">
      <c r="A8119" s="65">
        <v>8118</v>
      </c>
      <c r="B8119" s="64">
        <v>29692476.586860064</v>
      </c>
    </row>
    <row r="8120" spans="1:2" x14ac:dyDescent="0.25">
      <c r="A8120" s="65">
        <v>8119</v>
      </c>
      <c r="B8120" s="64">
        <v>28857967.708310857</v>
      </c>
    </row>
    <row r="8121" spans="1:2" x14ac:dyDescent="0.25">
      <c r="A8121" s="65">
        <v>8120</v>
      </c>
      <c r="B8121" s="64">
        <v>29249476.59092591</v>
      </c>
    </row>
    <row r="8122" spans="1:2" x14ac:dyDescent="0.25">
      <c r="A8122" s="65">
        <v>8121</v>
      </c>
      <c r="B8122" s="64">
        <v>29072227.702541694</v>
      </c>
    </row>
    <row r="8123" spans="1:2" x14ac:dyDescent="0.25">
      <c r="A8123" s="65">
        <v>8122</v>
      </c>
      <c r="B8123" s="64">
        <v>29116146.622890055</v>
      </c>
    </row>
    <row r="8124" spans="1:2" x14ac:dyDescent="0.25">
      <c r="A8124" s="65">
        <v>8123</v>
      </c>
      <c r="B8124" s="64">
        <v>29232653.090334509</v>
      </c>
    </row>
    <row r="8125" spans="1:2" x14ac:dyDescent="0.25">
      <c r="A8125" s="65">
        <v>8124</v>
      </c>
      <c r="B8125" s="64">
        <v>29240447.4622241</v>
      </c>
    </row>
    <row r="8126" spans="1:2" x14ac:dyDescent="0.25">
      <c r="A8126" s="65">
        <v>8125</v>
      </c>
      <c r="B8126" s="64">
        <v>28891288.509476688</v>
      </c>
    </row>
    <row r="8127" spans="1:2" x14ac:dyDescent="0.25">
      <c r="A8127" s="65">
        <v>8126</v>
      </c>
      <c r="B8127" s="64">
        <v>30167004.349428851</v>
      </c>
    </row>
    <row r="8128" spans="1:2" x14ac:dyDescent="0.25">
      <c r="A8128" s="65">
        <v>8127</v>
      </c>
      <c r="B8128" s="64">
        <v>29407983.268779479</v>
      </c>
    </row>
    <row r="8129" spans="1:2" x14ac:dyDescent="0.25">
      <c r="A8129" s="65">
        <v>8128</v>
      </c>
      <c r="B8129" s="64">
        <v>28944909.077580675</v>
      </c>
    </row>
    <row r="8130" spans="1:2" x14ac:dyDescent="0.25">
      <c r="A8130" s="65">
        <v>8129</v>
      </c>
      <c r="B8130" s="64">
        <v>29613612.670704633</v>
      </c>
    </row>
    <row r="8131" spans="1:2" x14ac:dyDescent="0.25">
      <c r="A8131" s="65">
        <v>8130</v>
      </c>
      <c r="B8131" s="64">
        <v>35142353.011707127</v>
      </c>
    </row>
    <row r="8132" spans="1:2" x14ac:dyDescent="0.25">
      <c r="A8132" s="65">
        <v>8131</v>
      </c>
      <c r="B8132" s="64">
        <v>29719686.643053494</v>
      </c>
    </row>
    <row r="8133" spans="1:2" x14ac:dyDescent="0.25">
      <c r="A8133" s="65">
        <v>8132</v>
      </c>
      <c r="B8133" s="64">
        <v>28931411.755493186</v>
      </c>
    </row>
    <row r="8134" spans="1:2" x14ac:dyDescent="0.25">
      <c r="A8134" s="65">
        <v>8133</v>
      </c>
      <c r="B8134" s="64">
        <v>28831727.822902359</v>
      </c>
    </row>
    <row r="8135" spans="1:2" x14ac:dyDescent="0.25">
      <c r="A8135" s="65">
        <v>8134</v>
      </c>
      <c r="B8135" s="64">
        <v>30588589.425621938</v>
      </c>
    </row>
    <row r="8136" spans="1:2" x14ac:dyDescent="0.25">
      <c r="A8136" s="65">
        <v>8135</v>
      </c>
      <c r="B8136" s="64">
        <v>28545120.682045236</v>
      </c>
    </row>
    <row r="8137" spans="1:2" x14ac:dyDescent="0.25">
      <c r="A8137" s="65">
        <v>8136</v>
      </c>
      <c r="B8137" s="64">
        <v>29705493.326691192</v>
      </c>
    </row>
    <row r="8138" spans="1:2" x14ac:dyDescent="0.25">
      <c r="A8138" s="65">
        <v>8137</v>
      </c>
      <c r="B8138" s="64">
        <v>29485111.936481129</v>
      </c>
    </row>
    <row r="8139" spans="1:2" x14ac:dyDescent="0.25">
      <c r="A8139" s="65">
        <v>8138</v>
      </c>
      <c r="B8139" s="64">
        <v>29305898.590384055</v>
      </c>
    </row>
    <row r="8140" spans="1:2" x14ac:dyDescent="0.25">
      <c r="A8140" s="65">
        <v>8139</v>
      </c>
      <c r="B8140" s="64">
        <v>28982875.544605676</v>
      </c>
    </row>
    <row r="8141" spans="1:2" x14ac:dyDescent="0.25">
      <c r="A8141" s="65">
        <v>8140</v>
      </c>
      <c r="B8141" s="64">
        <v>29405570.016832922</v>
      </c>
    </row>
    <row r="8142" spans="1:2" x14ac:dyDescent="0.25">
      <c r="A8142" s="65">
        <v>8141</v>
      </c>
      <c r="B8142" s="64">
        <v>29049825.346360143</v>
      </c>
    </row>
    <row r="8143" spans="1:2" x14ac:dyDescent="0.25">
      <c r="A8143" s="65">
        <v>8142</v>
      </c>
      <c r="B8143" s="64">
        <v>28836801.388613861</v>
      </c>
    </row>
    <row r="8144" spans="1:2" x14ac:dyDescent="0.25">
      <c r="A8144" s="65">
        <v>8143</v>
      </c>
      <c r="B8144" s="64">
        <v>28781395.289519809</v>
      </c>
    </row>
    <row r="8145" spans="1:2" x14ac:dyDescent="0.25">
      <c r="A8145" s="65">
        <v>8144</v>
      </c>
      <c r="B8145" s="64">
        <v>29498294.09718439</v>
      </c>
    </row>
    <row r="8146" spans="1:2" x14ac:dyDescent="0.25">
      <c r="A8146" s="65">
        <v>8145</v>
      </c>
      <c r="B8146" s="64">
        <v>29145274.788489174</v>
      </c>
    </row>
    <row r="8147" spans="1:2" x14ac:dyDescent="0.25">
      <c r="A8147" s="65">
        <v>8146</v>
      </c>
      <c r="B8147" s="64">
        <v>28919669.166729812</v>
      </c>
    </row>
    <row r="8148" spans="1:2" x14ac:dyDescent="0.25">
      <c r="A8148" s="65">
        <v>8147</v>
      </c>
      <c r="B8148" s="64">
        <v>29203917.182993069</v>
      </c>
    </row>
    <row r="8149" spans="1:2" x14ac:dyDescent="0.25">
      <c r="A8149" s="65">
        <v>8148</v>
      </c>
      <c r="B8149" s="64">
        <v>29283651.071148202</v>
      </c>
    </row>
    <row r="8150" spans="1:2" x14ac:dyDescent="0.25">
      <c r="A8150" s="65">
        <v>8149</v>
      </c>
      <c r="B8150" s="64">
        <v>29594371.67499337</v>
      </c>
    </row>
    <row r="8151" spans="1:2" x14ac:dyDescent="0.25">
      <c r="A8151" s="65">
        <v>8150</v>
      </c>
      <c r="B8151" s="64">
        <v>28502076.004747026</v>
      </c>
    </row>
    <row r="8152" spans="1:2" x14ac:dyDescent="0.25">
      <c r="A8152" s="65">
        <v>8151</v>
      </c>
      <c r="B8152" s="64">
        <v>28600882.532964099</v>
      </c>
    </row>
    <row r="8153" spans="1:2" x14ac:dyDescent="0.25">
      <c r="A8153" s="65">
        <v>8152</v>
      </c>
      <c r="B8153" s="64">
        <v>29083144.797535241</v>
      </c>
    </row>
    <row r="8154" spans="1:2" x14ac:dyDescent="0.25">
      <c r="A8154" s="65">
        <v>8153</v>
      </c>
      <c r="B8154" s="64">
        <v>30307028.348105881</v>
      </c>
    </row>
    <row r="8155" spans="1:2" x14ac:dyDescent="0.25">
      <c r="A8155" s="65">
        <v>8154</v>
      </c>
      <c r="B8155" s="64">
        <v>28630227.140534412</v>
      </c>
    </row>
    <row r="8156" spans="1:2" x14ac:dyDescent="0.25">
      <c r="A8156" s="65">
        <v>8155</v>
      </c>
      <c r="B8156" s="64">
        <v>30379257.054883819</v>
      </c>
    </row>
    <row r="8157" spans="1:2" x14ac:dyDescent="0.25">
      <c r="A8157" s="65">
        <v>8156</v>
      </c>
      <c r="B8157" s="64">
        <v>28821761.114063021</v>
      </c>
    </row>
    <row r="8158" spans="1:2" x14ac:dyDescent="0.25">
      <c r="A8158" s="65">
        <v>8157</v>
      </c>
      <c r="B8158" s="64">
        <v>29848463.263718821</v>
      </c>
    </row>
    <row r="8159" spans="1:2" x14ac:dyDescent="0.25">
      <c r="A8159" s="65">
        <v>8158</v>
      </c>
      <c r="B8159" s="64">
        <v>29078322.789358344</v>
      </c>
    </row>
    <row r="8160" spans="1:2" x14ac:dyDescent="0.25">
      <c r="A8160" s="65">
        <v>8159</v>
      </c>
      <c r="B8160" s="64">
        <v>28862643.325845823</v>
      </c>
    </row>
    <row r="8161" spans="1:2" x14ac:dyDescent="0.25">
      <c r="A8161" s="65">
        <v>8160</v>
      </c>
      <c r="B8161" s="64">
        <v>29191837.652069904</v>
      </c>
    </row>
    <row r="8162" spans="1:2" x14ac:dyDescent="0.25">
      <c r="A8162" s="65">
        <v>8161</v>
      </c>
      <c r="B8162" s="64">
        <v>29077902.194060475</v>
      </c>
    </row>
    <row r="8163" spans="1:2" x14ac:dyDescent="0.25">
      <c r="A8163" s="65">
        <v>8162</v>
      </c>
      <c r="B8163" s="64">
        <v>28497802.230468638</v>
      </c>
    </row>
    <row r="8164" spans="1:2" x14ac:dyDescent="0.25">
      <c r="A8164" s="65">
        <v>8163</v>
      </c>
      <c r="B8164" s="64">
        <v>28664896.025790252</v>
      </c>
    </row>
    <row r="8165" spans="1:2" x14ac:dyDescent="0.25">
      <c r="A8165" s="65">
        <v>8164</v>
      </c>
      <c r="B8165" s="64">
        <v>28591793.795599252</v>
      </c>
    </row>
    <row r="8166" spans="1:2" x14ac:dyDescent="0.25">
      <c r="A8166" s="65">
        <v>8165</v>
      </c>
      <c r="B8166" s="64">
        <v>30004179.179211155</v>
      </c>
    </row>
    <row r="8167" spans="1:2" x14ac:dyDescent="0.25">
      <c r="A8167" s="65">
        <v>8166</v>
      </c>
      <c r="B8167" s="64">
        <v>28813346.29282292</v>
      </c>
    </row>
    <row r="8168" spans="1:2" x14ac:dyDescent="0.25">
      <c r="A8168" s="65">
        <v>8167</v>
      </c>
      <c r="B8168" s="64">
        <v>29761688.76640531</v>
      </c>
    </row>
    <row r="8169" spans="1:2" x14ac:dyDescent="0.25">
      <c r="A8169" s="65">
        <v>8168</v>
      </c>
      <c r="B8169" s="64">
        <v>28535790.03284622</v>
      </c>
    </row>
    <row r="8170" spans="1:2" x14ac:dyDescent="0.25">
      <c r="A8170" s="65">
        <v>8169</v>
      </c>
      <c r="B8170" s="64">
        <v>29623853.047215451</v>
      </c>
    </row>
    <row r="8171" spans="1:2" x14ac:dyDescent="0.25">
      <c r="A8171" s="65">
        <v>8170</v>
      </c>
      <c r="B8171" s="64">
        <v>32773549.172110081</v>
      </c>
    </row>
    <row r="8172" spans="1:2" x14ac:dyDescent="0.25">
      <c r="A8172" s="65">
        <v>8171</v>
      </c>
      <c r="B8172" s="64">
        <v>29969892.537745722</v>
      </c>
    </row>
    <row r="8173" spans="1:2" x14ac:dyDescent="0.25">
      <c r="A8173" s="65">
        <v>8172</v>
      </c>
      <c r="B8173" s="64">
        <v>28918322.137666788</v>
      </c>
    </row>
    <row r="8174" spans="1:2" x14ac:dyDescent="0.25">
      <c r="A8174" s="65">
        <v>8173</v>
      </c>
      <c r="B8174" s="64">
        <v>28990261.285657872</v>
      </c>
    </row>
    <row r="8175" spans="1:2" x14ac:dyDescent="0.25">
      <c r="A8175" s="65">
        <v>8174</v>
      </c>
      <c r="B8175" s="64">
        <v>29133616.805108048</v>
      </c>
    </row>
    <row r="8176" spans="1:2" x14ac:dyDescent="0.25">
      <c r="A8176" s="65">
        <v>8175</v>
      </c>
      <c r="B8176" s="64">
        <v>28882750.854067978</v>
      </c>
    </row>
    <row r="8177" spans="1:2" x14ac:dyDescent="0.25">
      <c r="A8177" s="65">
        <v>8176</v>
      </c>
      <c r="B8177" s="64">
        <v>29258092.348911498</v>
      </c>
    </row>
    <row r="8178" spans="1:2" x14ac:dyDescent="0.25">
      <c r="A8178" s="65">
        <v>8177</v>
      </c>
      <c r="B8178" s="64">
        <v>28549027.668022696</v>
      </c>
    </row>
    <row r="8179" spans="1:2" x14ac:dyDescent="0.25">
      <c r="A8179" s="65">
        <v>8178</v>
      </c>
      <c r="B8179" s="64">
        <v>28963075.963443972</v>
      </c>
    </row>
    <row r="8180" spans="1:2" x14ac:dyDescent="0.25">
      <c r="A8180" s="65">
        <v>8179</v>
      </c>
      <c r="B8180" s="64">
        <v>28577035.60819184</v>
      </c>
    </row>
    <row r="8181" spans="1:2" x14ac:dyDescent="0.25">
      <c r="A8181" s="65">
        <v>8180</v>
      </c>
      <c r="B8181" s="64">
        <v>29987701.461709622</v>
      </c>
    </row>
    <row r="8182" spans="1:2" x14ac:dyDescent="0.25">
      <c r="A8182" s="65">
        <v>8181</v>
      </c>
      <c r="B8182" s="64">
        <v>29149475.943106536</v>
      </c>
    </row>
    <row r="8183" spans="1:2" x14ac:dyDescent="0.25">
      <c r="A8183" s="65">
        <v>8182</v>
      </c>
      <c r="B8183" s="64">
        <v>28594247.532071095</v>
      </c>
    </row>
    <row r="8184" spans="1:2" x14ac:dyDescent="0.25">
      <c r="A8184" s="65">
        <v>8183</v>
      </c>
      <c r="B8184" s="64">
        <v>28740942.057822458</v>
      </c>
    </row>
    <row r="8185" spans="1:2" x14ac:dyDescent="0.25">
      <c r="A8185" s="65">
        <v>8184</v>
      </c>
      <c r="B8185" s="64">
        <v>28382685.035037812</v>
      </c>
    </row>
    <row r="8186" spans="1:2" x14ac:dyDescent="0.25">
      <c r="A8186" s="65">
        <v>8185</v>
      </c>
      <c r="B8186" s="64">
        <v>28949749.566986468</v>
      </c>
    </row>
    <row r="8187" spans="1:2" x14ac:dyDescent="0.25">
      <c r="A8187" s="65">
        <v>8186</v>
      </c>
      <c r="B8187" s="64">
        <v>29978263.575277623</v>
      </c>
    </row>
    <row r="8188" spans="1:2" x14ac:dyDescent="0.25">
      <c r="A8188" s="65">
        <v>8187</v>
      </c>
      <c r="B8188" s="64">
        <v>28988894.345826741</v>
      </c>
    </row>
    <row r="8189" spans="1:2" x14ac:dyDescent="0.25">
      <c r="A8189" s="65">
        <v>8188</v>
      </c>
      <c r="B8189" s="64">
        <v>31001433.74775742</v>
      </c>
    </row>
    <row r="8190" spans="1:2" x14ac:dyDescent="0.25">
      <c r="A8190" s="65">
        <v>8189</v>
      </c>
      <c r="B8190" s="64">
        <v>28821919.426551003</v>
      </c>
    </row>
    <row r="8191" spans="1:2" x14ac:dyDescent="0.25">
      <c r="A8191" s="65">
        <v>8190</v>
      </c>
      <c r="B8191" s="64">
        <v>28522961.717836197</v>
      </c>
    </row>
    <row r="8192" spans="1:2" x14ac:dyDescent="0.25">
      <c r="A8192" s="65">
        <v>8191</v>
      </c>
      <c r="B8192" s="64">
        <v>28849994.701071456</v>
      </c>
    </row>
    <row r="8193" spans="1:2" x14ac:dyDescent="0.25">
      <c r="A8193" s="65">
        <v>8192</v>
      </c>
      <c r="B8193" s="64">
        <v>28722015.427833106</v>
      </c>
    </row>
    <row r="8194" spans="1:2" x14ac:dyDescent="0.25">
      <c r="A8194" s="65">
        <v>8193</v>
      </c>
      <c r="B8194" s="64">
        <v>29303821.388470732</v>
      </c>
    </row>
    <row r="8195" spans="1:2" x14ac:dyDescent="0.25">
      <c r="A8195" s="65">
        <v>8194</v>
      </c>
      <c r="B8195" s="64">
        <v>28974187.922877476</v>
      </c>
    </row>
    <row r="8196" spans="1:2" x14ac:dyDescent="0.25">
      <c r="A8196" s="65">
        <v>8195</v>
      </c>
      <c r="B8196" s="64">
        <v>29441880.381875396</v>
      </c>
    </row>
    <row r="8197" spans="1:2" x14ac:dyDescent="0.25">
      <c r="A8197" s="65">
        <v>8196</v>
      </c>
      <c r="B8197" s="64">
        <v>28456129.685173478</v>
      </c>
    </row>
    <row r="8198" spans="1:2" x14ac:dyDescent="0.25">
      <c r="A8198" s="65">
        <v>8197</v>
      </c>
      <c r="B8198" s="64">
        <v>30334001.610784352</v>
      </c>
    </row>
    <row r="8199" spans="1:2" x14ac:dyDescent="0.25">
      <c r="A8199" s="65">
        <v>8198</v>
      </c>
      <c r="B8199" s="64">
        <v>29161775.485423401</v>
      </c>
    </row>
    <row r="8200" spans="1:2" x14ac:dyDescent="0.25">
      <c r="A8200" s="65">
        <v>8199</v>
      </c>
      <c r="B8200" s="64">
        <v>32898421.228430185</v>
      </c>
    </row>
    <row r="8201" spans="1:2" x14ac:dyDescent="0.25">
      <c r="A8201" s="65">
        <v>8200</v>
      </c>
      <c r="B8201" s="64">
        <v>29723052.232277542</v>
      </c>
    </row>
    <row r="8202" spans="1:2" x14ac:dyDescent="0.25">
      <c r="A8202" s="65">
        <v>8201</v>
      </c>
      <c r="B8202" s="64">
        <v>29917071.277306613</v>
      </c>
    </row>
    <row r="8203" spans="1:2" x14ac:dyDescent="0.25">
      <c r="A8203" s="65">
        <v>8202</v>
      </c>
      <c r="B8203" s="64">
        <v>29421817.886598241</v>
      </c>
    </row>
    <row r="8204" spans="1:2" x14ac:dyDescent="0.25">
      <c r="A8204" s="65">
        <v>8203</v>
      </c>
      <c r="B8204" s="64">
        <v>28548309.700486597</v>
      </c>
    </row>
    <row r="8205" spans="1:2" x14ac:dyDescent="0.25">
      <c r="A8205" s="65">
        <v>8204</v>
      </c>
      <c r="B8205" s="64">
        <v>28735782.045896001</v>
      </c>
    </row>
    <row r="8206" spans="1:2" x14ac:dyDescent="0.25">
      <c r="A8206" s="65">
        <v>8205</v>
      </c>
      <c r="B8206" s="64">
        <v>28958091.616776977</v>
      </c>
    </row>
    <row r="8207" spans="1:2" x14ac:dyDescent="0.25">
      <c r="A8207" s="65">
        <v>8206</v>
      </c>
      <c r="B8207" s="64">
        <v>29795190.382784165</v>
      </c>
    </row>
    <row r="8208" spans="1:2" x14ac:dyDescent="0.25">
      <c r="A8208" s="65">
        <v>8207</v>
      </c>
      <c r="B8208" s="64">
        <v>28569129.891463645</v>
      </c>
    </row>
    <row r="8209" spans="1:2" x14ac:dyDescent="0.25">
      <c r="A8209" s="65">
        <v>8208</v>
      </c>
      <c r="B8209" s="64">
        <v>28712572.651210833</v>
      </c>
    </row>
    <row r="8210" spans="1:2" x14ac:dyDescent="0.25">
      <c r="A8210" s="65">
        <v>8209</v>
      </c>
      <c r="B8210" s="64">
        <v>30661339.205436934</v>
      </c>
    </row>
    <row r="8211" spans="1:2" x14ac:dyDescent="0.25">
      <c r="A8211" s="65">
        <v>8210</v>
      </c>
      <c r="B8211" s="64">
        <v>28990343.45291106</v>
      </c>
    </row>
    <row r="8212" spans="1:2" x14ac:dyDescent="0.25">
      <c r="A8212" s="65">
        <v>8211</v>
      </c>
      <c r="B8212" s="64">
        <v>28958614.669981118</v>
      </c>
    </row>
    <row r="8213" spans="1:2" x14ac:dyDescent="0.25">
      <c r="A8213" s="65">
        <v>8212</v>
      </c>
      <c r="B8213" s="64">
        <v>28885017.666248649</v>
      </c>
    </row>
    <row r="8214" spans="1:2" x14ac:dyDescent="0.25">
      <c r="A8214" s="65">
        <v>8213</v>
      </c>
      <c r="B8214" s="64">
        <v>30190745.543777272</v>
      </c>
    </row>
    <row r="8215" spans="1:2" x14ac:dyDescent="0.25">
      <c r="A8215" s="65">
        <v>8214</v>
      </c>
      <c r="B8215" s="64">
        <v>28973096.659224872</v>
      </c>
    </row>
    <row r="8216" spans="1:2" x14ac:dyDescent="0.25">
      <c r="A8216" s="65">
        <v>8215</v>
      </c>
      <c r="B8216" s="64">
        <v>28499823.333574582</v>
      </c>
    </row>
    <row r="8217" spans="1:2" x14ac:dyDescent="0.25">
      <c r="A8217" s="65">
        <v>8216</v>
      </c>
      <c r="B8217" s="64">
        <v>29339421.371871915</v>
      </c>
    </row>
    <row r="8218" spans="1:2" x14ac:dyDescent="0.25">
      <c r="A8218" s="65">
        <v>8217</v>
      </c>
      <c r="B8218" s="64">
        <v>30322874.494977619</v>
      </c>
    </row>
    <row r="8219" spans="1:2" x14ac:dyDescent="0.25">
      <c r="A8219" s="65">
        <v>8218</v>
      </c>
      <c r="B8219" s="64">
        <v>29594737.355126642</v>
      </c>
    </row>
    <row r="8220" spans="1:2" x14ac:dyDescent="0.25">
      <c r="A8220" s="65">
        <v>8219</v>
      </c>
      <c r="B8220" s="64">
        <v>29909726.966173042</v>
      </c>
    </row>
    <row r="8221" spans="1:2" x14ac:dyDescent="0.25">
      <c r="A8221" s="65">
        <v>8220</v>
      </c>
      <c r="B8221" s="64">
        <v>29547621.491656195</v>
      </c>
    </row>
    <row r="8222" spans="1:2" x14ac:dyDescent="0.25">
      <c r="A8222" s="65">
        <v>8221</v>
      </c>
      <c r="B8222" s="64">
        <v>29030200.21318787</v>
      </c>
    </row>
    <row r="8223" spans="1:2" x14ac:dyDescent="0.25">
      <c r="A8223" s="65">
        <v>8222</v>
      </c>
      <c r="B8223" s="64">
        <v>33107579.847956121</v>
      </c>
    </row>
    <row r="8224" spans="1:2" x14ac:dyDescent="0.25">
      <c r="A8224" s="65">
        <v>8223</v>
      </c>
      <c r="B8224" s="64">
        <v>28645485.125830825</v>
      </c>
    </row>
    <row r="8225" spans="1:2" x14ac:dyDescent="0.25">
      <c r="A8225" s="65">
        <v>8224</v>
      </c>
      <c r="B8225" s="64">
        <v>29216436.798970602</v>
      </c>
    </row>
    <row r="8226" spans="1:2" x14ac:dyDescent="0.25">
      <c r="A8226" s="65">
        <v>8225</v>
      </c>
      <c r="B8226" s="64">
        <v>28917866.803070799</v>
      </c>
    </row>
    <row r="8227" spans="1:2" x14ac:dyDescent="0.25">
      <c r="A8227" s="65">
        <v>8226</v>
      </c>
      <c r="B8227" s="64">
        <v>30636343.550735526</v>
      </c>
    </row>
    <row r="8228" spans="1:2" x14ac:dyDescent="0.25">
      <c r="A8228" s="65">
        <v>8227</v>
      </c>
      <c r="B8228" s="64">
        <v>28907388.08240255</v>
      </c>
    </row>
    <row r="8229" spans="1:2" x14ac:dyDescent="0.25">
      <c r="A8229" s="65">
        <v>8228</v>
      </c>
      <c r="B8229" s="64">
        <v>29360579.501837108</v>
      </c>
    </row>
    <row r="8230" spans="1:2" x14ac:dyDescent="0.25">
      <c r="A8230" s="65">
        <v>8229</v>
      </c>
      <c r="B8230" s="64">
        <v>28626837.92791852</v>
      </c>
    </row>
    <row r="8231" spans="1:2" x14ac:dyDescent="0.25">
      <c r="A8231" s="65">
        <v>8230</v>
      </c>
      <c r="B8231" s="64">
        <v>28958497.735564917</v>
      </c>
    </row>
    <row r="8232" spans="1:2" x14ac:dyDescent="0.25">
      <c r="A8232" s="65">
        <v>8231</v>
      </c>
      <c r="B8232" s="64">
        <v>28783279.361928619</v>
      </c>
    </row>
    <row r="8233" spans="1:2" x14ac:dyDescent="0.25">
      <c r="A8233" s="65">
        <v>8232</v>
      </c>
      <c r="B8233" s="64">
        <v>29018402.636155903</v>
      </c>
    </row>
    <row r="8234" spans="1:2" x14ac:dyDescent="0.25">
      <c r="A8234" s="65">
        <v>8233</v>
      </c>
      <c r="B8234" s="64">
        <v>29175823.714825898</v>
      </c>
    </row>
    <row r="8235" spans="1:2" x14ac:dyDescent="0.25">
      <c r="A8235" s="65">
        <v>8234</v>
      </c>
      <c r="B8235" s="64">
        <v>29473262.850830887</v>
      </c>
    </row>
    <row r="8236" spans="1:2" x14ac:dyDescent="0.25">
      <c r="A8236" s="65">
        <v>8235</v>
      </c>
      <c r="B8236" s="64">
        <v>28869247.905340075</v>
      </c>
    </row>
    <row r="8237" spans="1:2" x14ac:dyDescent="0.25">
      <c r="A8237" s="65">
        <v>8236</v>
      </c>
      <c r="B8237" s="64">
        <v>29866140.396146551</v>
      </c>
    </row>
    <row r="8238" spans="1:2" x14ac:dyDescent="0.25">
      <c r="A8238" s="65">
        <v>8237</v>
      </c>
      <c r="B8238" s="64">
        <v>30754210.036310557</v>
      </c>
    </row>
    <row r="8239" spans="1:2" x14ac:dyDescent="0.25">
      <c r="A8239" s="65">
        <v>8238</v>
      </c>
      <c r="B8239" s="64">
        <v>29989371.448390145</v>
      </c>
    </row>
    <row r="8240" spans="1:2" x14ac:dyDescent="0.25">
      <c r="A8240" s="65">
        <v>8239</v>
      </c>
      <c r="B8240" s="64">
        <v>29008668.864023801</v>
      </c>
    </row>
    <row r="8241" spans="1:2" x14ac:dyDescent="0.25">
      <c r="A8241" s="65">
        <v>8240</v>
      </c>
      <c r="B8241" s="64">
        <v>28940401.554053213</v>
      </c>
    </row>
    <row r="8242" spans="1:2" x14ac:dyDescent="0.25">
      <c r="A8242" s="65">
        <v>8241</v>
      </c>
      <c r="B8242" s="64">
        <v>29928339.616296746</v>
      </c>
    </row>
    <row r="8243" spans="1:2" x14ac:dyDescent="0.25">
      <c r="A8243" s="65">
        <v>8242</v>
      </c>
      <c r="B8243" s="64">
        <v>28982576.283509914</v>
      </c>
    </row>
    <row r="8244" spans="1:2" x14ac:dyDescent="0.25">
      <c r="A8244" s="65">
        <v>8243</v>
      </c>
      <c r="B8244" s="64">
        <v>29320585.253217675</v>
      </c>
    </row>
    <row r="8245" spans="1:2" x14ac:dyDescent="0.25">
      <c r="A8245" s="65">
        <v>8244</v>
      </c>
      <c r="B8245" s="64">
        <v>29948384.378034331</v>
      </c>
    </row>
    <row r="8246" spans="1:2" x14ac:dyDescent="0.25">
      <c r="A8246" s="65">
        <v>8245</v>
      </c>
      <c r="B8246" s="64">
        <v>29798639.021561708</v>
      </c>
    </row>
    <row r="8247" spans="1:2" x14ac:dyDescent="0.25">
      <c r="A8247" s="65">
        <v>8246</v>
      </c>
      <c r="B8247" s="64">
        <v>28653703.453626532</v>
      </c>
    </row>
    <row r="8248" spans="1:2" x14ac:dyDescent="0.25">
      <c r="A8248" s="65">
        <v>8247</v>
      </c>
      <c r="B8248" s="64">
        <v>28777649.798272595</v>
      </c>
    </row>
    <row r="8249" spans="1:2" x14ac:dyDescent="0.25">
      <c r="A8249" s="65">
        <v>8248</v>
      </c>
      <c r="B8249" s="64">
        <v>29057762.580127068</v>
      </c>
    </row>
    <row r="8250" spans="1:2" x14ac:dyDescent="0.25">
      <c r="A8250" s="65">
        <v>8249</v>
      </c>
      <c r="B8250" s="64">
        <v>30418889.577138819</v>
      </c>
    </row>
    <row r="8251" spans="1:2" x14ac:dyDescent="0.25">
      <c r="A8251" s="65">
        <v>8250</v>
      </c>
      <c r="B8251" s="64">
        <v>28553821.824067529</v>
      </c>
    </row>
    <row r="8252" spans="1:2" x14ac:dyDescent="0.25">
      <c r="A8252" s="65">
        <v>8251</v>
      </c>
      <c r="B8252" s="64">
        <v>30191384.18608759</v>
      </c>
    </row>
    <row r="8253" spans="1:2" x14ac:dyDescent="0.25">
      <c r="A8253" s="65">
        <v>8252</v>
      </c>
      <c r="B8253" s="64">
        <v>30564351.865371518</v>
      </c>
    </row>
    <row r="8254" spans="1:2" x14ac:dyDescent="0.25">
      <c r="A8254" s="65">
        <v>8253</v>
      </c>
      <c r="B8254" s="64">
        <v>28659310.818577901</v>
      </c>
    </row>
    <row r="8255" spans="1:2" x14ac:dyDescent="0.25">
      <c r="A8255" s="65">
        <v>8254</v>
      </c>
      <c r="B8255" s="64">
        <v>28638605.403976057</v>
      </c>
    </row>
    <row r="8256" spans="1:2" x14ac:dyDescent="0.25">
      <c r="A8256" s="65">
        <v>8255</v>
      </c>
      <c r="B8256" s="64">
        <v>28939492.406424928</v>
      </c>
    </row>
    <row r="8257" spans="1:2" x14ac:dyDescent="0.25">
      <c r="A8257" s="65">
        <v>8256</v>
      </c>
      <c r="B8257" s="64">
        <v>29572412.930067953</v>
      </c>
    </row>
    <row r="8258" spans="1:2" x14ac:dyDescent="0.25">
      <c r="A8258" s="65">
        <v>8257</v>
      </c>
      <c r="B8258" s="64">
        <v>29741292.013054449</v>
      </c>
    </row>
    <row r="8259" spans="1:2" x14ac:dyDescent="0.25">
      <c r="A8259" s="65">
        <v>8258</v>
      </c>
      <c r="B8259" s="64">
        <v>29651456.346614331</v>
      </c>
    </row>
    <row r="8260" spans="1:2" x14ac:dyDescent="0.25">
      <c r="A8260" s="65">
        <v>8259</v>
      </c>
      <c r="B8260" s="64">
        <v>28541654.787776407</v>
      </c>
    </row>
    <row r="8261" spans="1:2" x14ac:dyDescent="0.25">
      <c r="A8261" s="65">
        <v>8260</v>
      </c>
      <c r="B8261" s="64">
        <v>34775905.385683931</v>
      </c>
    </row>
    <row r="8262" spans="1:2" x14ac:dyDescent="0.25">
      <c r="A8262" s="65">
        <v>8261</v>
      </c>
      <c r="B8262" s="64">
        <v>28890194.875909694</v>
      </c>
    </row>
    <row r="8263" spans="1:2" x14ac:dyDescent="0.25">
      <c r="A8263" s="65">
        <v>8262</v>
      </c>
      <c r="B8263" s="64">
        <v>29797138.89611483</v>
      </c>
    </row>
    <row r="8264" spans="1:2" x14ac:dyDescent="0.25">
      <c r="A8264" s="65">
        <v>8263</v>
      </c>
      <c r="B8264" s="64">
        <v>30549899.199091692</v>
      </c>
    </row>
    <row r="8265" spans="1:2" x14ac:dyDescent="0.25">
      <c r="A8265" s="65">
        <v>8264</v>
      </c>
      <c r="B8265" s="64">
        <v>29139068.551217582</v>
      </c>
    </row>
    <row r="8266" spans="1:2" x14ac:dyDescent="0.25">
      <c r="A8266" s="65">
        <v>8265</v>
      </c>
      <c r="B8266" s="64">
        <v>28771928.866114862</v>
      </c>
    </row>
    <row r="8267" spans="1:2" x14ac:dyDescent="0.25">
      <c r="A8267" s="65">
        <v>8266</v>
      </c>
      <c r="B8267" s="64">
        <v>28845211.641883381</v>
      </c>
    </row>
    <row r="8268" spans="1:2" x14ac:dyDescent="0.25">
      <c r="A8268" s="65">
        <v>8267</v>
      </c>
      <c r="B8268" s="64">
        <v>31142568.788463887</v>
      </c>
    </row>
    <row r="8269" spans="1:2" x14ac:dyDescent="0.25">
      <c r="A8269" s="65">
        <v>8268</v>
      </c>
      <c r="B8269" s="64">
        <v>28560314.253263522</v>
      </c>
    </row>
    <row r="8270" spans="1:2" x14ac:dyDescent="0.25">
      <c r="A8270" s="65">
        <v>8269</v>
      </c>
      <c r="B8270" s="64">
        <v>30971885.921083685</v>
      </c>
    </row>
    <row r="8271" spans="1:2" x14ac:dyDescent="0.25">
      <c r="A8271" s="65">
        <v>8270</v>
      </c>
      <c r="B8271" s="64">
        <v>28976314.199434843</v>
      </c>
    </row>
    <row r="8272" spans="1:2" x14ac:dyDescent="0.25">
      <c r="A8272" s="65">
        <v>8271</v>
      </c>
      <c r="B8272" s="64">
        <v>28690237.04618917</v>
      </c>
    </row>
    <row r="8273" spans="1:2" x14ac:dyDescent="0.25">
      <c r="A8273" s="65">
        <v>8272</v>
      </c>
      <c r="B8273" s="64">
        <v>28558540.851557739</v>
      </c>
    </row>
    <row r="8274" spans="1:2" x14ac:dyDescent="0.25">
      <c r="A8274" s="65">
        <v>8273</v>
      </c>
      <c r="B8274" s="64">
        <v>28670104.262028065</v>
      </c>
    </row>
    <row r="8275" spans="1:2" x14ac:dyDescent="0.25">
      <c r="A8275" s="65">
        <v>8274</v>
      </c>
      <c r="B8275" s="64">
        <v>29118740.969820525</v>
      </c>
    </row>
    <row r="8276" spans="1:2" x14ac:dyDescent="0.25">
      <c r="A8276" s="65">
        <v>8275</v>
      </c>
      <c r="B8276" s="64">
        <v>28708561.752938394</v>
      </c>
    </row>
    <row r="8277" spans="1:2" x14ac:dyDescent="0.25">
      <c r="A8277" s="65">
        <v>8276</v>
      </c>
      <c r="B8277" s="64">
        <v>29659285.264231194</v>
      </c>
    </row>
    <row r="8278" spans="1:2" x14ac:dyDescent="0.25">
      <c r="A8278" s="65">
        <v>8277</v>
      </c>
      <c r="B8278" s="64">
        <v>29839557.181402918</v>
      </c>
    </row>
    <row r="8279" spans="1:2" x14ac:dyDescent="0.25">
      <c r="A8279" s="65">
        <v>8278</v>
      </c>
      <c r="B8279" s="64">
        <v>29037540.236770488</v>
      </c>
    </row>
    <row r="8280" spans="1:2" x14ac:dyDescent="0.25">
      <c r="A8280" s="65">
        <v>8279</v>
      </c>
      <c r="B8280" s="64">
        <v>28397312.908065595</v>
      </c>
    </row>
    <row r="8281" spans="1:2" x14ac:dyDescent="0.25">
      <c r="A8281" s="65">
        <v>8280</v>
      </c>
      <c r="B8281" s="64">
        <v>28717534.758679342</v>
      </c>
    </row>
    <row r="8282" spans="1:2" x14ac:dyDescent="0.25">
      <c r="A8282" s="65">
        <v>8281</v>
      </c>
      <c r="B8282" s="64">
        <v>30803386.662124213</v>
      </c>
    </row>
    <row r="8283" spans="1:2" x14ac:dyDescent="0.25">
      <c r="A8283" s="65">
        <v>8282</v>
      </c>
      <c r="B8283" s="64">
        <v>28603741.130061399</v>
      </c>
    </row>
    <row r="8284" spans="1:2" x14ac:dyDescent="0.25">
      <c r="A8284" s="65">
        <v>8283</v>
      </c>
      <c r="B8284" s="64">
        <v>28950881.843578782</v>
      </c>
    </row>
    <row r="8285" spans="1:2" x14ac:dyDescent="0.25">
      <c r="A8285" s="65">
        <v>8284</v>
      </c>
      <c r="B8285" s="64">
        <v>29205945.749458794</v>
      </c>
    </row>
    <row r="8286" spans="1:2" x14ac:dyDescent="0.25">
      <c r="A8286" s="65">
        <v>8285</v>
      </c>
      <c r="B8286" s="64">
        <v>28672972.50199734</v>
      </c>
    </row>
    <row r="8287" spans="1:2" x14ac:dyDescent="0.25">
      <c r="A8287" s="65">
        <v>8286</v>
      </c>
      <c r="B8287" s="64">
        <v>29249243.147980683</v>
      </c>
    </row>
    <row r="8288" spans="1:2" x14ac:dyDescent="0.25">
      <c r="A8288" s="65">
        <v>8287</v>
      </c>
      <c r="B8288" s="64">
        <v>29660753.305340774</v>
      </c>
    </row>
    <row r="8289" spans="1:2" x14ac:dyDescent="0.25">
      <c r="A8289" s="65">
        <v>8288</v>
      </c>
      <c r="B8289" s="64">
        <v>29086053.242211536</v>
      </c>
    </row>
    <row r="8290" spans="1:2" x14ac:dyDescent="0.25">
      <c r="A8290" s="65">
        <v>8289</v>
      </c>
      <c r="B8290" s="64">
        <v>32673553.043383367</v>
      </c>
    </row>
    <row r="8291" spans="1:2" x14ac:dyDescent="0.25">
      <c r="A8291" s="65">
        <v>8290</v>
      </c>
      <c r="B8291" s="64">
        <v>30403018.629011873</v>
      </c>
    </row>
    <row r="8292" spans="1:2" x14ac:dyDescent="0.25">
      <c r="A8292" s="65">
        <v>8291</v>
      </c>
      <c r="B8292" s="64">
        <v>28575552.799663711</v>
      </c>
    </row>
    <row r="8293" spans="1:2" x14ac:dyDescent="0.25">
      <c r="A8293" s="65">
        <v>8292</v>
      </c>
      <c r="B8293" s="64">
        <v>28699493.257195868</v>
      </c>
    </row>
    <row r="8294" spans="1:2" x14ac:dyDescent="0.25">
      <c r="A8294" s="65">
        <v>8293</v>
      </c>
      <c r="B8294" s="64">
        <v>28482600.389497485</v>
      </c>
    </row>
    <row r="8295" spans="1:2" x14ac:dyDescent="0.25">
      <c r="A8295" s="65">
        <v>8294</v>
      </c>
      <c r="B8295" s="64">
        <v>29041548.058018859</v>
      </c>
    </row>
    <row r="8296" spans="1:2" x14ac:dyDescent="0.25">
      <c r="A8296" s="65">
        <v>8295</v>
      </c>
      <c r="B8296" s="64">
        <v>29597182.218344975</v>
      </c>
    </row>
    <row r="8297" spans="1:2" x14ac:dyDescent="0.25">
      <c r="A8297" s="65">
        <v>8296</v>
      </c>
      <c r="B8297" s="64">
        <v>29053943.405831899</v>
      </c>
    </row>
    <row r="8298" spans="1:2" x14ac:dyDescent="0.25">
      <c r="A8298" s="65">
        <v>8297</v>
      </c>
      <c r="B8298" s="64">
        <v>29402150.3346796</v>
      </c>
    </row>
    <row r="8299" spans="1:2" x14ac:dyDescent="0.25">
      <c r="A8299" s="65">
        <v>8298</v>
      </c>
      <c r="B8299" s="64">
        <v>28653161.000642527</v>
      </c>
    </row>
    <row r="8300" spans="1:2" x14ac:dyDescent="0.25">
      <c r="A8300" s="65">
        <v>8299</v>
      </c>
      <c r="B8300" s="64">
        <v>28878941.007770862</v>
      </c>
    </row>
    <row r="8301" spans="1:2" x14ac:dyDescent="0.25">
      <c r="A8301" s="65">
        <v>8300</v>
      </c>
      <c r="B8301" s="64">
        <v>28729201.209278978</v>
      </c>
    </row>
    <row r="8302" spans="1:2" x14ac:dyDescent="0.25">
      <c r="A8302" s="65">
        <v>8301</v>
      </c>
      <c r="B8302" s="64">
        <v>28895555.431322027</v>
      </c>
    </row>
    <row r="8303" spans="1:2" x14ac:dyDescent="0.25">
      <c r="A8303" s="65">
        <v>8302</v>
      </c>
      <c r="B8303" s="64">
        <v>28846636.499439664</v>
      </c>
    </row>
    <row r="8304" spans="1:2" x14ac:dyDescent="0.25">
      <c r="A8304" s="65">
        <v>8303</v>
      </c>
      <c r="B8304" s="64">
        <v>31167679.483202878</v>
      </c>
    </row>
    <row r="8305" spans="1:2" x14ac:dyDescent="0.25">
      <c r="A8305" s="65">
        <v>8304</v>
      </c>
      <c r="B8305" s="64">
        <v>28653428.320314627</v>
      </c>
    </row>
    <row r="8306" spans="1:2" x14ac:dyDescent="0.25">
      <c r="A8306" s="65">
        <v>8305</v>
      </c>
      <c r="B8306" s="64">
        <v>28758799.698897362</v>
      </c>
    </row>
    <row r="8307" spans="1:2" x14ac:dyDescent="0.25">
      <c r="A8307" s="65">
        <v>8306</v>
      </c>
      <c r="B8307" s="64">
        <v>28994833.980700165</v>
      </c>
    </row>
    <row r="8308" spans="1:2" x14ac:dyDescent="0.25">
      <c r="A8308" s="65">
        <v>8307</v>
      </c>
      <c r="B8308" s="64">
        <v>29369029.691106513</v>
      </c>
    </row>
    <row r="8309" spans="1:2" x14ac:dyDescent="0.25">
      <c r="A8309" s="65">
        <v>8308</v>
      </c>
      <c r="B8309" s="64">
        <v>29680508.327037767</v>
      </c>
    </row>
    <row r="8310" spans="1:2" x14ac:dyDescent="0.25">
      <c r="A8310" s="65">
        <v>8309</v>
      </c>
      <c r="B8310" s="64">
        <v>29074325.204356987</v>
      </c>
    </row>
    <row r="8311" spans="1:2" x14ac:dyDescent="0.25">
      <c r="A8311" s="65">
        <v>8310</v>
      </c>
      <c r="B8311" s="64">
        <v>29308184.566517651</v>
      </c>
    </row>
    <row r="8312" spans="1:2" x14ac:dyDescent="0.25">
      <c r="A8312" s="65">
        <v>8311</v>
      </c>
      <c r="B8312" s="64">
        <v>29332039.431929935</v>
      </c>
    </row>
    <row r="8313" spans="1:2" x14ac:dyDescent="0.25">
      <c r="A8313" s="65">
        <v>8312</v>
      </c>
      <c r="B8313" s="64">
        <v>28731596.321093943</v>
      </c>
    </row>
    <row r="8314" spans="1:2" x14ac:dyDescent="0.25">
      <c r="A8314" s="65">
        <v>8313</v>
      </c>
      <c r="B8314" s="64">
        <v>29453151.467273608</v>
      </c>
    </row>
    <row r="8315" spans="1:2" x14ac:dyDescent="0.25">
      <c r="A8315" s="65">
        <v>8314</v>
      </c>
      <c r="B8315" s="64">
        <v>30656319.679994311</v>
      </c>
    </row>
    <row r="8316" spans="1:2" x14ac:dyDescent="0.25">
      <c r="A8316" s="65">
        <v>8315</v>
      </c>
      <c r="B8316" s="64">
        <v>28729553.653445374</v>
      </c>
    </row>
    <row r="8317" spans="1:2" x14ac:dyDescent="0.25">
      <c r="A8317" s="65">
        <v>8316</v>
      </c>
      <c r="B8317" s="64">
        <v>29571815.348906733</v>
      </c>
    </row>
    <row r="8318" spans="1:2" x14ac:dyDescent="0.25">
      <c r="A8318" s="65">
        <v>8317</v>
      </c>
      <c r="B8318" s="64">
        <v>34279398.261193268</v>
      </c>
    </row>
    <row r="8319" spans="1:2" x14ac:dyDescent="0.25">
      <c r="A8319" s="65">
        <v>8318</v>
      </c>
      <c r="B8319" s="64">
        <v>29683147.346375465</v>
      </c>
    </row>
    <row r="8320" spans="1:2" x14ac:dyDescent="0.25">
      <c r="A8320" s="65">
        <v>8319</v>
      </c>
      <c r="B8320" s="64">
        <v>29395305.577757329</v>
      </c>
    </row>
    <row r="8321" spans="1:2" x14ac:dyDescent="0.25">
      <c r="A8321" s="65">
        <v>8320</v>
      </c>
      <c r="B8321" s="64">
        <v>29035009.331197429</v>
      </c>
    </row>
    <row r="8322" spans="1:2" x14ac:dyDescent="0.25">
      <c r="A8322" s="65">
        <v>8321</v>
      </c>
      <c r="B8322" s="64">
        <v>28977115.74985671</v>
      </c>
    </row>
    <row r="8323" spans="1:2" x14ac:dyDescent="0.25">
      <c r="A8323" s="65">
        <v>8322</v>
      </c>
      <c r="B8323" s="64">
        <v>29451678.293966074</v>
      </c>
    </row>
    <row r="8324" spans="1:2" x14ac:dyDescent="0.25">
      <c r="A8324" s="65">
        <v>8323</v>
      </c>
      <c r="B8324" s="64">
        <v>29936681.22767612</v>
      </c>
    </row>
    <row r="8325" spans="1:2" x14ac:dyDescent="0.25">
      <c r="A8325" s="65">
        <v>8324</v>
      </c>
      <c r="B8325" s="64">
        <v>29279089.604716375</v>
      </c>
    </row>
    <row r="8326" spans="1:2" x14ac:dyDescent="0.25">
      <c r="A8326" s="65">
        <v>8325</v>
      </c>
      <c r="B8326" s="64">
        <v>33056908.82643703</v>
      </c>
    </row>
    <row r="8327" spans="1:2" x14ac:dyDescent="0.25">
      <c r="A8327" s="65">
        <v>8326</v>
      </c>
      <c r="B8327" s="64">
        <v>28673687.744536079</v>
      </c>
    </row>
    <row r="8328" spans="1:2" x14ac:dyDescent="0.25">
      <c r="A8328" s="65">
        <v>8327</v>
      </c>
      <c r="B8328" s="64">
        <v>28962920.064933423</v>
      </c>
    </row>
    <row r="8329" spans="1:2" x14ac:dyDescent="0.25">
      <c r="A8329" s="65">
        <v>8328</v>
      </c>
      <c r="B8329" s="64">
        <v>28691637.011509694</v>
      </c>
    </row>
    <row r="8330" spans="1:2" x14ac:dyDescent="0.25">
      <c r="A8330" s="65">
        <v>8329</v>
      </c>
      <c r="B8330" s="64">
        <v>30379462.241690639</v>
      </c>
    </row>
    <row r="8331" spans="1:2" x14ac:dyDescent="0.25">
      <c r="A8331" s="65">
        <v>8330</v>
      </c>
      <c r="B8331" s="64">
        <v>30101776.041691236</v>
      </c>
    </row>
    <row r="8332" spans="1:2" x14ac:dyDescent="0.25">
      <c r="A8332" s="65">
        <v>8331</v>
      </c>
      <c r="B8332" s="64">
        <v>28996197.97622427</v>
      </c>
    </row>
    <row r="8333" spans="1:2" x14ac:dyDescent="0.25">
      <c r="A8333" s="65">
        <v>8332</v>
      </c>
      <c r="B8333" s="64">
        <v>28463049.470870204</v>
      </c>
    </row>
    <row r="8334" spans="1:2" x14ac:dyDescent="0.25">
      <c r="A8334" s="65">
        <v>8333</v>
      </c>
      <c r="B8334" s="64">
        <v>29002116.303042546</v>
      </c>
    </row>
    <row r="8335" spans="1:2" x14ac:dyDescent="0.25">
      <c r="A8335" s="65">
        <v>8334</v>
      </c>
      <c r="B8335" s="64">
        <v>28890076.070551902</v>
      </c>
    </row>
    <row r="8336" spans="1:2" x14ac:dyDescent="0.25">
      <c r="A8336" s="65">
        <v>8335</v>
      </c>
      <c r="B8336" s="64">
        <v>28999527.085448656</v>
      </c>
    </row>
    <row r="8337" spans="1:2" x14ac:dyDescent="0.25">
      <c r="A8337" s="65">
        <v>8336</v>
      </c>
      <c r="B8337" s="64">
        <v>29058629.355001077</v>
      </c>
    </row>
    <row r="8338" spans="1:2" x14ac:dyDescent="0.25">
      <c r="A8338" s="65">
        <v>8337</v>
      </c>
      <c r="B8338" s="64">
        <v>29037602.200721703</v>
      </c>
    </row>
    <row r="8339" spans="1:2" x14ac:dyDescent="0.25">
      <c r="A8339" s="65">
        <v>8338</v>
      </c>
      <c r="B8339" s="64">
        <v>28951457.966803633</v>
      </c>
    </row>
    <row r="8340" spans="1:2" x14ac:dyDescent="0.25">
      <c r="A8340" s="65">
        <v>8339</v>
      </c>
      <c r="B8340" s="64">
        <v>30684074.056202803</v>
      </c>
    </row>
    <row r="8341" spans="1:2" x14ac:dyDescent="0.25">
      <c r="A8341" s="65">
        <v>8340</v>
      </c>
      <c r="B8341" s="64">
        <v>29535086.48708155</v>
      </c>
    </row>
    <row r="8342" spans="1:2" x14ac:dyDescent="0.25">
      <c r="A8342" s="65">
        <v>8341</v>
      </c>
      <c r="B8342" s="64">
        <v>29693808.109297879</v>
      </c>
    </row>
    <row r="8343" spans="1:2" x14ac:dyDescent="0.25">
      <c r="A8343" s="65">
        <v>8342</v>
      </c>
      <c r="B8343" s="64">
        <v>30282365.339770518</v>
      </c>
    </row>
    <row r="8344" spans="1:2" x14ac:dyDescent="0.25">
      <c r="A8344" s="65">
        <v>8343</v>
      </c>
      <c r="B8344" s="64">
        <v>28707710.115721479</v>
      </c>
    </row>
    <row r="8345" spans="1:2" x14ac:dyDescent="0.25">
      <c r="A8345" s="65">
        <v>8344</v>
      </c>
      <c r="B8345" s="64">
        <v>28562060.05845039</v>
      </c>
    </row>
    <row r="8346" spans="1:2" x14ac:dyDescent="0.25">
      <c r="A8346" s="65">
        <v>8345</v>
      </c>
      <c r="B8346" s="64">
        <v>28506359.11074337</v>
      </c>
    </row>
    <row r="8347" spans="1:2" x14ac:dyDescent="0.25">
      <c r="A8347" s="65">
        <v>8346</v>
      </c>
      <c r="B8347" s="64">
        <v>28812094.446953371</v>
      </c>
    </row>
    <row r="8348" spans="1:2" x14ac:dyDescent="0.25">
      <c r="A8348" s="65">
        <v>8347</v>
      </c>
      <c r="B8348" s="64">
        <v>28515202.923737559</v>
      </c>
    </row>
    <row r="8349" spans="1:2" x14ac:dyDescent="0.25">
      <c r="A8349" s="65">
        <v>8348</v>
      </c>
      <c r="B8349" s="64">
        <v>29464535.502567302</v>
      </c>
    </row>
    <row r="8350" spans="1:2" x14ac:dyDescent="0.25">
      <c r="A8350" s="65">
        <v>8349</v>
      </c>
      <c r="B8350" s="64">
        <v>28634522.450853266</v>
      </c>
    </row>
    <row r="8351" spans="1:2" x14ac:dyDescent="0.25">
      <c r="A8351" s="65">
        <v>8350</v>
      </c>
      <c r="B8351" s="64">
        <v>29659503.39793136</v>
      </c>
    </row>
    <row r="8352" spans="1:2" x14ac:dyDescent="0.25">
      <c r="A8352" s="65">
        <v>8351</v>
      </c>
      <c r="B8352" s="64">
        <v>29021022.67827696</v>
      </c>
    </row>
    <row r="8353" spans="1:2" x14ac:dyDescent="0.25">
      <c r="A8353" s="65">
        <v>8352</v>
      </c>
      <c r="B8353" s="64">
        <v>28986807.157425541</v>
      </c>
    </row>
    <row r="8354" spans="1:2" x14ac:dyDescent="0.25">
      <c r="A8354" s="65">
        <v>8353</v>
      </c>
      <c r="B8354" s="64">
        <v>29451165.914415136</v>
      </c>
    </row>
    <row r="8355" spans="1:2" x14ac:dyDescent="0.25">
      <c r="A8355" s="65">
        <v>8354</v>
      </c>
      <c r="B8355" s="64">
        <v>28954116.654624991</v>
      </c>
    </row>
    <row r="8356" spans="1:2" x14ac:dyDescent="0.25">
      <c r="A8356" s="65">
        <v>8355</v>
      </c>
      <c r="B8356" s="64">
        <v>28604694.347323041</v>
      </c>
    </row>
    <row r="8357" spans="1:2" x14ac:dyDescent="0.25">
      <c r="A8357" s="65">
        <v>8356</v>
      </c>
      <c r="B8357" s="64">
        <v>30086757.992375534</v>
      </c>
    </row>
    <row r="8358" spans="1:2" x14ac:dyDescent="0.25">
      <c r="A8358" s="65">
        <v>8357</v>
      </c>
      <c r="B8358" s="64">
        <v>28610284.483464826</v>
      </c>
    </row>
    <row r="8359" spans="1:2" x14ac:dyDescent="0.25">
      <c r="A8359" s="65">
        <v>8358</v>
      </c>
      <c r="B8359" s="64">
        <v>29061737.036249299</v>
      </c>
    </row>
    <row r="8360" spans="1:2" x14ac:dyDescent="0.25">
      <c r="A8360" s="65">
        <v>8359</v>
      </c>
      <c r="B8360" s="64">
        <v>28758153.46428128</v>
      </c>
    </row>
    <row r="8361" spans="1:2" x14ac:dyDescent="0.25">
      <c r="A8361" s="65">
        <v>8360</v>
      </c>
      <c r="B8361" s="64">
        <v>28690189.530862972</v>
      </c>
    </row>
    <row r="8362" spans="1:2" x14ac:dyDescent="0.25">
      <c r="A8362" s="65">
        <v>8361</v>
      </c>
      <c r="B8362" s="64">
        <v>28773008.979713641</v>
      </c>
    </row>
    <row r="8363" spans="1:2" x14ac:dyDescent="0.25">
      <c r="A8363" s="65">
        <v>8362</v>
      </c>
      <c r="B8363" s="64">
        <v>29022865.94869021</v>
      </c>
    </row>
    <row r="8364" spans="1:2" x14ac:dyDescent="0.25">
      <c r="A8364" s="65">
        <v>8363</v>
      </c>
      <c r="B8364" s="64">
        <v>28973630.138006259</v>
      </c>
    </row>
    <row r="8365" spans="1:2" x14ac:dyDescent="0.25">
      <c r="A8365" s="65">
        <v>8364</v>
      </c>
      <c r="B8365" s="64">
        <v>29256342.513902243</v>
      </c>
    </row>
    <row r="8366" spans="1:2" x14ac:dyDescent="0.25">
      <c r="A8366" s="65">
        <v>8365</v>
      </c>
      <c r="B8366" s="64">
        <v>29739758.064346358</v>
      </c>
    </row>
    <row r="8367" spans="1:2" x14ac:dyDescent="0.25">
      <c r="A8367" s="65">
        <v>8366</v>
      </c>
      <c r="B8367" s="64">
        <v>28982558.914461289</v>
      </c>
    </row>
    <row r="8368" spans="1:2" x14ac:dyDescent="0.25">
      <c r="A8368" s="65">
        <v>8367</v>
      </c>
      <c r="B8368" s="64">
        <v>29982658.049996089</v>
      </c>
    </row>
    <row r="8369" spans="1:2" x14ac:dyDescent="0.25">
      <c r="A8369" s="65">
        <v>8368</v>
      </c>
      <c r="B8369" s="64">
        <v>29259307.870325852</v>
      </c>
    </row>
    <row r="8370" spans="1:2" x14ac:dyDescent="0.25">
      <c r="A8370" s="65">
        <v>8369</v>
      </c>
      <c r="B8370" s="64">
        <v>28922805.829004634</v>
      </c>
    </row>
    <row r="8371" spans="1:2" x14ac:dyDescent="0.25">
      <c r="A8371" s="65">
        <v>8370</v>
      </c>
      <c r="B8371" s="64">
        <v>29195152.99998353</v>
      </c>
    </row>
    <row r="8372" spans="1:2" x14ac:dyDescent="0.25">
      <c r="A8372" s="65">
        <v>8371</v>
      </c>
      <c r="B8372" s="64">
        <v>29727025.209114324</v>
      </c>
    </row>
    <row r="8373" spans="1:2" x14ac:dyDescent="0.25">
      <c r="A8373" s="65">
        <v>8372</v>
      </c>
      <c r="B8373" s="64">
        <v>29129886.724116631</v>
      </c>
    </row>
    <row r="8374" spans="1:2" x14ac:dyDescent="0.25">
      <c r="A8374" s="65">
        <v>8373</v>
      </c>
      <c r="B8374" s="64">
        <v>29523694.612999786</v>
      </c>
    </row>
    <row r="8375" spans="1:2" x14ac:dyDescent="0.25">
      <c r="A8375" s="65">
        <v>8374</v>
      </c>
      <c r="B8375" s="64">
        <v>28912385.190995447</v>
      </c>
    </row>
    <row r="8376" spans="1:2" x14ac:dyDescent="0.25">
      <c r="A8376" s="65">
        <v>8375</v>
      </c>
      <c r="B8376" s="64">
        <v>28908436.153708342</v>
      </c>
    </row>
    <row r="8377" spans="1:2" x14ac:dyDescent="0.25">
      <c r="A8377" s="65">
        <v>8376</v>
      </c>
      <c r="B8377" s="64">
        <v>29769646.706014402</v>
      </c>
    </row>
    <row r="8378" spans="1:2" x14ac:dyDescent="0.25">
      <c r="A8378" s="65">
        <v>8377</v>
      </c>
      <c r="B8378" s="64">
        <v>28589201.208681256</v>
      </c>
    </row>
    <row r="8379" spans="1:2" x14ac:dyDescent="0.25">
      <c r="A8379" s="65">
        <v>8378</v>
      </c>
      <c r="B8379" s="64">
        <v>29435904.672295753</v>
      </c>
    </row>
    <row r="8380" spans="1:2" x14ac:dyDescent="0.25">
      <c r="A8380" s="65">
        <v>8379</v>
      </c>
      <c r="B8380" s="64">
        <v>29460539.54707564</v>
      </c>
    </row>
    <row r="8381" spans="1:2" x14ac:dyDescent="0.25">
      <c r="A8381" s="65">
        <v>8380</v>
      </c>
      <c r="B8381" s="64">
        <v>29554987.860576138</v>
      </c>
    </row>
    <row r="8382" spans="1:2" x14ac:dyDescent="0.25">
      <c r="A8382" s="65">
        <v>8381</v>
      </c>
      <c r="B8382" s="64">
        <v>28986121.609072439</v>
      </c>
    </row>
    <row r="8383" spans="1:2" x14ac:dyDescent="0.25">
      <c r="A8383" s="65">
        <v>8382</v>
      </c>
      <c r="B8383" s="64">
        <v>29627678.304324884</v>
      </c>
    </row>
    <row r="8384" spans="1:2" x14ac:dyDescent="0.25">
      <c r="A8384" s="65">
        <v>8383</v>
      </c>
      <c r="B8384" s="64">
        <v>28552203.780689601</v>
      </c>
    </row>
    <row r="8385" spans="1:2" x14ac:dyDescent="0.25">
      <c r="A8385" s="65">
        <v>8384</v>
      </c>
      <c r="B8385" s="64">
        <v>29194643.503464427</v>
      </c>
    </row>
    <row r="8386" spans="1:2" x14ac:dyDescent="0.25">
      <c r="A8386" s="65">
        <v>8385</v>
      </c>
      <c r="B8386" s="64">
        <v>30661223.672420185</v>
      </c>
    </row>
    <row r="8387" spans="1:2" x14ac:dyDescent="0.25">
      <c r="A8387" s="65">
        <v>8386</v>
      </c>
      <c r="B8387" s="64">
        <v>29084344.444466293</v>
      </c>
    </row>
    <row r="8388" spans="1:2" x14ac:dyDescent="0.25">
      <c r="A8388" s="65">
        <v>8387</v>
      </c>
      <c r="B8388" s="64">
        <v>28732536.074525174</v>
      </c>
    </row>
    <row r="8389" spans="1:2" x14ac:dyDescent="0.25">
      <c r="A8389" s="65">
        <v>8388</v>
      </c>
      <c r="B8389" s="64">
        <v>29151972.049333271</v>
      </c>
    </row>
    <row r="8390" spans="1:2" x14ac:dyDescent="0.25">
      <c r="A8390" s="65">
        <v>8389</v>
      </c>
      <c r="B8390" s="64">
        <v>28660681.842270114</v>
      </c>
    </row>
    <row r="8391" spans="1:2" x14ac:dyDescent="0.25">
      <c r="A8391" s="65">
        <v>8390</v>
      </c>
      <c r="B8391" s="64">
        <v>33206401.525621448</v>
      </c>
    </row>
    <row r="8392" spans="1:2" x14ac:dyDescent="0.25">
      <c r="A8392" s="65">
        <v>8391</v>
      </c>
      <c r="B8392" s="64">
        <v>29234836.873545118</v>
      </c>
    </row>
    <row r="8393" spans="1:2" x14ac:dyDescent="0.25">
      <c r="A8393" s="65">
        <v>8392</v>
      </c>
      <c r="B8393" s="64">
        <v>28458889.831364926</v>
      </c>
    </row>
    <row r="8394" spans="1:2" x14ac:dyDescent="0.25">
      <c r="A8394" s="65">
        <v>8393</v>
      </c>
      <c r="B8394" s="64">
        <v>29297250.311430909</v>
      </c>
    </row>
    <row r="8395" spans="1:2" x14ac:dyDescent="0.25">
      <c r="A8395" s="65">
        <v>8394</v>
      </c>
      <c r="B8395" s="64">
        <v>28546802.074327111</v>
      </c>
    </row>
    <row r="8396" spans="1:2" x14ac:dyDescent="0.25">
      <c r="A8396" s="65">
        <v>8395</v>
      </c>
      <c r="B8396" s="64">
        <v>28725406.495627403</v>
      </c>
    </row>
    <row r="8397" spans="1:2" x14ac:dyDescent="0.25">
      <c r="A8397" s="65">
        <v>8396</v>
      </c>
      <c r="B8397" s="64">
        <v>28836797.168212015</v>
      </c>
    </row>
    <row r="8398" spans="1:2" x14ac:dyDescent="0.25">
      <c r="A8398" s="65">
        <v>8397</v>
      </c>
      <c r="B8398" s="64">
        <v>30835922.980333846</v>
      </c>
    </row>
    <row r="8399" spans="1:2" x14ac:dyDescent="0.25">
      <c r="A8399" s="65">
        <v>8398</v>
      </c>
      <c r="B8399" s="64">
        <v>29400052.17222308</v>
      </c>
    </row>
    <row r="8400" spans="1:2" x14ac:dyDescent="0.25">
      <c r="A8400" s="65">
        <v>8399</v>
      </c>
      <c r="B8400" s="64">
        <v>28908580.336450871</v>
      </c>
    </row>
    <row r="8401" spans="1:2" x14ac:dyDescent="0.25">
      <c r="A8401" s="65">
        <v>8400</v>
      </c>
      <c r="B8401" s="64">
        <v>30064994.080809034</v>
      </c>
    </row>
    <row r="8402" spans="1:2" x14ac:dyDescent="0.25">
      <c r="A8402" s="65">
        <v>8401</v>
      </c>
      <c r="B8402" s="64">
        <v>29113904.894835766</v>
      </c>
    </row>
    <row r="8403" spans="1:2" x14ac:dyDescent="0.25">
      <c r="A8403" s="65">
        <v>8402</v>
      </c>
      <c r="B8403" s="64">
        <v>28865476.581027631</v>
      </c>
    </row>
    <row r="8404" spans="1:2" x14ac:dyDescent="0.25">
      <c r="A8404" s="65">
        <v>8403</v>
      </c>
      <c r="B8404" s="64">
        <v>28950224.280105338</v>
      </c>
    </row>
    <row r="8405" spans="1:2" x14ac:dyDescent="0.25">
      <c r="A8405" s="65">
        <v>8404</v>
      </c>
      <c r="B8405" s="64">
        <v>29368326.500702813</v>
      </c>
    </row>
    <row r="8406" spans="1:2" x14ac:dyDescent="0.25">
      <c r="A8406" s="65">
        <v>8405</v>
      </c>
      <c r="B8406" s="64">
        <v>29611593.175231084</v>
      </c>
    </row>
    <row r="8407" spans="1:2" x14ac:dyDescent="0.25">
      <c r="A8407" s="65">
        <v>8406</v>
      </c>
      <c r="B8407" s="64">
        <v>28667528.722629413</v>
      </c>
    </row>
    <row r="8408" spans="1:2" x14ac:dyDescent="0.25">
      <c r="A8408" s="65">
        <v>8407</v>
      </c>
      <c r="B8408" s="64">
        <v>29405920.442512173</v>
      </c>
    </row>
    <row r="8409" spans="1:2" x14ac:dyDescent="0.25">
      <c r="A8409" s="65">
        <v>8408</v>
      </c>
      <c r="B8409" s="64">
        <v>29217051.213989254</v>
      </c>
    </row>
    <row r="8410" spans="1:2" x14ac:dyDescent="0.25">
      <c r="A8410" s="65">
        <v>8409</v>
      </c>
      <c r="B8410" s="64">
        <v>28870709.886910558</v>
      </c>
    </row>
    <row r="8411" spans="1:2" x14ac:dyDescent="0.25">
      <c r="A8411" s="65">
        <v>8410</v>
      </c>
      <c r="B8411" s="64">
        <v>28726987.425692067</v>
      </c>
    </row>
    <row r="8412" spans="1:2" x14ac:dyDescent="0.25">
      <c r="A8412" s="65">
        <v>8411</v>
      </c>
      <c r="B8412" s="64">
        <v>28678201.257038388</v>
      </c>
    </row>
    <row r="8413" spans="1:2" x14ac:dyDescent="0.25">
      <c r="A8413" s="65">
        <v>8412</v>
      </c>
      <c r="B8413" s="64">
        <v>29453435.233063828</v>
      </c>
    </row>
    <row r="8414" spans="1:2" x14ac:dyDescent="0.25">
      <c r="A8414" s="65">
        <v>8413</v>
      </c>
      <c r="B8414" s="64">
        <v>29627433.582190767</v>
      </c>
    </row>
    <row r="8415" spans="1:2" x14ac:dyDescent="0.25">
      <c r="A8415" s="65">
        <v>8414</v>
      </c>
      <c r="B8415" s="64">
        <v>28787521.080664132</v>
      </c>
    </row>
    <row r="8416" spans="1:2" x14ac:dyDescent="0.25">
      <c r="A8416" s="65">
        <v>8415</v>
      </c>
      <c r="B8416" s="64">
        <v>28734243.904372811</v>
      </c>
    </row>
    <row r="8417" spans="1:2" x14ac:dyDescent="0.25">
      <c r="A8417" s="65">
        <v>8416</v>
      </c>
      <c r="B8417" s="64">
        <v>29259204.704350717</v>
      </c>
    </row>
    <row r="8418" spans="1:2" x14ac:dyDescent="0.25">
      <c r="A8418" s="65">
        <v>8417</v>
      </c>
      <c r="B8418" s="64">
        <v>30856824.445401184</v>
      </c>
    </row>
    <row r="8419" spans="1:2" x14ac:dyDescent="0.25">
      <c r="A8419" s="65">
        <v>8418</v>
      </c>
      <c r="B8419" s="64">
        <v>28995468.492643323</v>
      </c>
    </row>
    <row r="8420" spans="1:2" x14ac:dyDescent="0.25">
      <c r="A8420" s="65">
        <v>8419</v>
      </c>
      <c r="B8420" s="64">
        <v>30304660.349024482</v>
      </c>
    </row>
    <row r="8421" spans="1:2" x14ac:dyDescent="0.25">
      <c r="A8421" s="65">
        <v>8420</v>
      </c>
      <c r="B8421" s="64">
        <v>29574276.008944262</v>
      </c>
    </row>
    <row r="8422" spans="1:2" x14ac:dyDescent="0.25">
      <c r="A8422" s="65">
        <v>8421</v>
      </c>
      <c r="B8422" s="64">
        <v>29103358.771135829</v>
      </c>
    </row>
    <row r="8423" spans="1:2" x14ac:dyDescent="0.25">
      <c r="A8423" s="65">
        <v>8422</v>
      </c>
      <c r="B8423" s="64">
        <v>29159601.607582297</v>
      </c>
    </row>
    <row r="8424" spans="1:2" x14ac:dyDescent="0.25">
      <c r="A8424" s="65">
        <v>8423</v>
      </c>
      <c r="B8424" s="64">
        <v>29408076.308266379</v>
      </c>
    </row>
    <row r="8425" spans="1:2" x14ac:dyDescent="0.25">
      <c r="A8425" s="65">
        <v>8424</v>
      </c>
      <c r="B8425" s="64">
        <v>28433959.945673428</v>
      </c>
    </row>
    <row r="8426" spans="1:2" x14ac:dyDescent="0.25">
      <c r="A8426" s="65">
        <v>8425</v>
      </c>
      <c r="B8426" s="64">
        <v>33495398.655894302</v>
      </c>
    </row>
    <row r="8427" spans="1:2" x14ac:dyDescent="0.25">
      <c r="A8427" s="65">
        <v>8426</v>
      </c>
      <c r="B8427" s="64">
        <v>28637375.45885738</v>
      </c>
    </row>
    <row r="8428" spans="1:2" x14ac:dyDescent="0.25">
      <c r="A8428" s="65">
        <v>8427</v>
      </c>
      <c r="B8428" s="64">
        <v>28927935.752098847</v>
      </c>
    </row>
    <row r="8429" spans="1:2" x14ac:dyDescent="0.25">
      <c r="A8429" s="65">
        <v>8428</v>
      </c>
      <c r="B8429" s="64">
        <v>29320479.757156294</v>
      </c>
    </row>
    <row r="8430" spans="1:2" x14ac:dyDescent="0.25">
      <c r="A8430" s="65">
        <v>8429</v>
      </c>
      <c r="B8430" s="64">
        <v>28484302.104325335</v>
      </c>
    </row>
    <row r="8431" spans="1:2" x14ac:dyDescent="0.25">
      <c r="A8431" s="65">
        <v>8430</v>
      </c>
      <c r="B8431" s="64">
        <v>29086477.991897985</v>
      </c>
    </row>
    <row r="8432" spans="1:2" x14ac:dyDescent="0.25">
      <c r="A8432" s="65">
        <v>8431</v>
      </c>
      <c r="B8432" s="64">
        <v>28977464.684753925</v>
      </c>
    </row>
    <row r="8433" spans="1:2" x14ac:dyDescent="0.25">
      <c r="A8433" s="65">
        <v>8432</v>
      </c>
      <c r="B8433" s="64">
        <v>28813417.511781838</v>
      </c>
    </row>
    <row r="8434" spans="1:2" x14ac:dyDescent="0.25">
      <c r="A8434" s="65">
        <v>8433</v>
      </c>
      <c r="B8434" s="64">
        <v>29796656.739249073</v>
      </c>
    </row>
    <row r="8435" spans="1:2" x14ac:dyDescent="0.25">
      <c r="A8435" s="65">
        <v>8434</v>
      </c>
      <c r="B8435" s="64">
        <v>29477401.870503526</v>
      </c>
    </row>
    <row r="8436" spans="1:2" x14ac:dyDescent="0.25">
      <c r="A8436" s="65">
        <v>8435</v>
      </c>
      <c r="B8436" s="64">
        <v>29084521.641234215</v>
      </c>
    </row>
    <row r="8437" spans="1:2" x14ac:dyDescent="0.25">
      <c r="A8437" s="65">
        <v>8436</v>
      </c>
      <c r="B8437" s="64">
        <v>28683182.850869704</v>
      </c>
    </row>
    <row r="8438" spans="1:2" x14ac:dyDescent="0.25">
      <c r="A8438" s="65">
        <v>8437</v>
      </c>
      <c r="B8438" s="64">
        <v>28908956.356566206</v>
      </c>
    </row>
    <row r="8439" spans="1:2" x14ac:dyDescent="0.25">
      <c r="A8439" s="65">
        <v>8438</v>
      </c>
      <c r="B8439" s="64">
        <v>29110699.803147264</v>
      </c>
    </row>
    <row r="8440" spans="1:2" x14ac:dyDescent="0.25">
      <c r="A8440" s="65">
        <v>8439</v>
      </c>
      <c r="B8440" s="64">
        <v>28596990.271415174</v>
      </c>
    </row>
    <row r="8441" spans="1:2" x14ac:dyDescent="0.25">
      <c r="A8441" s="65">
        <v>8440</v>
      </c>
      <c r="B8441" s="64">
        <v>29115001.641795836</v>
      </c>
    </row>
    <row r="8442" spans="1:2" x14ac:dyDescent="0.25">
      <c r="A8442" s="65">
        <v>8441</v>
      </c>
      <c r="B8442" s="64">
        <v>28517687.348370429</v>
      </c>
    </row>
    <row r="8443" spans="1:2" x14ac:dyDescent="0.25">
      <c r="A8443" s="65">
        <v>8442</v>
      </c>
      <c r="B8443" s="64">
        <v>29764774.1190826</v>
      </c>
    </row>
    <row r="8444" spans="1:2" x14ac:dyDescent="0.25">
      <c r="A8444" s="65">
        <v>8443</v>
      </c>
      <c r="B8444" s="64">
        <v>33466811.773192272</v>
      </c>
    </row>
    <row r="8445" spans="1:2" x14ac:dyDescent="0.25">
      <c r="A8445" s="65">
        <v>8444</v>
      </c>
      <c r="B8445" s="64">
        <v>29320657.834645975</v>
      </c>
    </row>
    <row r="8446" spans="1:2" x14ac:dyDescent="0.25">
      <c r="A8446" s="65">
        <v>8445</v>
      </c>
      <c r="B8446" s="64">
        <v>28901042.8201515</v>
      </c>
    </row>
    <row r="8447" spans="1:2" x14ac:dyDescent="0.25">
      <c r="A8447" s="65">
        <v>8446</v>
      </c>
      <c r="B8447" s="64">
        <v>29382716.471637316</v>
      </c>
    </row>
    <row r="8448" spans="1:2" x14ac:dyDescent="0.25">
      <c r="A8448" s="65">
        <v>8447</v>
      </c>
      <c r="B8448" s="64">
        <v>29301973.395942602</v>
      </c>
    </row>
    <row r="8449" spans="1:2" x14ac:dyDescent="0.25">
      <c r="A8449" s="65">
        <v>8448</v>
      </c>
      <c r="B8449" s="64">
        <v>29293179.111250978</v>
      </c>
    </row>
    <row r="8450" spans="1:2" x14ac:dyDescent="0.25">
      <c r="A8450" s="65">
        <v>8449</v>
      </c>
      <c r="B8450" s="64">
        <v>28880440.374856375</v>
      </c>
    </row>
    <row r="8451" spans="1:2" x14ac:dyDescent="0.25">
      <c r="A8451" s="65">
        <v>8450</v>
      </c>
      <c r="B8451" s="64">
        <v>30654209.518741217</v>
      </c>
    </row>
    <row r="8452" spans="1:2" x14ac:dyDescent="0.25">
      <c r="A8452" s="65">
        <v>8451</v>
      </c>
      <c r="B8452" s="64">
        <v>29366190.681782357</v>
      </c>
    </row>
    <row r="8453" spans="1:2" x14ac:dyDescent="0.25">
      <c r="A8453" s="65">
        <v>8452</v>
      </c>
      <c r="B8453" s="64">
        <v>28425437.766928732</v>
      </c>
    </row>
    <row r="8454" spans="1:2" x14ac:dyDescent="0.25">
      <c r="A8454" s="65">
        <v>8453</v>
      </c>
      <c r="B8454" s="64">
        <v>29519872.005388144</v>
      </c>
    </row>
    <row r="8455" spans="1:2" x14ac:dyDescent="0.25">
      <c r="A8455" s="65">
        <v>8454</v>
      </c>
      <c r="B8455" s="64">
        <v>28872668.148554157</v>
      </c>
    </row>
    <row r="8456" spans="1:2" x14ac:dyDescent="0.25">
      <c r="A8456" s="65">
        <v>8455</v>
      </c>
      <c r="B8456" s="64">
        <v>28935974.192009147</v>
      </c>
    </row>
    <row r="8457" spans="1:2" x14ac:dyDescent="0.25">
      <c r="A8457" s="65">
        <v>8456</v>
      </c>
      <c r="B8457" s="64">
        <v>29429096.154694028</v>
      </c>
    </row>
    <row r="8458" spans="1:2" x14ac:dyDescent="0.25">
      <c r="A8458" s="65">
        <v>8457</v>
      </c>
      <c r="B8458" s="64">
        <v>29209935.189746652</v>
      </c>
    </row>
    <row r="8459" spans="1:2" x14ac:dyDescent="0.25">
      <c r="A8459" s="65">
        <v>8458</v>
      </c>
      <c r="B8459" s="64">
        <v>28962739.342047304</v>
      </c>
    </row>
    <row r="8460" spans="1:2" x14ac:dyDescent="0.25">
      <c r="A8460" s="65">
        <v>8459</v>
      </c>
      <c r="B8460" s="64">
        <v>28700750.312106859</v>
      </c>
    </row>
    <row r="8461" spans="1:2" x14ac:dyDescent="0.25">
      <c r="A8461" s="65">
        <v>8460</v>
      </c>
      <c r="B8461" s="64">
        <v>29590583.691119131</v>
      </c>
    </row>
    <row r="8462" spans="1:2" x14ac:dyDescent="0.25">
      <c r="A8462" s="65">
        <v>8461</v>
      </c>
      <c r="B8462" s="64">
        <v>28840876.474160373</v>
      </c>
    </row>
    <row r="8463" spans="1:2" x14ac:dyDescent="0.25">
      <c r="A8463" s="65">
        <v>8462</v>
      </c>
      <c r="B8463" s="64">
        <v>29047630.966253363</v>
      </c>
    </row>
    <row r="8464" spans="1:2" x14ac:dyDescent="0.25">
      <c r="A8464" s="65">
        <v>8463</v>
      </c>
      <c r="B8464" s="64">
        <v>29412657.97974648</v>
      </c>
    </row>
    <row r="8465" spans="1:2" x14ac:dyDescent="0.25">
      <c r="A8465" s="65">
        <v>8464</v>
      </c>
      <c r="B8465" s="64">
        <v>29525344.943331026</v>
      </c>
    </row>
    <row r="8466" spans="1:2" x14ac:dyDescent="0.25">
      <c r="A8466" s="65">
        <v>8465</v>
      </c>
      <c r="B8466" s="64">
        <v>28840202.332226053</v>
      </c>
    </row>
    <row r="8467" spans="1:2" x14ac:dyDescent="0.25">
      <c r="A8467" s="65">
        <v>8466</v>
      </c>
      <c r="B8467" s="64">
        <v>29125138.870895907</v>
      </c>
    </row>
    <row r="8468" spans="1:2" x14ac:dyDescent="0.25">
      <c r="A8468" s="65">
        <v>8467</v>
      </c>
      <c r="B8468" s="64">
        <v>28878764.817418963</v>
      </c>
    </row>
    <row r="8469" spans="1:2" x14ac:dyDescent="0.25">
      <c r="A8469" s="65">
        <v>8468</v>
      </c>
      <c r="B8469" s="64">
        <v>29320760.033173859</v>
      </c>
    </row>
    <row r="8470" spans="1:2" x14ac:dyDescent="0.25">
      <c r="A8470" s="65">
        <v>8469</v>
      </c>
      <c r="B8470" s="64">
        <v>29293954.742751569</v>
      </c>
    </row>
    <row r="8471" spans="1:2" x14ac:dyDescent="0.25">
      <c r="A8471" s="65">
        <v>8470</v>
      </c>
      <c r="B8471" s="64">
        <v>29319986.756709311</v>
      </c>
    </row>
    <row r="8472" spans="1:2" x14ac:dyDescent="0.25">
      <c r="A8472" s="65">
        <v>8471</v>
      </c>
      <c r="B8472" s="64">
        <v>33990883.48790291</v>
      </c>
    </row>
    <row r="8473" spans="1:2" x14ac:dyDescent="0.25">
      <c r="A8473" s="65">
        <v>8472</v>
      </c>
      <c r="B8473" s="64">
        <v>30078837.75913303</v>
      </c>
    </row>
    <row r="8474" spans="1:2" x14ac:dyDescent="0.25">
      <c r="A8474" s="65">
        <v>8473</v>
      </c>
      <c r="B8474" s="64">
        <v>28302994.52040112</v>
      </c>
    </row>
    <row r="8475" spans="1:2" x14ac:dyDescent="0.25">
      <c r="A8475" s="65">
        <v>8474</v>
      </c>
      <c r="B8475" s="64">
        <v>28613671.943745617</v>
      </c>
    </row>
    <row r="8476" spans="1:2" x14ac:dyDescent="0.25">
      <c r="A8476" s="65">
        <v>8475</v>
      </c>
      <c r="B8476" s="64">
        <v>30040042.313692097</v>
      </c>
    </row>
    <row r="8477" spans="1:2" x14ac:dyDescent="0.25">
      <c r="A8477" s="65">
        <v>8476</v>
      </c>
      <c r="B8477" s="64">
        <v>30204406.15819519</v>
      </c>
    </row>
    <row r="8478" spans="1:2" x14ac:dyDescent="0.25">
      <c r="A8478" s="65">
        <v>8477</v>
      </c>
      <c r="B8478" s="64">
        <v>29250936.808947094</v>
      </c>
    </row>
    <row r="8479" spans="1:2" x14ac:dyDescent="0.25">
      <c r="A8479" s="65">
        <v>8478</v>
      </c>
      <c r="B8479" s="64">
        <v>28514017.112280931</v>
      </c>
    </row>
    <row r="8480" spans="1:2" x14ac:dyDescent="0.25">
      <c r="A8480" s="65">
        <v>8479</v>
      </c>
      <c r="B8480" s="64">
        <v>29007468.909255352</v>
      </c>
    </row>
    <row r="8481" spans="1:2" x14ac:dyDescent="0.25">
      <c r="A8481" s="65">
        <v>8480</v>
      </c>
      <c r="B8481" s="64">
        <v>28942240.269627985</v>
      </c>
    </row>
    <row r="8482" spans="1:2" x14ac:dyDescent="0.25">
      <c r="A8482" s="65">
        <v>8481</v>
      </c>
      <c r="B8482" s="64">
        <v>29277631.724505864</v>
      </c>
    </row>
    <row r="8483" spans="1:2" x14ac:dyDescent="0.25">
      <c r="A8483" s="65">
        <v>8482</v>
      </c>
      <c r="B8483" s="64">
        <v>31222708.529282261</v>
      </c>
    </row>
    <row r="8484" spans="1:2" x14ac:dyDescent="0.25">
      <c r="A8484" s="65">
        <v>8483</v>
      </c>
      <c r="B8484" s="64">
        <v>29909357.931609288</v>
      </c>
    </row>
    <row r="8485" spans="1:2" x14ac:dyDescent="0.25">
      <c r="A8485" s="65">
        <v>8484</v>
      </c>
      <c r="B8485" s="64">
        <v>28913211.855373465</v>
      </c>
    </row>
    <row r="8486" spans="1:2" x14ac:dyDescent="0.25">
      <c r="A8486" s="65">
        <v>8485</v>
      </c>
      <c r="B8486" s="64">
        <v>30400525.825489108</v>
      </c>
    </row>
    <row r="8487" spans="1:2" x14ac:dyDescent="0.25">
      <c r="A8487" s="65">
        <v>8486</v>
      </c>
      <c r="B8487" s="64">
        <v>30867038.242678754</v>
      </c>
    </row>
    <row r="8488" spans="1:2" x14ac:dyDescent="0.25">
      <c r="A8488" s="65">
        <v>8487</v>
      </c>
      <c r="B8488" s="64">
        <v>29169369.04343703</v>
      </c>
    </row>
    <row r="8489" spans="1:2" x14ac:dyDescent="0.25">
      <c r="A8489" s="65">
        <v>8488</v>
      </c>
      <c r="B8489" s="64">
        <v>29767944.262947921</v>
      </c>
    </row>
    <row r="8490" spans="1:2" x14ac:dyDescent="0.25">
      <c r="A8490" s="65">
        <v>8489</v>
      </c>
      <c r="B8490" s="64">
        <v>28946543.03268557</v>
      </c>
    </row>
    <row r="8491" spans="1:2" x14ac:dyDescent="0.25">
      <c r="A8491" s="65">
        <v>8490</v>
      </c>
      <c r="B8491" s="64">
        <v>29775507.339480009</v>
      </c>
    </row>
    <row r="8492" spans="1:2" x14ac:dyDescent="0.25">
      <c r="A8492" s="65">
        <v>8491</v>
      </c>
      <c r="B8492" s="64">
        <v>28532978.022428785</v>
      </c>
    </row>
    <row r="8493" spans="1:2" x14ac:dyDescent="0.25">
      <c r="A8493" s="65">
        <v>8492</v>
      </c>
      <c r="B8493" s="64">
        <v>29043028.445580635</v>
      </c>
    </row>
    <row r="8494" spans="1:2" x14ac:dyDescent="0.25">
      <c r="A8494" s="65">
        <v>8493</v>
      </c>
      <c r="B8494" s="64">
        <v>28895051.207822759</v>
      </c>
    </row>
    <row r="8495" spans="1:2" x14ac:dyDescent="0.25">
      <c r="A8495" s="65">
        <v>8494</v>
      </c>
      <c r="B8495" s="64">
        <v>33459983.938090589</v>
      </c>
    </row>
    <row r="8496" spans="1:2" x14ac:dyDescent="0.25">
      <c r="A8496" s="65">
        <v>8495</v>
      </c>
      <c r="B8496" s="64">
        <v>29204715.42889297</v>
      </c>
    </row>
    <row r="8497" spans="1:2" x14ac:dyDescent="0.25">
      <c r="A8497" s="65">
        <v>8496</v>
      </c>
      <c r="B8497" s="64">
        <v>28650535.675712612</v>
      </c>
    </row>
    <row r="8498" spans="1:2" x14ac:dyDescent="0.25">
      <c r="A8498" s="65">
        <v>8497</v>
      </c>
      <c r="B8498" s="64">
        <v>28554962.842965592</v>
      </c>
    </row>
    <row r="8499" spans="1:2" x14ac:dyDescent="0.25">
      <c r="A8499" s="65">
        <v>8498</v>
      </c>
      <c r="B8499" s="64">
        <v>28839151.753243774</v>
      </c>
    </row>
    <row r="8500" spans="1:2" x14ac:dyDescent="0.25">
      <c r="A8500" s="65">
        <v>8499</v>
      </c>
      <c r="B8500" s="64">
        <v>28764908.496628337</v>
      </c>
    </row>
    <row r="8501" spans="1:2" x14ac:dyDescent="0.25">
      <c r="A8501" s="65">
        <v>8500</v>
      </c>
      <c r="B8501" s="64">
        <v>30114394.991594903</v>
      </c>
    </row>
    <row r="8502" spans="1:2" x14ac:dyDescent="0.25">
      <c r="A8502" s="65">
        <v>8501</v>
      </c>
      <c r="B8502" s="64">
        <v>29450294.977959242</v>
      </c>
    </row>
    <row r="8503" spans="1:2" x14ac:dyDescent="0.25">
      <c r="A8503" s="65">
        <v>8502</v>
      </c>
      <c r="B8503" s="64">
        <v>29679240.600931969</v>
      </c>
    </row>
    <row r="8504" spans="1:2" x14ac:dyDescent="0.25">
      <c r="A8504" s="65">
        <v>8503</v>
      </c>
      <c r="B8504" s="64">
        <v>28921666.873533286</v>
      </c>
    </row>
    <row r="8505" spans="1:2" x14ac:dyDescent="0.25">
      <c r="A8505" s="65">
        <v>8504</v>
      </c>
      <c r="B8505" s="64">
        <v>29376882.142699774</v>
      </c>
    </row>
    <row r="8506" spans="1:2" x14ac:dyDescent="0.25">
      <c r="A8506" s="65">
        <v>8505</v>
      </c>
      <c r="B8506" s="64">
        <v>29332833.802081719</v>
      </c>
    </row>
    <row r="8507" spans="1:2" x14ac:dyDescent="0.25">
      <c r="A8507" s="65">
        <v>8506</v>
      </c>
      <c r="B8507" s="64">
        <v>30069450.365412932</v>
      </c>
    </row>
    <row r="8508" spans="1:2" x14ac:dyDescent="0.25">
      <c r="A8508" s="65">
        <v>8507</v>
      </c>
      <c r="B8508" s="64">
        <v>29947939.888404224</v>
      </c>
    </row>
    <row r="8509" spans="1:2" x14ac:dyDescent="0.25">
      <c r="A8509" s="65">
        <v>8508</v>
      </c>
      <c r="B8509" s="64">
        <v>29447295.939202577</v>
      </c>
    </row>
    <row r="8510" spans="1:2" x14ac:dyDescent="0.25">
      <c r="A8510" s="65">
        <v>8509</v>
      </c>
      <c r="B8510" s="64">
        <v>28643501.912800089</v>
      </c>
    </row>
    <row r="8511" spans="1:2" x14ac:dyDescent="0.25">
      <c r="A8511" s="65">
        <v>8510</v>
      </c>
      <c r="B8511" s="64">
        <v>29957825.606723174</v>
      </c>
    </row>
    <row r="8512" spans="1:2" x14ac:dyDescent="0.25">
      <c r="A8512" s="65">
        <v>8511</v>
      </c>
      <c r="B8512" s="64">
        <v>29392700.502728328</v>
      </c>
    </row>
    <row r="8513" spans="1:2" x14ac:dyDescent="0.25">
      <c r="A8513" s="65">
        <v>8512</v>
      </c>
      <c r="B8513" s="64">
        <v>28901489.48311349</v>
      </c>
    </row>
    <row r="8514" spans="1:2" x14ac:dyDescent="0.25">
      <c r="A8514" s="65">
        <v>8513</v>
      </c>
      <c r="B8514" s="64">
        <v>30102743.362482201</v>
      </c>
    </row>
    <row r="8515" spans="1:2" x14ac:dyDescent="0.25">
      <c r="A8515" s="65">
        <v>8514</v>
      </c>
      <c r="B8515" s="64">
        <v>29087433.609758075</v>
      </c>
    </row>
    <row r="8516" spans="1:2" x14ac:dyDescent="0.25">
      <c r="A8516" s="65">
        <v>8515</v>
      </c>
      <c r="B8516" s="64">
        <v>28328688.46091431</v>
      </c>
    </row>
    <row r="8517" spans="1:2" x14ac:dyDescent="0.25">
      <c r="A8517" s="65">
        <v>8516</v>
      </c>
      <c r="B8517" s="64">
        <v>29335937.798767794</v>
      </c>
    </row>
    <row r="8518" spans="1:2" x14ac:dyDescent="0.25">
      <c r="A8518" s="65">
        <v>8517</v>
      </c>
      <c r="B8518" s="64">
        <v>30576229.679377161</v>
      </c>
    </row>
    <row r="8519" spans="1:2" x14ac:dyDescent="0.25">
      <c r="A8519" s="65">
        <v>8518</v>
      </c>
      <c r="B8519" s="64">
        <v>29916764.462575018</v>
      </c>
    </row>
    <row r="8520" spans="1:2" x14ac:dyDescent="0.25">
      <c r="A8520" s="65">
        <v>8519</v>
      </c>
      <c r="B8520" s="64">
        <v>28833412.279830858</v>
      </c>
    </row>
    <row r="8521" spans="1:2" x14ac:dyDescent="0.25">
      <c r="A8521" s="65">
        <v>8520</v>
      </c>
      <c r="B8521" s="64">
        <v>28934429.414405093</v>
      </c>
    </row>
    <row r="8522" spans="1:2" x14ac:dyDescent="0.25">
      <c r="A8522" s="65">
        <v>8521</v>
      </c>
      <c r="B8522" s="64">
        <v>29088521.33230257</v>
      </c>
    </row>
    <row r="8523" spans="1:2" x14ac:dyDescent="0.25">
      <c r="A8523" s="65">
        <v>8522</v>
      </c>
      <c r="B8523" s="64">
        <v>29164037.621357173</v>
      </c>
    </row>
    <row r="8524" spans="1:2" x14ac:dyDescent="0.25">
      <c r="A8524" s="65">
        <v>8523</v>
      </c>
      <c r="B8524" s="64">
        <v>29440814.582947109</v>
      </c>
    </row>
    <row r="8525" spans="1:2" x14ac:dyDescent="0.25">
      <c r="A8525" s="65">
        <v>8524</v>
      </c>
      <c r="B8525" s="64">
        <v>31289171.825918209</v>
      </c>
    </row>
    <row r="8526" spans="1:2" x14ac:dyDescent="0.25">
      <c r="A8526" s="65">
        <v>8525</v>
      </c>
      <c r="B8526" s="64">
        <v>29901381.919095106</v>
      </c>
    </row>
    <row r="8527" spans="1:2" x14ac:dyDescent="0.25">
      <c r="A8527" s="65">
        <v>8526</v>
      </c>
      <c r="B8527" s="64">
        <v>29590843.274110131</v>
      </c>
    </row>
    <row r="8528" spans="1:2" x14ac:dyDescent="0.25">
      <c r="A8528" s="65">
        <v>8527</v>
      </c>
      <c r="B8528" s="64">
        <v>28510648.873944912</v>
      </c>
    </row>
    <row r="8529" spans="1:2" x14ac:dyDescent="0.25">
      <c r="A8529" s="65">
        <v>8528</v>
      </c>
      <c r="B8529" s="64">
        <v>28798947.090097673</v>
      </c>
    </row>
    <row r="8530" spans="1:2" x14ac:dyDescent="0.25">
      <c r="A8530" s="65">
        <v>8529</v>
      </c>
      <c r="B8530" s="64">
        <v>28618293.451694153</v>
      </c>
    </row>
    <row r="8531" spans="1:2" x14ac:dyDescent="0.25">
      <c r="A8531" s="65">
        <v>8530</v>
      </c>
      <c r="B8531" s="64">
        <v>28839512.142525695</v>
      </c>
    </row>
    <row r="8532" spans="1:2" x14ac:dyDescent="0.25">
      <c r="A8532" s="65">
        <v>8531</v>
      </c>
      <c r="B8532" s="64">
        <v>28743820.560528502</v>
      </c>
    </row>
    <row r="8533" spans="1:2" x14ac:dyDescent="0.25">
      <c r="A8533" s="65">
        <v>8532</v>
      </c>
      <c r="B8533" s="64">
        <v>30041920.674726367</v>
      </c>
    </row>
    <row r="8534" spans="1:2" x14ac:dyDescent="0.25">
      <c r="A8534" s="65">
        <v>8533</v>
      </c>
      <c r="B8534" s="64">
        <v>28984103.860007562</v>
      </c>
    </row>
    <row r="8535" spans="1:2" x14ac:dyDescent="0.25">
      <c r="A8535" s="65">
        <v>8534</v>
      </c>
      <c r="B8535" s="64">
        <v>28638226.513283797</v>
      </c>
    </row>
    <row r="8536" spans="1:2" x14ac:dyDescent="0.25">
      <c r="A8536" s="65">
        <v>8535</v>
      </c>
      <c r="B8536" s="64">
        <v>29161157.688538074</v>
      </c>
    </row>
    <row r="8537" spans="1:2" x14ac:dyDescent="0.25">
      <c r="A8537" s="65">
        <v>8536</v>
      </c>
      <c r="B8537" s="64">
        <v>29032362.085392635</v>
      </c>
    </row>
    <row r="8538" spans="1:2" x14ac:dyDescent="0.25">
      <c r="A8538" s="65">
        <v>8537</v>
      </c>
      <c r="B8538" s="64">
        <v>29277380.556971829</v>
      </c>
    </row>
    <row r="8539" spans="1:2" x14ac:dyDescent="0.25">
      <c r="A8539" s="65">
        <v>8538</v>
      </c>
      <c r="B8539" s="64">
        <v>29294069.905102406</v>
      </c>
    </row>
    <row r="8540" spans="1:2" x14ac:dyDescent="0.25">
      <c r="A8540" s="65">
        <v>8539</v>
      </c>
      <c r="B8540" s="64">
        <v>29922306.581879105</v>
      </c>
    </row>
    <row r="8541" spans="1:2" x14ac:dyDescent="0.25">
      <c r="A8541" s="65">
        <v>8540</v>
      </c>
      <c r="B8541" s="64">
        <v>28455744.16215612</v>
      </c>
    </row>
    <row r="8542" spans="1:2" x14ac:dyDescent="0.25">
      <c r="A8542" s="65">
        <v>8541</v>
      </c>
      <c r="B8542" s="64">
        <v>29383713.416604839</v>
      </c>
    </row>
    <row r="8543" spans="1:2" x14ac:dyDescent="0.25">
      <c r="A8543" s="65">
        <v>8542</v>
      </c>
      <c r="B8543" s="64">
        <v>28990123.018767215</v>
      </c>
    </row>
    <row r="8544" spans="1:2" x14ac:dyDescent="0.25">
      <c r="A8544" s="65">
        <v>8543</v>
      </c>
      <c r="B8544" s="64">
        <v>32206449.485883165</v>
      </c>
    </row>
    <row r="8545" spans="1:2" x14ac:dyDescent="0.25">
      <c r="A8545" s="65">
        <v>8544</v>
      </c>
      <c r="B8545" s="64">
        <v>28789169.50532037</v>
      </c>
    </row>
    <row r="8546" spans="1:2" x14ac:dyDescent="0.25">
      <c r="A8546" s="65">
        <v>8545</v>
      </c>
      <c r="B8546" s="64">
        <v>29497817.377592072</v>
      </c>
    </row>
    <row r="8547" spans="1:2" x14ac:dyDescent="0.25">
      <c r="A8547" s="65">
        <v>8546</v>
      </c>
      <c r="B8547" s="64">
        <v>29855571.580279276</v>
      </c>
    </row>
    <row r="8548" spans="1:2" x14ac:dyDescent="0.25">
      <c r="A8548" s="65">
        <v>8547</v>
      </c>
      <c r="B8548" s="64">
        <v>29460497.15767993</v>
      </c>
    </row>
    <row r="8549" spans="1:2" x14ac:dyDescent="0.25">
      <c r="A8549" s="65">
        <v>8548</v>
      </c>
      <c r="B8549" s="64">
        <v>28605933.774047431</v>
      </c>
    </row>
    <row r="8550" spans="1:2" x14ac:dyDescent="0.25">
      <c r="A8550" s="65">
        <v>8549</v>
      </c>
      <c r="B8550" s="64">
        <v>30071538.252474051</v>
      </c>
    </row>
    <row r="8551" spans="1:2" x14ac:dyDescent="0.25">
      <c r="A8551" s="65">
        <v>8550</v>
      </c>
      <c r="B8551" s="64">
        <v>30905216.24995032</v>
      </c>
    </row>
    <row r="8552" spans="1:2" x14ac:dyDescent="0.25">
      <c r="A8552" s="65">
        <v>8551</v>
      </c>
      <c r="B8552" s="64">
        <v>29292567.889358792</v>
      </c>
    </row>
    <row r="8553" spans="1:2" x14ac:dyDescent="0.25">
      <c r="A8553" s="65">
        <v>8552</v>
      </c>
      <c r="B8553" s="64">
        <v>28585096.253038429</v>
      </c>
    </row>
    <row r="8554" spans="1:2" x14ac:dyDescent="0.25">
      <c r="A8554" s="65">
        <v>8553</v>
      </c>
      <c r="B8554" s="64">
        <v>29346040.33200898</v>
      </c>
    </row>
    <row r="8555" spans="1:2" x14ac:dyDescent="0.25">
      <c r="A8555" s="65">
        <v>8554</v>
      </c>
      <c r="B8555" s="64">
        <v>29047664.604465403</v>
      </c>
    </row>
    <row r="8556" spans="1:2" x14ac:dyDescent="0.25">
      <c r="A8556" s="65">
        <v>8555</v>
      </c>
      <c r="B8556" s="64">
        <v>30075095.24400017</v>
      </c>
    </row>
    <row r="8557" spans="1:2" x14ac:dyDescent="0.25">
      <c r="A8557" s="65">
        <v>8556</v>
      </c>
      <c r="B8557" s="64">
        <v>29380712.866841041</v>
      </c>
    </row>
    <row r="8558" spans="1:2" x14ac:dyDescent="0.25">
      <c r="A8558" s="65">
        <v>8557</v>
      </c>
      <c r="B8558" s="64">
        <v>30568282.920047447</v>
      </c>
    </row>
    <row r="8559" spans="1:2" x14ac:dyDescent="0.25">
      <c r="A8559" s="65">
        <v>8558</v>
      </c>
      <c r="B8559" s="64">
        <v>29793382.485605426</v>
      </c>
    </row>
    <row r="8560" spans="1:2" x14ac:dyDescent="0.25">
      <c r="A8560" s="65">
        <v>8559</v>
      </c>
      <c r="B8560" s="64">
        <v>29336810.431399468</v>
      </c>
    </row>
    <row r="8561" spans="1:2" x14ac:dyDescent="0.25">
      <c r="A8561" s="65">
        <v>8560</v>
      </c>
      <c r="B8561" s="64">
        <v>28648314.531974539</v>
      </c>
    </row>
    <row r="8562" spans="1:2" x14ac:dyDescent="0.25">
      <c r="A8562" s="65">
        <v>8561</v>
      </c>
      <c r="B8562" s="64">
        <v>28786837.626015916</v>
      </c>
    </row>
    <row r="8563" spans="1:2" x14ac:dyDescent="0.25">
      <c r="A8563" s="65">
        <v>8562</v>
      </c>
      <c r="B8563" s="64">
        <v>29656589.781985492</v>
      </c>
    </row>
    <row r="8564" spans="1:2" x14ac:dyDescent="0.25">
      <c r="A8564" s="65">
        <v>8563</v>
      </c>
      <c r="B8564" s="64">
        <v>28802005.937525667</v>
      </c>
    </row>
    <row r="8565" spans="1:2" x14ac:dyDescent="0.25">
      <c r="A8565" s="65">
        <v>8564</v>
      </c>
      <c r="B8565" s="64">
        <v>28938027.473320402</v>
      </c>
    </row>
    <row r="8566" spans="1:2" x14ac:dyDescent="0.25">
      <c r="A8566" s="65">
        <v>8565</v>
      </c>
      <c r="B8566" s="64">
        <v>29102261.991819695</v>
      </c>
    </row>
    <row r="8567" spans="1:2" x14ac:dyDescent="0.25">
      <c r="A8567" s="65">
        <v>8566</v>
      </c>
      <c r="B8567" s="64">
        <v>28905808.473735757</v>
      </c>
    </row>
    <row r="8568" spans="1:2" x14ac:dyDescent="0.25">
      <c r="A8568" s="65">
        <v>8567</v>
      </c>
      <c r="B8568" s="64">
        <v>28720009.998178303</v>
      </c>
    </row>
    <row r="8569" spans="1:2" x14ac:dyDescent="0.25">
      <c r="A8569" s="65">
        <v>8568</v>
      </c>
      <c r="B8569" s="64">
        <v>29856532.524430905</v>
      </c>
    </row>
    <row r="8570" spans="1:2" x14ac:dyDescent="0.25">
      <c r="A8570" s="65">
        <v>8569</v>
      </c>
      <c r="B8570" s="64">
        <v>29210725.760554705</v>
      </c>
    </row>
    <row r="8571" spans="1:2" x14ac:dyDescent="0.25">
      <c r="A8571" s="65">
        <v>8570</v>
      </c>
      <c r="B8571" s="64">
        <v>28400178.318306871</v>
      </c>
    </row>
    <row r="8572" spans="1:2" x14ac:dyDescent="0.25">
      <c r="A8572" s="65">
        <v>8571</v>
      </c>
      <c r="B8572" s="64">
        <v>28577941.616258577</v>
      </c>
    </row>
    <row r="8573" spans="1:2" x14ac:dyDescent="0.25">
      <c r="A8573" s="65">
        <v>8572</v>
      </c>
      <c r="B8573" s="64">
        <v>28735078.958008371</v>
      </c>
    </row>
    <row r="8574" spans="1:2" x14ac:dyDescent="0.25">
      <c r="A8574" s="65">
        <v>8573</v>
      </c>
      <c r="B8574" s="64">
        <v>29046418.282801699</v>
      </c>
    </row>
    <row r="8575" spans="1:2" x14ac:dyDescent="0.25">
      <c r="A8575" s="65">
        <v>8574</v>
      </c>
      <c r="B8575" s="64">
        <v>28823170.857860431</v>
      </c>
    </row>
    <row r="8576" spans="1:2" x14ac:dyDescent="0.25">
      <c r="A8576" s="65">
        <v>8575</v>
      </c>
      <c r="B8576" s="64">
        <v>29910232.337679457</v>
      </c>
    </row>
    <row r="8577" spans="1:2" x14ac:dyDescent="0.25">
      <c r="A8577" s="65">
        <v>8576</v>
      </c>
      <c r="B8577" s="64">
        <v>29130139.057015568</v>
      </c>
    </row>
    <row r="8578" spans="1:2" x14ac:dyDescent="0.25">
      <c r="A8578" s="65">
        <v>8577</v>
      </c>
      <c r="B8578" s="64">
        <v>29157171.120200109</v>
      </c>
    </row>
    <row r="8579" spans="1:2" x14ac:dyDescent="0.25">
      <c r="A8579" s="65">
        <v>8578</v>
      </c>
      <c r="B8579" s="64">
        <v>28589905.147998042</v>
      </c>
    </row>
    <row r="8580" spans="1:2" x14ac:dyDescent="0.25">
      <c r="A8580" s="65">
        <v>8579</v>
      </c>
      <c r="B8580" s="64">
        <v>29580594.196229193</v>
      </c>
    </row>
    <row r="8581" spans="1:2" x14ac:dyDescent="0.25">
      <c r="A8581" s="65">
        <v>8580</v>
      </c>
      <c r="B8581" s="64">
        <v>29362415.372755356</v>
      </c>
    </row>
    <row r="8582" spans="1:2" x14ac:dyDescent="0.25">
      <c r="A8582" s="65">
        <v>8581</v>
      </c>
      <c r="B8582" s="64">
        <v>29930514.227948256</v>
      </c>
    </row>
    <row r="8583" spans="1:2" x14ac:dyDescent="0.25">
      <c r="A8583" s="65">
        <v>8582</v>
      </c>
      <c r="B8583" s="64">
        <v>28634829.115387555</v>
      </c>
    </row>
    <row r="8584" spans="1:2" x14ac:dyDescent="0.25">
      <c r="A8584" s="65">
        <v>8583</v>
      </c>
      <c r="B8584" s="64">
        <v>29230071.853588019</v>
      </c>
    </row>
    <row r="8585" spans="1:2" x14ac:dyDescent="0.25">
      <c r="A8585" s="65">
        <v>8584</v>
      </c>
      <c r="B8585" s="64">
        <v>29922078.398486275</v>
      </c>
    </row>
    <row r="8586" spans="1:2" x14ac:dyDescent="0.25">
      <c r="A8586" s="65">
        <v>8585</v>
      </c>
      <c r="B8586" s="64">
        <v>29600356.510287866</v>
      </c>
    </row>
    <row r="8587" spans="1:2" x14ac:dyDescent="0.25">
      <c r="A8587" s="65">
        <v>8586</v>
      </c>
      <c r="B8587" s="64">
        <v>29496291.534907158</v>
      </c>
    </row>
    <row r="8588" spans="1:2" x14ac:dyDescent="0.25">
      <c r="A8588" s="65">
        <v>8587</v>
      </c>
      <c r="B8588" s="64">
        <v>29645852.846173227</v>
      </c>
    </row>
    <row r="8589" spans="1:2" x14ac:dyDescent="0.25">
      <c r="A8589" s="65">
        <v>8588</v>
      </c>
      <c r="B8589" s="64">
        <v>30811554.378632922</v>
      </c>
    </row>
    <row r="8590" spans="1:2" x14ac:dyDescent="0.25">
      <c r="A8590" s="65">
        <v>8589</v>
      </c>
      <c r="B8590" s="64">
        <v>29018672.82621849</v>
      </c>
    </row>
    <row r="8591" spans="1:2" x14ac:dyDescent="0.25">
      <c r="A8591" s="65">
        <v>8590</v>
      </c>
      <c r="B8591" s="64">
        <v>31732515.572869275</v>
      </c>
    </row>
    <row r="8592" spans="1:2" x14ac:dyDescent="0.25">
      <c r="A8592" s="65">
        <v>8591</v>
      </c>
      <c r="B8592" s="64">
        <v>28378005.664926097</v>
      </c>
    </row>
    <row r="8593" spans="1:2" x14ac:dyDescent="0.25">
      <c r="A8593" s="65">
        <v>8592</v>
      </c>
      <c r="B8593" s="64">
        <v>29842234.61579439</v>
      </c>
    </row>
    <row r="8594" spans="1:2" x14ac:dyDescent="0.25">
      <c r="A8594" s="65">
        <v>8593</v>
      </c>
      <c r="B8594" s="64">
        <v>30887630.410224691</v>
      </c>
    </row>
    <row r="8595" spans="1:2" x14ac:dyDescent="0.25">
      <c r="A8595" s="65">
        <v>8594</v>
      </c>
      <c r="B8595" s="64">
        <v>29380562.6147721</v>
      </c>
    </row>
    <row r="8596" spans="1:2" x14ac:dyDescent="0.25">
      <c r="A8596" s="65">
        <v>8595</v>
      </c>
      <c r="B8596" s="64">
        <v>28720319.616418716</v>
      </c>
    </row>
    <row r="8597" spans="1:2" x14ac:dyDescent="0.25">
      <c r="A8597" s="65">
        <v>8596</v>
      </c>
      <c r="B8597" s="64">
        <v>29834800.539989065</v>
      </c>
    </row>
    <row r="8598" spans="1:2" x14ac:dyDescent="0.25">
      <c r="A8598" s="65">
        <v>8597</v>
      </c>
      <c r="B8598" s="64">
        <v>28673686.349913325</v>
      </c>
    </row>
    <row r="8599" spans="1:2" x14ac:dyDescent="0.25">
      <c r="A8599" s="65">
        <v>8598</v>
      </c>
      <c r="B8599" s="64">
        <v>29786329.754415128</v>
      </c>
    </row>
    <row r="8600" spans="1:2" x14ac:dyDescent="0.25">
      <c r="A8600" s="65">
        <v>8599</v>
      </c>
      <c r="B8600" s="64">
        <v>28742130.962534476</v>
      </c>
    </row>
    <row r="8601" spans="1:2" x14ac:dyDescent="0.25">
      <c r="A8601" s="65">
        <v>8600</v>
      </c>
      <c r="B8601" s="64">
        <v>29103309.54506737</v>
      </c>
    </row>
    <row r="8602" spans="1:2" x14ac:dyDescent="0.25">
      <c r="A8602" s="65">
        <v>8601</v>
      </c>
      <c r="B8602" s="64">
        <v>28613844.976065055</v>
      </c>
    </row>
    <row r="8603" spans="1:2" x14ac:dyDescent="0.25">
      <c r="A8603" s="65">
        <v>8602</v>
      </c>
      <c r="B8603" s="64">
        <v>29354975.207946535</v>
      </c>
    </row>
    <row r="8604" spans="1:2" x14ac:dyDescent="0.25">
      <c r="A8604" s="65">
        <v>8603</v>
      </c>
      <c r="B8604" s="64">
        <v>29038798.905761871</v>
      </c>
    </row>
    <row r="8605" spans="1:2" x14ac:dyDescent="0.25">
      <c r="A8605" s="65">
        <v>8604</v>
      </c>
      <c r="B8605" s="64">
        <v>28894417.682111152</v>
      </c>
    </row>
    <row r="8606" spans="1:2" x14ac:dyDescent="0.25">
      <c r="A8606" s="65">
        <v>8605</v>
      </c>
      <c r="B8606" s="64">
        <v>29645698.415788628</v>
      </c>
    </row>
    <row r="8607" spans="1:2" x14ac:dyDescent="0.25">
      <c r="A8607" s="65">
        <v>8606</v>
      </c>
      <c r="B8607" s="64">
        <v>28780950.884763319</v>
      </c>
    </row>
    <row r="8608" spans="1:2" x14ac:dyDescent="0.25">
      <c r="A8608" s="65">
        <v>8607</v>
      </c>
      <c r="B8608" s="64">
        <v>29437831.193347875</v>
      </c>
    </row>
    <row r="8609" spans="1:2" x14ac:dyDescent="0.25">
      <c r="A8609" s="65">
        <v>8608</v>
      </c>
      <c r="B8609" s="64">
        <v>29947496.242084131</v>
      </c>
    </row>
    <row r="8610" spans="1:2" x14ac:dyDescent="0.25">
      <c r="A8610" s="65">
        <v>8609</v>
      </c>
      <c r="B8610" s="64">
        <v>28884146.843083818</v>
      </c>
    </row>
    <row r="8611" spans="1:2" x14ac:dyDescent="0.25">
      <c r="A8611" s="65">
        <v>8610</v>
      </c>
      <c r="B8611" s="64">
        <v>28990411.40328189</v>
      </c>
    </row>
    <row r="8612" spans="1:2" x14ac:dyDescent="0.25">
      <c r="A8612" s="65">
        <v>8611</v>
      </c>
      <c r="B8612" s="64">
        <v>29797035.011186022</v>
      </c>
    </row>
    <row r="8613" spans="1:2" x14ac:dyDescent="0.25">
      <c r="A8613" s="65">
        <v>8612</v>
      </c>
      <c r="B8613" s="64">
        <v>30202632.74761967</v>
      </c>
    </row>
    <row r="8614" spans="1:2" x14ac:dyDescent="0.25">
      <c r="A8614" s="65">
        <v>8613</v>
      </c>
      <c r="B8614" s="64">
        <v>28729993.537544072</v>
      </c>
    </row>
    <row r="8615" spans="1:2" x14ac:dyDescent="0.25">
      <c r="A8615" s="65">
        <v>8614</v>
      </c>
      <c r="B8615" s="64">
        <v>29564436.904320702</v>
      </c>
    </row>
    <row r="8616" spans="1:2" x14ac:dyDescent="0.25">
      <c r="A8616" s="65">
        <v>8615</v>
      </c>
      <c r="B8616" s="64">
        <v>29319080.577304337</v>
      </c>
    </row>
    <row r="8617" spans="1:2" x14ac:dyDescent="0.25">
      <c r="A8617" s="65">
        <v>8616</v>
      </c>
      <c r="B8617" s="64">
        <v>29668368.816253845</v>
      </c>
    </row>
    <row r="8618" spans="1:2" x14ac:dyDescent="0.25">
      <c r="A8618" s="65">
        <v>8617</v>
      </c>
      <c r="B8618" s="64">
        <v>33421416.56895699</v>
      </c>
    </row>
    <row r="8619" spans="1:2" x14ac:dyDescent="0.25">
      <c r="A8619" s="65">
        <v>8618</v>
      </c>
      <c r="B8619" s="64">
        <v>30042348.856456447</v>
      </c>
    </row>
    <row r="8620" spans="1:2" x14ac:dyDescent="0.25">
      <c r="A8620" s="65">
        <v>8619</v>
      </c>
      <c r="B8620" s="64">
        <v>29067227.728723679</v>
      </c>
    </row>
    <row r="8621" spans="1:2" x14ac:dyDescent="0.25">
      <c r="A8621" s="65">
        <v>8620</v>
      </c>
      <c r="B8621" s="64">
        <v>30058573.878838964</v>
      </c>
    </row>
    <row r="8622" spans="1:2" x14ac:dyDescent="0.25">
      <c r="A8622" s="65">
        <v>8621</v>
      </c>
      <c r="B8622" s="64">
        <v>28522641.774605904</v>
      </c>
    </row>
    <row r="8623" spans="1:2" x14ac:dyDescent="0.25">
      <c r="A8623" s="65">
        <v>8622</v>
      </c>
      <c r="B8623" s="64">
        <v>28622746.000055589</v>
      </c>
    </row>
    <row r="8624" spans="1:2" x14ac:dyDescent="0.25">
      <c r="A8624" s="65">
        <v>8623</v>
      </c>
      <c r="B8624" s="64">
        <v>29022409.955322132</v>
      </c>
    </row>
    <row r="8625" spans="1:2" x14ac:dyDescent="0.25">
      <c r="A8625" s="65">
        <v>8624</v>
      </c>
      <c r="B8625" s="64">
        <v>29935789.311023869</v>
      </c>
    </row>
    <row r="8626" spans="1:2" x14ac:dyDescent="0.25">
      <c r="A8626" s="65">
        <v>8625</v>
      </c>
      <c r="B8626" s="64">
        <v>29714751.477709312</v>
      </c>
    </row>
    <row r="8627" spans="1:2" x14ac:dyDescent="0.25">
      <c r="A8627" s="65">
        <v>8626</v>
      </c>
      <c r="B8627" s="64">
        <v>28872709.489626456</v>
      </c>
    </row>
    <row r="8628" spans="1:2" x14ac:dyDescent="0.25">
      <c r="A8628" s="65">
        <v>8627</v>
      </c>
      <c r="B8628" s="64">
        <v>28708991.283310357</v>
      </c>
    </row>
    <row r="8629" spans="1:2" x14ac:dyDescent="0.25">
      <c r="A8629" s="65">
        <v>8628</v>
      </c>
      <c r="B8629" s="64">
        <v>29903654.097270917</v>
      </c>
    </row>
    <row r="8630" spans="1:2" x14ac:dyDescent="0.25">
      <c r="A8630" s="65">
        <v>8629</v>
      </c>
      <c r="B8630" s="64">
        <v>29556090.477684401</v>
      </c>
    </row>
    <row r="8631" spans="1:2" x14ac:dyDescent="0.25">
      <c r="A8631" s="65">
        <v>8630</v>
      </c>
      <c r="B8631" s="64">
        <v>29456811.375753257</v>
      </c>
    </row>
    <row r="8632" spans="1:2" x14ac:dyDescent="0.25">
      <c r="A8632" s="65">
        <v>8631</v>
      </c>
      <c r="B8632" s="64">
        <v>30097876.012477253</v>
      </c>
    </row>
    <row r="8633" spans="1:2" x14ac:dyDescent="0.25">
      <c r="A8633" s="65">
        <v>8632</v>
      </c>
      <c r="B8633" s="64">
        <v>28759079.574392032</v>
      </c>
    </row>
    <row r="8634" spans="1:2" x14ac:dyDescent="0.25">
      <c r="A8634" s="65">
        <v>8633</v>
      </c>
      <c r="B8634" s="64">
        <v>29983476.273583263</v>
      </c>
    </row>
    <row r="8635" spans="1:2" x14ac:dyDescent="0.25">
      <c r="A8635" s="65">
        <v>8634</v>
      </c>
      <c r="B8635" s="64">
        <v>28930691.299930874</v>
      </c>
    </row>
    <row r="8636" spans="1:2" x14ac:dyDescent="0.25">
      <c r="A8636" s="65">
        <v>8635</v>
      </c>
      <c r="B8636" s="64">
        <v>28894631.037995242</v>
      </c>
    </row>
    <row r="8637" spans="1:2" x14ac:dyDescent="0.25">
      <c r="A8637" s="65">
        <v>8636</v>
      </c>
      <c r="B8637" s="64">
        <v>28729665.419611927</v>
      </c>
    </row>
    <row r="8638" spans="1:2" x14ac:dyDescent="0.25">
      <c r="A8638" s="65">
        <v>8637</v>
      </c>
      <c r="B8638" s="64">
        <v>29388375.954477564</v>
      </c>
    </row>
    <row r="8639" spans="1:2" x14ac:dyDescent="0.25">
      <c r="A8639" s="65">
        <v>8638</v>
      </c>
      <c r="B8639" s="64">
        <v>28819131.641854681</v>
      </c>
    </row>
    <row r="8640" spans="1:2" x14ac:dyDescent="0.25">
      <c r="A8640" s="65">
        <v>8639</v>
      </c>
      <c r="B8640" s="64">
        <v>31478130.323147044</v>
      </c>
    </row>
    <row r="8641" spans="1:2" x14ac:dyDescent="0.25">
      <c r="A8641" s="65">
        <v>8640</v>
      </c>
      <c r="B8641" s="64">
        <v>29105753.317449879</v>
      </c>
    </row>
    <row r="8642" spans="1:2" x14ac:dyDescent="0.25">
      <c r="A8642" s="65">
        <v>8641</v>
      </c>
      <c r="B8642" s="64">
        <v>30203470.226051401</v>
      </c>
    </row>
    <row r="8643" spans="1:2" x14ac:dyDescent="0.25">
      <c r="A8643" s="65">
        <v>8642</v>
      </c>
      <c r="B8643" s="64">
        <v>28877821.95482621</v>
      </c>
    </row>
    <row r="8644" spans="1:2" x14ac:dyDescent="0.25">
      <c r="A8644" s="65">
        <v>8643</v>
      </c>
      <c r="B8644" s="64">
        <v>29460083.771058522</v>
      </c>
    </row>
    <row r="8645" spans="1:2" x14ac:dyDescent="0.25">
      <c r="A8645" s="65">
        <v>8644</v>
      </c>
      <c r="B8645" s="64">
        <v>29647344.973481636</v>
      </c>
    </row>
    <row r="8646" spans="1:2" x14ac:dyDescent="0.25">
      <c r="A8646" s="65">
        <v>8645</v>
      </c>
      <c r="B8646" s="64">
        <v>29673633.086557433</v>
      </c>
    </row>
    <row r="8647" spans="1:2" x14ac:dyDescent="0.25">
      <c r="A8647" s="65">
        <v>8646</v>
      </c>
      <c r="B8647" s="64">
        <v>29157318.785747692</v>
      </c>
    </row>
    <row r="8648" spans="1:2" x14ac:dyDescent="0.25">
      <c r="A8648" s="65">
        <v>8647</v>
      </c>
      <c r="B8648" s="64">
        <v>34816694.997804612</v>
      </c>
    </row>
    <row r="8649" spans="1:2" x14ac:dyDescent="0.25">
      <c r="A8649" s="65">
        <v>8648</v>
      </c>
      <c r="B8649" s="64">
        <v>29053581.328411233</v>
      </c>
    </row>
    <row r="8650" spans="1:2" x14ac:dyDescent="0.25">
      <c r="A8650" s="65">
        <v>8649</v>
      </c>
      <c r="B8650" s="64">
        <v>29381387.01330287</v>
      </c>
    </row>
    <row r="8651" spans="1:2" x14ac:dyDescent="0.25">
      <c r="A8651" s="65">
        <v>8650</v>
      </c>
      <c r="B8651" s="64">
        <v>29848362.175135914</v>
      </c>
    </row>
    <row r="8652" spans="1:2" x14ac:dyDescent="0.25">
      <c r="A8652" s="65">
        <v>8651</v>
      </c>
      <c r="B8652" s="64">
        <v>29163416.191956274</v>
      </c>
    </row>
    <row r="8653" spans="1:2" x14ac:dyDescent="0.25">
      <c r="A8653" s="65">
        <v>8652</v>
      </c>
      <c r="B8653" s="64">
        <v>28692423.832176041</v>
      </c>
    </row>
    <row r="8654" spans="1:2" x14ac:dyDescent="0.25">
      <c r="A8654" s="65">
        <v>8653</v>
      </c>
      <c r="B8654" s="64">
        <v>28818803.437343478</v>
      </c>
    </row>
    <row r="8655" spans="1:2" x14ac:dyDescent="0.25">
      <c r="A8655" s="65">
        <v>8654</v>
      </c>
      <c r="B8655" s="64">
        <v>28666847.095812686</v>
      </c>
    </row>
    <row r="8656" spans="1:2" x14ac:dyDescent="0.25">
      <c r="A8656" s="65">
        <v>8655</v>
      </c>
      <c r="B8656" s="64">
        <v>28481519.124338347</v>
      </c>
    </row>
    <row r="8657" spans="1:2" x14ac:dyDescent="0.25">
      <c r="A8657" s="65">
        <v>8656</v>
      </c>
      <c r="B8657" s="64">
        <v>28937697.469320707</v>
      </c>
    </row>
    <row r="8658" spans="1:2" x14ac:dyDescent="0.25">
      <c r="A8658" s="65">
        <v>8657</v>
      </c>
      <c r="B8658" s="64">
        <v>29655434.486799709</v>
      </c>
    </row>
    <row r="8659" spans="1:2" x14ac:dyDescent="0.25">
      <c r="A8659" s="65">
        <v>8658</v>
      </c>
      <c r="B8659" s="64">
        <v>29791537.889867198</v>
      </c>
    </row>
    <row r="8660" spans="1:2" x14ac:dyDescent="0.25">
      <c r="A8660" s="65">
        <v>8659</v>
      </c>
      <c r="B8660" s="64">
        <v>29798440.697468229</v>
      </c>
    </row>
    <row r="8661" spans="1:2" x14ac:dyDescent="0.25">
      <c r="A8661" s="65">
        <v>8660</v>
      </c>
      <c r="B8661" s="64">
        <v>30785043.605563711</v>
      </c>
    </row>
    <row r="8662" spans="1:2" x14ac:dyDescent="0.25">
      <c r="A8662" s="65">
        <v>8661</v>
      </c>
      <c r="B8662" s="64">
        <v>29186265.715484027</v>
      </c>
    </row>
    <row r="8663" spans="1:2" x14ac:dyDescent="0.25">
      <c r="A8663" s="65">
        <v>8662</v>
      </c>
      <c r="B8663" s="64">
        <v>29743843.149116971</v>
      </c>
    </row>
    <row r="8664" spans="1:2" x14ac:dyDescent="0.25">
      <c r="A8664" s="65">
        <v>8663</v>
      </c>
      <c r="B8664" s="64">
        <v>28821767.707874447</v>
      </c>
    </row>
    <row r="8665" spans="1:2" x14ac:dyDescent="0.25">
      <c r="A8665" s="65">
        <v>8664</v>
      </c>
      <c r="B8665" s="64">
        <v>28866459.749654867</v>
      </c>
    </row>
    <row r="8666" spans="1:2" x14ac:dyDescent="0.25">
      <c r="A8666" s="65">
        <v>8665</v>
      </c>
      <c r="B8666" s="64">
        <v>28738255.075774662</v>
      </c>
    </row>
    <row r="8667" spans="1:2" x14ac:dyDescent="0.25">
      <c r="A8667" s="65">
        <v>8666</v>
      </c>
      <c r="B8667" s="64">
        <v>32508649.384638045</v>
      </c>
    </row>
    <row r="8668" spans="1:2" x14ac:dyDescent="0.25">
      <c r="A8668" s="65">
        <v>8667</v>
      </c>
      <c r="B8668" s="64">
        <v>29619665.489096336</v>
      </c>
    </row>
    <row r="8669" spans="1:2" x14ac:dyDescent="0.25">
      <c r="A8669" s="65">
        <v>8668</v>
      </c>
      <c r="B8669" s="64">
        <v>28397943.3039755</v>
      </c>
    </row>
    <row r="8670" spans="1:2" x14ac:dyDescent="0.25">
      <c r="A8670" s="65">
        <v>8669</v>
      </c>
      <c r="B8670" s="64">
        <v>28459407.930881996</v>
      </c>
    </row>
    <row r="8671" spans="1:2" x14ac:dyDescent="0.25">
      <c r="A8671" s="65">
        <v>8670</v>
      </c>
      <c r="B8671" s="64">
        <v>30092062.638961896</v>
      </c>
    </row>
    <row r="8672" spans="1:2" x14ac:dyDescent="0.25">
      <c r="A8672" s="65">
        <v>8671</v>
      </c>
      <c r="B8672" s="64">
        <v>34148986.265877567</v>
      </c>
    </row>
    <row r="8673" spans="1:2" x14ac:dyDescent="0.25">
      <c r="A8673" s="65">
        <v>8672</v>
      </c>
      <c r="B8673" s="64">
        <v>28829887.578629863</v>
      </c>
    </row>
    <row r="8674" spans="1:2" x14ac:dyDescent="0.25">
      <c r="A8674" s="65">
        <v>8673</v>
      </c>
      <c r="B8674" s="64">
        <v>29725472.284122121</v>
      </c>
    </row>
    <row r="8675" spans="1:2" x14ac:dyDescent="0.25">
      <c r="A8675" s="65">
        <v>8674</v>
      </c>
      <c r="B8675" s="64">
        <v>28945813.963985208</v>
      </c>
    </row>
    <row r="8676" spans="1:2" x14ac:dyDescent="0.25">
      <c r="A8676" s="65">
        <v>8675</v>
      </c>
      <c r="B8676" s="64">
        <v>29315433.292534828</v>
      </c>
    </row>
    <row r="8677" spans="1:2" x14ac:dyDescent="0.25">
      <c r="A8677" s="65">
        <v>8676</v>
      </c>
      <c r="B8677" s="64">
        <v>29238181.028965469</v>
      </c>
    </row>
    <row r="8678" spans="1:2" x14ac:dyDescent="0.25">
      <c r="A8678" s="65">
        <v>8677</v>
      </c>
      <c r="B8678" s="64">
        <v>29525608.789450537</v>
      </c>
    </row>
    <row r="8679" spans="1:2" x14ac:dyDescent="0.25">
      <c r="A8679" s="65">
        <v>8678</v>
      </c>
      <c r="B8679" s="64">
        <v>33288620.705637801</v>
      </c>
    </row>
    <row r="8680" spans="1:2" x14ac:dyDescent="0.25">
      <c r="A8680" s="65">
        <v>8679</v>
      </c>
      <c r="B8680" s="64">
        <v>28913910.114025418</v>
      </c>
    </row>
    <row r="8681" spans="1:2" x14ac:dyDescent="0.25">
      <c r="A8681" s="65">
        <v>8680</v>
      </c>
      <c r="B8681" s="64">
        <v>28598395.9815825</v>
      </c>
    </row>
    <row r="8682" spans="1:2" x14ac:dyDescent="0.25">
      <c r="A8682" s="65">
        <v>8681</v>
      </c>
      <c r="B8682" s="64">
        <v>30162208.386812899</v>
      </c>
    </row>
    <row r="8683" spans="1:2" x14ac:dyDescent="0.25">
      <c r="A8683" s="65">
        <v>8682</v>
      </c>
      <c r="B8683" s="64">
        <v>28607985.394569289</v>
      </c>
    </row>
    <row r="8684" spans="1:2" x14ac:dyDescent="0.25">
      <c r="A8684" s="65">
        <v>8683</v>
      </c>
      <c r="B8684" s="64">
        <v>29005121.342200551</v>
      </c>
    </row>
    <row r="8685" spans="1:2" x14ac:dyDescent="0.25">
      <c r="A8685" s="65">
        <v>8684</v>
      </c>
      <c r="B8685" s="64">
        <v>28773980.37029209</v>
      </c>
    </row>
    <row r="8686" spans="1:2" x14ac:dyDescent="0.25">
      <c r="A8686" s="65">
        <v>8685</v>
      </c>
      <c r="B8686" s="64">
        <v>29444404.656497743</v>
      </c>
    </row>
    <row r="8687" spans="1:2" x14ac:dyDescent="0.25">
      <c r="A8687" s="65">
        <v>8686</v>
      </c>
      <c r="B8687" s="64">
        <v>29456019.732813172</v>
      </c>
    </row>
    <row r="8688" spans="1:2" x14ac:dyDescent="0.25">
      <c r="A8688" s="65">
        <v>8687</v>
      </c>
      <c r="B8688" s="64">
        <v>28976117.484117221</v>
      </c>
    </row>
    <row r="8689" spans="1:2" x14ac:dyDescent="0.25">
      <c r="A8689" s="65">
        <v>8688</v>
      </c>
      <c r="B8689" s="64">
        <v>30501040.529305063</v>
      </c>
    </row>
    <row r="8690" spans="1:2" x14ac:dyDescent="0.25">
      <c r="A8690" s="65">
        <v>8689</v>
      </c>
      <c r="B8690" s="64">
        <v>30244069.351408843</v>
      </c>
    </row>
    <row r="8691" spans="1:2" x14ac:dyDescent="0.25">
      <c r="A8691" s="65">
        <v>8690</v>
      </c>
      <c r="B8691" s="64">
        <v>29856118.476025958</v>
      </c>
    </row>
    <row r="8692" spans="1:2" x14ac:dyDescent="0.25">
      <c r="A8692" s="65">
        <v>8691</v>
      </c>
      <c r="B8692" s="64">
        <v>28895597.366359849</v>
      </c>
    </row>
    <row r="8693" spans="1:2" x14ac:dyDescent="0.25">
      <c r="A8693" s="65">
        <v>8692</v>
      </c>
      <c r="B8693" s="64">
        <v>29508607.61699903</v>
      </c>
    </row>
    <row r="8694" spans="1:2" x14ac:dyDescent="0.25">
      <c r="A8694" s="65">
        <v>8693</v>
      </c>
      <c r="B8694" s="64">
        <v>29451919.288355026</v>
      </c>
    </row>
    <row r="8695" spans="1:2" x14ac:dyDescent="0.25">
      <c r="A8695" s="65">
        <v>8694</v>
      </c>
      <c r="B8695" s="64">
        <v>29078126.893382192</v>
      </c>
    </row>
    <row r="8696" spans="1:2" x14ac:dyDescent="0.25">
      <c r="A8696" s="65">
        <v>8695</v>
      </c>
      <c r="B8696" s="64">
        <v>28967693.02284589</v>
      </c>
    </row>
    <row r="8697" spans="1:2" x14ac:dyDescent="0.25">
      <c r="A8697" s="65">
        <v>8696</v>
      </c>
      <c r="B8697" s="64">
        <v>28854286.339449372</v>
      </c>
    </row>
    <row r="8698" spans="1:2" x14ac:dyDescent="0.25">
      <c r="A8698" s="65">
        <v>8697</v>
      </c>
      <c r="B8698" s="64">
        <v>29657645.367678158</v>
      </c>
    </row>
    <row r="8699" spans="1:2" x14ac:dyDescent="0.25">
      <c r="A8699" s="65">
        <v>8698</v>
      </c>
      <c r="B8699" s="64">
        <v>28961700.05874652</v>
      </c>
    </row>
    <row r="8700" spans="1:2" x14ac:dyDescent="0.25">
      <c r="A8700" s="65">
        <v>8699</v>
      </c>
      <c r="B8700" s="64">
        <v>29214174.218627915</v>
      </c>
    </row>
    <row r="8701" spans="1:2" x14ac:dyDescent="0.25">
      <c r="A8701" s="65">
        <v>8700</v>
      </c>
      <c r="B8701" s="64">
        <v>30206049.993004303</v>
      </c>
    </row>
    <row r="8702" spans="1:2" x14ac:dyDescent="0.25">
      <c r="A8702" s="65">
        <v>8701</v>
      </c>
      <c r="B8702" s="64">
        <v>28964541.350094061</v>
      </c>
    </row>
    <row r="8703" spans="1:2" x14ac:dyDescent="0.25">
      <c r="A8703" s="65">
        <v>8702</v>
      </c>
      <c r="B8703" s="64">
        <v>33083401.022409957</v>
      </c>
    </row>
    <row r="8704" spans="1:2" x14ac:dyDescent="0.25">
      <c r="A8704" s="65">
        <v>8703</v>
      </c>
      <c r="B8704" s="64">
        <v>28985747.024610627</v>
      </c>
    </row>
    <row r="8705" spans="1:2" x14ac:dyDescent="0.25">
      <c r="A8705" s="65">
        <v>8704</v>
      </c>
      <c r="B8705" s="64">
        <v>28904349.101426974</v>
      </c>
    </row>
    <row r="8706" spans="1:2" x14ac:dyDescent="0.25">
      <c r="A8706" s="65">
        <v>8705</v>
      </c>
      <c r="B8706" s="64">
        <v>29484266.619154204</v>
      </c>
    </row>
    <row r="8707" spans="1:2" x14ac:dyDescent="0.25">
      <c r="A8707" s="65">
        <v>8706</v>
      </c>
      <c r="B8707" s="64">
        <v>29816201.676561341</v>
      </c>
    </row>
    <row r="8708" spans="1:2" x14ac:dyDescent="0.25">
      <c r="A8708" s="65">
        <v>8707</v>
      </c>
      <c r="B8708" s="64">
        <v>30324338.139901575</v>
      </c>
    </row>
    <row r="8709" spans="1:2" x14ac:dyDescent="0.25">
      <c r="A8709" s="65">
        <v>8708</v>
      </c>
      <c r="B8709" s="64">
        <v>28723776.810016602</v>
      </c>
    </row>
    <row r="8710" spans="1:2" x14ac:dyDescent="0.25">
      <c r="A8710" s="65">
        <v>8709</v>
      </c>
      <c r="B8710" s="64">
        <v>28960751.354578197</v>
      </c>
    </row>
    <row r="8711" spans="1:2" x14ac:dyDescent="0.25">
      <c r="A8711" s="65">
        <v>8710</v>
      </c>
      <c r="B8711" s="64">
        <v>28845551.486565933</v>
      </c>
    </row>
    <row r="8712" spans="1:2" x14ac:dyDescent="0.25">
      <c r="A8712" s="65">
        <v>8711</v>
      </c>
      <c r="B8712" s="64">
        <v>30150503.325260781</v>
      </c>
    </row>
    <row r="8713" spans="1:2" x14ac:dyDescent="0.25">
      <c r="A8713" s="65">
        <v>8712</v>
      </c>
      <c r="B8713" s="64">
        <v>29203433.593229771</v>
      </c>
    </row>
    <row r="8714" spans="1:2" x14ac:dyDescent="0.25">
      <c r="A8714" s="65">
        <v>8713</v>
      </c>
      <c r="B8714" s="64">
        <v>29086899.684330352</v>
      </c>
    </row>
    <row r="8715" spans="1:2" x14ac:dyDescent="0.25">
      <c r="A8715" s="65">
        <v>8714</v>
      </c>
      <c r="B8715" s="64">
        <v>29527499.014755055</v>
      </c>
    </row>
    <row r="8716" spans="1:2" x14ac:dyDescent="0.25">
      <c r="A8716" s="65">
        <v>8715</v>
      </c>
      <c r="B8716" s="64">
        <v>28931369.528500013</v>
      </c>
    </row>
    <row r="8717" spans="1:2" x14ac:dyDescent="0.25">
      <c r="A8717" s="65">
        <v>8716</v>
      </c>
      <c r="B8717" s="64">
        <v>28379526.57597322</v>
      </c>
    </row>
    <row r="8718" spans="1:2" x14ac:dyDescent="0.25">
      <c r="A8718" s="65">
        <v>8717</v>
      </c>
      <c r="B8718" s="64">
        <v>29180529.964469455</v>
      </c>
    </row>
    <row r="8719" spans="1:2" x14ac:dyDescent="0.25">
      <c r="A8719" s="65">
        <v>8718</v>
      </c>
      <c r="B8719" s="64">
        <v>28744357.772040747</v>
      </c>
    </row>
    <row r="8720" spans="1:2" x14ac:dyDescent="0.25">
      <c r="A8720" s="65">
        <v>8719</v>
      </c>
      <c r="B8720" s="64">
        <v>28620744.346615009</v>
      </c>
    </row>
    <row r="8721" spans="1:2" x14ac:dyDescent="0.25">
      <c r="A8721" s="65">
        <v>8720</v>
      </c>
      <c r="B8721" s="64">
        <v>29483689.681244195</v>
      </c>
    </row>
    <row r="8722" spans="1:2" x14ac:dyDescent="0.25">
      <c r="A8722" s="65">
        <v>8721</v>
      </c>
      <c r="B8722" s="64">
        <v>28726066.747640494</v>
      </c>
    </row>
    <row r="8723" spans="1:2" x14ac:dyDescent="0.25">
      <c r="A8723" s="65">
        <v>8722</v>
      </c>
      <c r="B8723" s="64">
        <v>30148418.100309372</v>
      </c>
    </row>
    <row r="8724" spans="1:2" x14ac:dyDescent="0.25">
      <c r="A8724" s="65">
        <v>8723</v>
      </c>
      <c r="B8724" s="64">
        <v>29275267.295776248</v>
      </c>
    </row>
    <row r="8725" spans="1:2" x14ac:dyDescent="0.25">
      <c r="A8725" s="65">
        <v>8724</v>
      </c>
      <c r="B8725" s="64">
        <v>29193113.716293935</v>
      </c>
    </row>
    <row r="8726" spans="1:2" x14ac:dyDescent="0.25">
      <c r="A8726" s="65">
        <v>8725</v>
      </c>
      <c r="B8726" s="64">
        <v>29824163.043479115</v>
      </c>
    </row>
    <row r="8727" spans="1:2" x14ac:dyDescent="0.25">
      <c r="A8727" s="65">
        <v>8726</v>
      </c>
      <c r="B8727" s="64">
        <v>29025406.329543073</v>
      </c>
    </row>
    <row r="8728" spans="1:2" x14ac:dyDescent="0.25">
      <c r="A8728" s="65">
        <v>8727</v>
      </c>
      <c r="B8728" s="64">
        <v>28867361.46257443</v>
      </c>
    </row>
    <row r="8729" spans="1:2" x14ac:dyDescent="0.25">
      <c r="A8729" s="65">
        <v>8728</v>
      </c>
      <c r="B8729" s="64">
        <v>28815535.156208813</v>
      </c>
    </row>
    <row r="8730" spans="1:2" x14ac:dyDescent="0.25">
      <c r="A8730" s="65">
        <v>8729</v>
      </c>
      <c r="B8730" s="64">
        <v>29234041.417975955</v>
      </c>
    </row>
    <row r="8731" spans="1:2" x14ac:dyDescent="0.25">
      <c r="A8731" s="65">
        <v>8730</v>
      </c>
      <c r="B8731" s="64">
        <v>29014720.762130134</v>
      </c>
    </row>
    <row r="8732" spans="1:2" x14ac:dyDescent="0.25">
      <c r="A8732" s="65">
        <v>8731</v>
      </c>
      <c r="B8732" s="64">
        <v>29483019.390513334</v>
      </c>
    </row>
    <row r="8733" spans="1:2" x14ac:dyDescent="0.25">
      <c r="A8733" s="65">
        <v>8732</v>
      </c>
      <c r="B8733" s="64">
        <v>28903298.603195276</v>
      </c>
    </row>
    <row r="8734" spans="1:2" x14ac:dyDescent="0.25">
      <c r="A8734" s="65">
        <v>8733</v>
      </c>
      <c r="B8734" s="64">
        <v>28992578.711571831</v>
      </c>
    </row>
    <row r="8735" spans="1:2" x14ac:dyDescent="0.25">
      <c r="A8735" s="65">
        <v>8734</v>
      </c>
      <c r="B8735" s="64">
        <v>29493919.652424227</v>
      </c>
    </row>
    <row r="8736" spans="1:2" x14ac:dyDescent="0.25">
      <c r="A8736" s="65">
        <v>8735</v>
      </c>
      <c r="B8736" s="64">
        <v>29844056.410460301</v>
      </c>
    </row>
    <row r="8737" spans="1:2" x14ac:dyDescent="0.25">
      <c r="A8737" s="65">
        <v>8736</v>
      </c>
      <c r="B8737" s="64">
        <v>30147937.881370913</v>
      </c>
    </row>
    <row r="8738" spans="1:2" x14ac:dyDescent="0.25">
      <c r="A8738" s="65">
        <v>8737</v>
      </c>
      <c r="B8738" s="64">
        <v>29235048.786447514</v>
      </c>
    </row>
    <row r="8739" spans="1:2" x14ac:dyDescent="0.25">
      <c r="A8739" s="65">
        <v>8738</v>
      </c>
      <c r="B8739" s="64">
        <v>29319722.90575587</v>
      </c>
    </row>
    <row r="8740" spans="1:2" x14ac:dyDescent="0.25">
      <c r="A8740" s="65">
        <v>8739</v>
      </c>
      <c r="B8740" s="64">
        <v>28529990.387904059</v>
      </c>
    </row>
    <row r="8741" spans="1:2" x14ac:dyDescent="0.25">
      <c r="A8741" s="65">
        <v>8740</v>
      </c>
      <c r="B8741" s="64">
        <v>29094042.438705038</v>
      </c>
    </row>
    <row r="8742" spans="1:2" x14ac:dyDescent="0.25">
      <c r="A8742" s="65">
        <v>8741</v>
      </c>
      <c r="B8742" s="64">
        <v>29166268.555862423</v>
      </c>
    </row>
    <row r="8743" spans="1:2" x14ac:dyDescent="0.25">
      <c r="A8743" s="65">
        <v>8742</v>
      </c>
      <c r="B8743" s="64">
        <v>28450038.702069461</v>
      </c>
    </row>
    <row r="8744" spans="1:2" x14ac:dyDescent="0.25">
      <c r="A8744" s="65">
        <v>8743</v>
      </c>
      <c r="B8744" s="64">
        <v>29903817.788454339</v>
      </c>
    </row>
    <row r="8745" spans="1:2" x14ac:dyDescent="0.25">
      <c r="A8745" s="65">
        <v>8744</v>
      </c>
      <c r="B8745" s="64">
        <v>29818133.674007062</v>
      </c>
    </row>
    <row r="8746" spans="1:2" x14ac:dyDescent="0.25">
      <c r="A8746" s="65">
        <v>8745</v>
      </c>
      <c r="B8746" s="64">
        <v>29186168.732607592</v>
      </c>
    </row>
    <row r="8747" spans="1:2" x14ac:dyDescent="0.25">
      <c r="A8747" s="65">
        <v>8746</v>
      </c>
      <c r="B8747" s="64">
        <v>28774032.831462864</v>
      </c>
    </row>
    <row r="8748" spans="1:2" x14ac:dyDescent="0.25">
      <c r="A8748" s="65">
        <v>8747</v>
      </c>
      <c r="B8748" s="64">
        <v>29645683.330473669</v>
      </c>
    </row>
    <row r="8749" spans="1:2" x14ac:dyDescent="0.25">
      <c r="A8749" s="65">
        <v>8748</v>
      </c>
      <c r="B8749" s="64">
        <v>29848138.929445621</v>
      </c>
    </row>
    <row r="8750" spans="1:2" x14ac:dyDescent="0.25">
      <c r="A8750" s="65">
        <v>8749</v>
      </c>
      <c r="B8750" s="64">
        <v>28798261.521203898</v>
      </c>
    </row>
    <row r="8751" spans="1:2" x14ac:dyDescent="0.25">
      <c r="A8751" s="65">
        <v>8750</v>
      </c>
      <c r="B8751" s="64">
        <v>29663904.724659488</v>
      </c>
    </row>
    <row r="8752" spans="1:2" x14ac:dyDescent="0.25">
      <c r="A8752" s="65">
        <v>8751</v>
      </c>
      <c r="B8752" s="64">
        <v>29515435.195211411</v>
      </c>
    </row>
    <row r="8753" spans="1:2" x14ac:dyDescent="0.25">
      <c r="A8753" s="65">
        <v>8752</v>
      </c>
      <c r="B8753" s="64">
        <v>28576777.452428475</v>
      </c>
    </row>
    <row r="8754" spans="1:2" x14ac:dyDescent="0.25">
      <c r="A8754" s="65">
        <v>8753</v>
      </c>
      <c r="B8754" s="64">
        <v>28895487.269629918</v>
      </c>
    </row>
    <row r="8755" spans="1:2" x14ac:dyDescent="0.25">
      <c r="A8755" s="65">
        <v>8754</v>
      </c>
      <c r="B8755" s="64">
        <v>28570114.922262657</v>
      </c>
    </row>
    <row r="8756" spans="1:2" x14ac:dyDescent="0.25">
      <c r="A8756" s="65">
        <v>8755</v>
      </c>
      <c r="B8756" s="64">
        <v>28945152.981490865</v>
      </c>
    </row>
    <row r="8757" spans="1:2" x14ac:dyDescent="0.25">
      <c r="A8757" s="65">
        <v>8756</v>
      </c>
      <c r="B8757" s="64">
        <v>30188457.460439444</v>
      </c>
    </row>
    <row r="8758" spans="1:2" x14ac:dyDescent="0.25">
      <c r="A8758" s="65">
        <v>8757</v>
      </c>
      <c r="B8758" s="64">
        <v>29583746.31921358</v>
      </c>
    </row>
    <row r="8759" spans="1:2" x14ac:dyDescent="0.25">
      <c r="A8759" s="65">
        <v>8758</v>
      </c>
      <c r="B8759" s="64">
        <v>30605005.288862392</v>
      </c>
    </row>
    <row r="8760" spans="1:2" x14ac:dyDescent="0.25">
      <c r="A8760" s="65">
        <v>8759</v>
      </c>
      <c r="B8760" s="64">
        <v>29622621.352738071</v>
      </c>
    </row>
    <row r="8761" spans="1:2" x14ac:dyDescent="0.25">
      <c r="A8761" s="65">
        <v>8760</v>
      </c>
      <c r="B8761" s="64">
        <v>29285054.632696383</v>
      </c>
    </row>
    <row r="8762" spans="1:2" x14ac:dyDescent="0.25">
      <c r="A8762" s="65">
        <v>8761</v>
      </c>
      <c r="B8762" s="64">
        <v>29642965.310268756</v>
      </c>
    </row>
    <row r="8763" spans="1:2" x14ac:dyDescent="0.25">
      <c r="A8763" s="65">
        <v>8762</v>
      </c>
      <c r="B8763" s="64">
        <v>29829437.100209355</v>
      </c>
    </row>
    <row r="8764" spans="1:2" x14ac:dyDescent="0.25">
      <c r="A8764" s="65">
        <v>8763</v>
      </c>
      <c r="B8764" s="64">
        <v>29241033.245284326</v>
      </c>
    </row>
    <row r="8765" spans="1:2" x14ac:dyDescent="0.25">
      <c r="A8765" s="65">
        <v>8764</v>
      </c>
      <c r="B8765" s="64">
        <v>29562697.339811489</v>
      </c>
    </row>
    <row r="8766" spans="1:2" x14ac:dyDescent="0.25">
      <c r="A8766" s="65">
        <v>8765</v>
      </c>
      <c r="B8766" s="64">
        <v>30038430.247980453</v>
      </c>
    </row>
    <row r="8767" spans="1:2" x14ac:dyDescent="0.25">
      <c r="A8767" s="65">
        <v>8766</v>
      </c>
      <c r="B8767" s="64">
        <v>31946751.277576014</v>
      </c>
    </row>
    <row r="8768" spans="1:2" x14ac:dyDescent="0.25">
      <c r="A8768" s="65">
        <v>8767</v>
      </c>
      <c r="B8768" s="64">
        <v>29979361.896595657</v>
      </c>
    </row>
    <row r="8769" spans="1:2" x14ac:dyDescent="0.25">
      <c r="A8769" s="65">
        <v>8768</v>
      </c>
      <c r="B8769" s="64">
        <v>28732443.4415472</v>
      </c>
    </row>
    <row r="8770" spans="1:2" x14ac:dyDescent="0.25">
      <c r="A8770" s="65">
        <v>8769</v>
      </c>
      <c r="B8770" s="64">
        <v>28948808.435736571</v>
      </c>
    </row>
    <row r="8771" spans="1:2" x14ac:dyDescent="0.25">
      <c r="A8771" s="65">
        <v>8770</v>
      </c>
      <c r="B8771" s="64">
        <v>29407447.260164794</v>
      </c>
    </row>
    <row r="8772" spans="1:2" x14ac:dyDescent="0.25">
      <c r="A8772" s="65">
        <v>8771</v>
      </c>
      <c r="B8772" s="64">
        <v>29770821.109876644</v>
      </c>
    </row>
    <row r="8773" spans="1:2" x14ac:dyDescent="0.25">
      <c r="A8773" s="65">
        <v>8772</v>
      </c>
      <c r="B8773" s="64">
        <v>29669549.269271746</v>
      </c>
    </row>
    <row r="8774" spans="1:2" x14ac:dyDescent="0.25">
      <c r="A8774" s="65">
        <v>8773</v>
      </c>
      <c r="B8774" s="64">
        <v>29319382.865005311</v>
      </c>
    </row>
    <row r="8775" spans="1:2" x14ac:dyDescent="0.25">
      <c r="A8775" s="65">
        <v>8774</v>
      </c>
      <c r="B8775" s="64">
        <v>29889739.488030422</v>
      </c>
    </row>
    <row r="8776" spans="1:2" x14ac:dyDescent="0.25">
      <c r="A8776" s="65">
        <v>8775</v>
      </c>
      <c r="B8776" s="64">
        <v>29381272.252572771</v>
      </c>
    </row>
    <row r="8777" spans="1:2" x14ac:dyDescent="0.25">
      <c r="A8777" s="65">
        <v>8776</v>
      </c>
      <c r="B8777" s="64">
        <v>28953794.720598467</v>
      </c>
    </row>
    <row r="8778" spans="1:2" x14ac:dyDescent="0.25">
      <c r="A8778" s="65">
        <v>8777</v>
      </c>
      <c r="B8778" s="64">
        <v>30260205.409481924</v>
      </c>
    </row>
    <row r="8779" spans="1:2" x14ac:dyDescent="0.25">
      <c r="A8779" s="65">
        <v>8778</v>
      </c>
      <c r="B8779" s="64">
        <v>28886125.927502658</v>
      </c>
    </row>
    <row r="8780" spans="1:2" x14ac:dyDescent="0.25">
      <c r="A8780" s="65">
        <v>8779</v>
      </c>
      <c r="B8780" s="64">
        <v>28792731.40737747</v>
      </c>
    </row>
    <row r="8781" spans="1:2" x14ac:dyDescent="0.25">
      <c r="A8781" s="65">
        <v>8780</v>
      </c>
      <c r="B8781" s="64">
        <v>29102317.475735068</v>
      </c>
    </row>
    <row r="8782" spans="1:2" x14ac:dyDescent="0.25">
      <c r="A8782" s="65">
        <v>8781</v>
      </c>
      <c r="B8782" s="64">
        <v>29063446.990429297</v>
      </c>
    </row>
    <row r="8783" spans="1:2" x14ac:dyDescent="0.25">
      <c r="A8783" s="65">
        <v>8782</v>
      </c>
      <c r="B8783" s="64">
        <v>29041714.716609463</v>
      </c>
    </row>
    <row r="8784" spans="1:2" x14ac:dyDescent="0.25">
      <c r="A8784" s="65">
        <v>8783</v>
      </c>
      <c r="B8784" s="64">
        <v>30483426.133963261</v>
      </c>
    </row>
    <row r="8785" spans="1:2" x14ac:dyDescent="0.25">
      <c r="A8785" s="65">
        <v>8784</v>
      </c>
      <c r="B8785" s="64">
        <v>29352375.21126353</v>
      </c>
    </row>
    <row r="8786" spans="1:2" x14ac:dyDescent="0.25">
      <c r="A8786" s="65">
        <v>8785</v>
      </c>
      <c r="B8786" s="64">
        <v>28954805.833920762</v>
      </c>
    </row>
    <row r="8787" spans="1:2" x14ac:dyDescent="0.25">
      <c r="A8787" s="65">
        <v>8786</v>
      </c>
      <c r="B8787" s="64">
        <v>28996059.913594931</v>
      </c>
    </row>
    <row r="8788" spans="1:2" x14ac:dyDescent="0.25">
      <c r="A8788" s="65">
        <v>8787</v>
      </c>
      <c r="B8788" s="64">
        <v>28445382.953685276</v>
      </c>
    </row>
    <row r="8789" spans="1:2" x14ac:dyDescent="0.25">
      <c r="A8789" s="65">
        <v>8788</v>
      </c>
      <c r="B8789" s="64">
        <v>28831541.755625568</v>
      </c>
    </row>
    <row r="8790" spans="1:2" x14ac:dyDescent="0.25">
      <c r="A8790" s="65">
        <v>8789</v>
      </c>
      <c r="B8790" s="64">
        <v>30312494.135563847</v>
      </c>
    </row>
    <row r="8791" spans="1:2" x14ac:dyDescent="0.25">
      <c r="A8791" s="65">
        <v>8790</v>
      </c>
      <c r="B8791" s="64">
        <v>33648175.579867877</v>
      </c>
    </row>
    <row r="8792" spans="1:2" x14ac:dyDescent="0.25">
      <c r="A8792" s="65">
        <v>8791</v>
      </c>
      <c r="B8792" s="64">
        <v>30122993.807071377</v>
      </c>
    </row>
    <row r="8793" spans="1:2" x14ac:dyDescent="0.25">
      <c r="A8793" s="65">
        <v>8792</v>
      </c>
      <c r="B8793" s="64">
        <v>30418330.458185934</v>
      </c>
    </row>
    <row r="8794" spans="1:2" x14ac:dyDescent="0.25">
      <c r="A8794" s="65">
        <v>8793</v>
      </c>
      <c r="B8794" s="64">
        <v>28588054.741530053</v>
      </c>
    </row>
    <row r="8795" spans="1:2" x14ac:dyDescent="0.25">
      <c r="A8795" s="65">
        <v>8794</v>
      </c>
      <c r="B8795" s="64">
        <v>29909784.754138209</v>
      </c>
    </row>
    <row r="8796" spans="1:2" x14ac:dyDescent="0.25">
      <c r="A8796" s="65">
        <v>8795</v>
      </c>
      <c r="B8796" s="64">
        <v>28569076.466499515</v>
      </c>
    </row>
    <row r="8797" spans="1:2" x14ac:dyDescent="0.25">
      <c r="A8797" s="65">
        <v>8796</v>
      </c>
      <c r="B8797" s="64">
        <v>28923751.542649209</v>
      </c>
    </row>
    <row r="8798" spans="1:2" x14ac:dyDescent="0.25">
      <c r="A8798" s="65">
        <v>8797</v>
      </c>
      <c r="B8798" s="64">
        <v>29510744.155714773</v>
      </c>
    </row>
    <row r="8799" spans="1:2" x14ac:dyDescent="0.25">
      <c r="A8799" s="65">
        <v>8798</v>
      </c>
      <c r="B8799" s="64">
        <v>29070390.199730281</v>
      </c>
    </row>
    <row r="8800" spans="1:2" x14ac:dyDescent="0.25">
      <c r="A8800" s="65">
        <v>8799</v>
      </c>
      <c r="B8800" s="64">
        <v>29040723.815277521</v>
      </c>
    </row>
    <row r="8801" spans="1:2" x14ac:dyDescent="0.25">
      <c r="A8801" s="65">
        <v>8800</v>
      </c>
      <c r="B8801" s="64">
        <v>29377414.238539994</v>
      </c>
    </row>
    <row r="8802" spans="1:2" x14ac:dyDescent="0.25">
      <c r="A8802" s="65">
        <v>8801</v>
      </c>
      <c r="B8802" s="64">
        <v>28834481.762236226</v>
      </c>
    </row>
    <row r="8803" spans="1:2" x14ac:dyDescent="0.25">
      <c r="A8803" s="65">
        <v>8802</v>
      </c>
      <c r="B8803" s="64">
        <v>29024214.486251935</v>
      </c>
    </row>
    <row r="8804" spans="1:2" x14ac:dyDescent="0.25">
      <c r="A8804" s="65">
        <v>8803</v>
      </c>
      <c r="B8804" s="64">
        <v>29232102.670589361</v>
      </c>
    </row>
    <row r="8805" spans="1:2" x14ac:dyDescent="0.25">
      <c r="A8805" s="65">
        <v>8804</v>
      </c>
      <c r="B8805" s="64">
        <v>29314559.044662762</v>
      </c>
    </row>
    <row r="8806" spans="1:2" x14ac:dyDescent="0.25">
      <c r="A8806" s="65">
        <v>8805</v>
      </c>
      <c r="B8806" s="64">
        <v>30293253.881488554</v>
      </c>
    </row>
    <row r="8807" spans="1:2" x14ac:dyDescent="0.25">
      <c r="A8807" s="65">
        <v>8806</v>
      </c>
      <c r="B8807" s="64">
        <v>34252617.631321177</v>
      </c>
    </row>
    <row r="8808" spans="1:2" x14ac:dyDescent="0.25">
      <c r="A8808" s="65">
        <v>8807</v>
      </c>
      <c r="B8808" s="64">
        <v>29409990.726661105</v>
      </c>
    </row>
    <row r="8809" spans="1:2" x14ac:dyDescent="0.25">
      <c r="A8809" s="65">
        <v>8808</v>
      </c>
      <c r="B8809" s="64">
        <v>28721540.687887851</v>
      </c>
    </row>
    <row r="8810" spans="1:2" x14ac:dyDescent="0.25">
      <c r="A8810" s="65">
        <v>8809</v>
      </c>
      <c r="B8810" s="64">
        <v>28911511.509154584</v>
      </c>
    </row>
    <row r="8811" spans="1:2" x14ac:dyDescent="0.25">
      <c r="A8811" s="65">
        <v>8810</v>
      </c>
      <c r="B8811" s="64">
        <v>28760797.475108519</v>
      </c>
    </row>
    <row r="8812" spans="1:2" x14ac:dyDescent="0.25">
      <c r="A8812" s="65">
        <v>8811</v>
      </c>
      <c r="B8812" s="64">
        <v>30347171.372719161</v>
      </c>
    </row>
    <row r="8813" spans="1:2" x14ac:dyDescent="0.25">
      <c r="A8813" s="65">
        <v>8812</v>
      </c>
      <c r="B8813" s="64">
        <v>28800956.048582304</v>
      </c>
    </row>
    <row r="8814" spans="1:2" x14ac:dyDescent="0.25">
      <c r="A8814" s="65">
        <v>8813</v>
      </c>
      <c r="B8814" s="64">
        <v>28967764.065945823</v>
      </c>
    </row>
    <row r="8815" spans="1:2" x14ac:dyDescent="0.25">
      <c r="A8815" s="65">
        <v>8814</v>
      </c>
      <c r="B8815" s="64">
        <v>29515867.439837463</v>
      </c>
    </row>
    <row r="8816" spans="1:2" x14ac:dyDescent="0.25">
      <c r="A8816" s="65">
        <v>8815</v>
      </c>
      <c r="B8816" s="64">
        <v>29682172.168206297</v>
      </c>
    </row>
    <row r="8817" spans="1:2" x14ac:dyDescent="0.25">
      <c r="A8817" s="65">
        <v>8816</v>
      </c>
      <c r="B8817" s="64">
        <v>29155012.562866326</v>
      </c>
    </row>
    <row r="8818" spans="1:2" x14ac:dyDescent="0.25">
      <c r="A8818" s="65">
        <v>8817</v>
      </c>
      <c r="B8818" s="64">
        <v>30911436.75014694</v>
      </c>
    </row>
    <row r="8819" spans="1:2" x14ac:dyDescent="0.25">
      <c r="A8819" s="65">
        <v>8818</v>
      </c>
      <c r="B8819" s="64">
        <v>30229005.8691484</v>
      </c>
    </row>
    <row r="8820" spans="1:2" x14ac:dyDescent="0.25">
      <c r="A8820" s="65">
        <v>8819</v>
      </c>
      <c r="B8820" s="64">
        <v>30870135.433487222</v>
      </c>
    </row>
    <row r="8821" spans="1:2" x14ac:dyDescent="0.25">
      <c r="A8821" s="65">
        <v>8820</v>
      </c>
      <c r="B8821" s="64">
        <v>29808815.182228331</v>
      </c>
    </row>
    <row r="8822" spans="1:2" x14ac:dyDescent="0.25">
      <c r="A8822" s="65">
        <v>8821</v>
      </c>
      <c r="B8822" s="64">
        <v>30348183.562290501</v>
      </c>
    </row>
    <row r="8823" spans="1:2" x14ac:dyDescent="0.25">
      <c r="A8823" s="65">
        <v>8822</v>
      </c>
      <c r="B8823" s="64">
        <v>29011299.804463368</v>
      </c>
    </row>
    <row r="8824" spans="1:2" x14ac:dyDescent="0.25">
      <c r="A8824" s="65">
        <v>8823</v>
      </c>
      <c r="B8824" s="64">
        <v>29634255.395838413</v>
      </c>
    </row>
    <row r="8825" spans="1:2" x14ac:dyDescent="0.25">
      <c r="A8825" s="65">
        <v>8824</v>
      </c>
      <c r="B8825" s="64">
        <v>29872667.494174872</v>
      </c>
    </row>
    <row r="8826" spans="1:2" x14ac:dyDescent="0.25">
      <c r="A8826" s="65">
        <v>8825</v>
      </c>
      <c r="B8826" s="64">
        <v>29237589.617392175</v>
      </c>
    </row>
    <row r="8827" spans="1:2" x14ac:dyDescent="0.25">
      <c r="A8827" s="65">
        <v>8826</v>
      </c>
      <c r="B8827" s="64">
        <v>30299455.325207584</v>
      </c>
    </row>
    <row r="8828" spans="1:2" x14ac:dyDescent="0.25">
      <c r="A8828" s="65">
        <v>8827</v>
      </c>
      <c r="B8828" s="64">
        <v>28650654.329522952</v>
      </c>
    </row>
    <row r="8829" spans="1:2" x14ac:dyDescent="0.25">
      <c r="A8829" s="65">
        <v>8828</v>
      </c>
      <c r="B8829" s="64">
        <v>28739622.919271603</v>
      </c>
    </row>
    <row r="8830" spans="1:2" x14ac:dyDescent="0.25">
      <c r="A8830" s="65">
        <v>8829</v>
      </c>
      <c r="B8830" s="64">
        <v>29476486.15953001</v>
      </c>
    </row>
    <row r="8831" spans="1:2" x14ac:dyDescent="0.25">
      <c r="A8831" s="65">
        <v>8830</v>
      </c>
      <c r="B8831" s="64">
        <v>29293545.932901245</v>
      </c>
    </row>
    <row r="8832" spans="1:2" x14ac:dyDescent="0.25">
      <c r="A8832" s="65">
        <v>8831</v>
      </c>
      <c r="B8832" s="64">
        <v>31341142.153209094</v>
      </c>
    </row>
    <row r="8833" spans="1:2" x14ac:dyDescent="0.25">
      <c r="A8833" s="65">
        <v>8832</v>
      </c>
      <c r="B8833" s="64">
        <v>30222052.353150461</v>
      </c>
    </row>
    <row r="8834" spans="1:2" x14ac:dyDescent="0.25">
      <c r="A8834" s="65">
        <v>8833</v>
      </c>
      <c r="B8834" s="64">
        <v>29436496.432317987</v>
      </c>
    </row>
    <row r="8835" spans="1:2" x14ac:dyDescent="0.25">
      <c r="A8835" s="65">
        <v>8834</v>
      </c>
      <c r="B8835" s="64">
        <v>29124737.53882014</v>
      </c>
    </row>
    <row r="8836" spans="1:2" x14ac:dyDescent="0.25">
      <c r="A8836" s="65">
        <v>8835</v>
      </c>
      <c r="B8836" s="64">
        <v>30196636.214936096</v>
      </c>
    </row>
    <row r="8837" spans="1:2" x14ac:dyDescent="0.25">
      <c r="A8837" s="65">
        <v>8836</v>
      </c>
      <c r="B8837" s="64">
        <v>28982544.529170565</v>
      </c>
    </row>
    <row r="8838" spans="1:2" x14ac:dyDescent="0.25">
      <c r="A8838" s="65">
        <v>8837</v>
      </c>
      <c r="B8838" s="64">
        <v>28546349.844434228</v>
      </c>
    </row>
    <row r="8839" spans="1:2" x14ac:dyDescent="0.25">
      <c r="A8839" s="65">
        <v>8838</v>
      </c>
      <c r="B8839" s="64">
        <v>30518937.816111468</v>
      </c>
    </row>
    <row r="8840" spans="1:2" x14ac:dyDescent="0.25">
      <c r="A8840" s="65">
        <v>8839</v>
      </c>
      <c r="B8840" s="64">
        <v>28734472.180750035</v>
      </c>
    </row>
    <row r="8841" spans="1:2" x14ac:dyDescent="0.25">
      <c r="A8841" s="65">
        <v>8840</v>
      </c>
      <c r="B8841" s="64">
        <v>30371271.547668461</v>
      </c>
    </row>
    <row r="8842" spans="1:2" x14ac:dyDescent="0.25">
      <c r="A8842" s="65">
        <v>8841</v>
      </c>
      <c r="B8842" s="64">
        <v>28758937.184086557</v>
      </c>
    </row>
    <row r="8843" spans="1:2" x14ac:dyDescent="0.25">
      <c r="A8843" s="65">
        <v>8842</v>
      </c>
      <c r="B8843" s="64">
        <v>29415220.141289666</v>
      </c>
    </row>
    <row r="8844" spans="1:2" x14ac:dyDescent="0.25">
      <c r="A8844" s="65">
        <v>8843</v>
      </c>
      <c r="B8844" s="64">
        <v>29752694.707872827</v>
      </c>
    </row>
    <row r="8845" spans="1:2" x14ac:dyDescent="0.25">
      <c r="A8845" s="65">
        <v>8844</v>
      </c>
      <c r="B8845" s="64">
        <v>28649710.32279719</v>
      </c>
    </row>
    <row r="8846" spans="1:2" x14ac:dyDescent="0.25">
      <c r="A8846" s="65">
        <v>8845</v>
      </c>
      <c r="B8846" s="64">
        <v>29277055.212907482</v>
      </c>
    </row>
    <row r="8847" spans="1:2" x14ac:dyDescent="0.25">
      <c r="A8847" s="65">
        <v>8846</v>
      </c>
      <c r="B8847" s="64">
        <v>28481398.580550887</v>
      </c>
    </row>
    <row r="8848" spans="1:2" x14ac:dyDescent="0.25">
      <c r="A8848" s="65">
        <v>8847</v>
      </c>
      <c r="B8848" s="64">
        <v>28696007.148238886</v>
      </c>
    </row>
    <row r="8849" spans="1:2" x14ac:dyDescent="0.25">
      <c r="A8849" s="65">
        <v>8848</v>
      </c>
      <c r="B8849" s="64">
        <v>29972613.18218473</v>
      </c>
    </row>
    <row r="8850" spans="1:2" x14ac:dyDescent="0.25">
      <c r="A8850" s="65">
        <v>8849</v>
      </c>
      <c r="B8850" s="64">
        <v>29477550.309357844</v>
      </c>
    </row>
    <row r="8851" spans="1:2" x14ac:dyDescent="0.25">
      <c r="A8851" s="65">
        <v>8850</v>
      </c>
      <c r="B8851" s="64">
        <v>28539235.481051471</v>
      </c>
    </row>
    <row r="8852" spans="1:2" x14ac:dyDescent="0.25">
      <c r="A8852" s="65">
        <v>8851</v>
      </c>
      <c r="B8852" s="64">
        <v>28858960.774854004</v>
      </c>
    </row>
    <row r="8853" spans="1:2" x14ac:dyDescent="0.25">
      <c r="A8853" s="65">
        <v>8852</v>
      </c>
      <c r="B8853" s="64">
        <v>28430132.111372981</v>
      </c>
    </row>
    <row r="8854" spans="1:2" x14ac:dyDescent="0.25">
      <c r="A8854" s="65">
        <v>8853</v>
      </c>
      <c r="B8854" s="64">
        <v>30017861.684224341</v>
      </c>
    </row>
    <row r="8855" spans="1:2" x14ac:dyDescent="0.25">
      <c r="A8855" s="65">
        <v>8854</v>
      </c>
      <c r="B8855" s="64">
        <v>28868910.93887243</v>
      </c>
    </row>
    <row r="8856" spans="1:2" x14ac:dyDescent="0.25">
      <c r="A8856" s="65">
        <v>8855</v>
      </c>
      <c r="B8856" s="64">
        <v>29603488.359399807</v>
      </c>
    </row>
    <row r="8857" spans="1:2" x14ac:dyDescent="0.25">
      <c r="A8857" s="65">
        <v>8856</v>
      </c>
      <c r="B8857" s="64">
        <v>28721491.743713293</v>
      </c>
    </row>
    <row r="8858" spans="1:2" x14ac:dyDescent="0.25">
      <c r="A8858" s="65">
        <v>8857</v>
      </c>
      <c r="B8858" s="64">
        <v>29463137.838745903</v>
      </c>
    </row>
    <row r="8859" spans="1:2" x14ac:dyDescent="0.25">
      <c r="A8859" s="65">
        <v>8858</v>
      </c>
      <c r="B8859" s="64">
        <v>28717060.284531999</v>
      </c>
    </row>
    <row r="8860" spans="1:2" x14ac:dyDescent="0.25">
      <c r="A8860" s="65">
        <v>8859</v>
      </c>
      <c r="B8860" s="64">
        <v>28686355.324672986</v>
      </c>
    </row>
    <row r="8861" spans="1:2" x14ac:dyDescent="0.25">
      <c r="A8861" s="65">
        <v>8860</v>
      </c>
      <c r="B8861" s="64">
        <v>28715570.060933415</v>
      </c>
    </row>
    <row r="8862" spans="1:2" x14ac:dyDescent="0.25">
      <c r="A8862" s="65">
        <v>8861</v>
      </c>
      <c r="B8862" s="64">
        <v>29834205.256173775</v>
      </c>
    </row>
    <row r="8863" spans="1:2" x14ac:dyDescent="0.25">
      <c r="A8863" s="65">
        <v>8862</v>
      </c>
      <c r="B8863" s="64">
        <v>29487055.269689862</v>
      </c>
    </row>
    <row r="8864" spans="1:2" x14ac:dyDescent="0.25">
      <c r="A8864" s="65">
        <v>8863</v>
      </c>
      <c r="B8864" s="64">
        <v>28520343.210769899</v>
      </c>
    </row>
    <row r="8865" spans="1:2" x14ac:dyDescent="0.25">
      <c r="A8865" s="65">
        <v>8864</v>
      </c>
      <c r="B8865" s="64">
        <v>29636148.072990064</v>
      </c>
    </row>
    <row r="8866" spans="1:2" x14ac:dyDescent="0.25">
      <c r="A8866" s="65">
        <v>8865</v>
      </c>
      <c r="B8866" s="64">
        <v>28468270.923204832</v>
      </c>
    </row>
    <row r="8867" spans="1:2" x14ac:dyDescent="0.25">
      <c r="A8867" s="65">
        <v>8866</v>
      </c>
      <c r="B8867" s="64">
        <v>28473590.218975492</v>
      </c>
    </row>
    <row r="8868" spans="1:2" x14ac:dyDescent="0.25">
      <c r="A8868" s="65">
        <v>8867</v>
      </c>
      <c r="B8868" s="64">
        <v>30523819.601168167</v>
      </c>
    </row>
    <row r="8869" spans="1:2" x14ac:dyDescent="0.25">
      <c r="A8869" s="65">
        <v>8868</v>
      </c>
      <c r="B8869" s="64">
        <v>28762253.020286489</v>
      </c>
    </row>
    <row r="8870" spans="1:2" x14ac:dyDescent="0.25">
      <c r="A8870" s="65">
        <v>8869</v>
      </c>
      <c r="B8870" s="64">
        <v>30642629.726961099</v>
      </c>
    </row>
    <row r="8871" spans="1:2" x14ac:dyDescent="0.25">
      <c r="A8871" s="65">
        <v>8870</v>
      </c>
      <c r="B8871" s="64">
        <v>30646225.239319734</v>
      </c>
    </row>
    <row r="8872" spans="1:2" x14ac:dyDescent="0.25">
      <c r="A8872" s="65">
        <v>8871</v>
      </c>
      <c r="B8872" s="64">
        <v>28644350.589840338</v>
      </c>
    </row>
    <row r="8873" spans="1:2" x14ac:dyDescent="0.25">
      <c r="A8873" s="65">
        <v>8872</v>
      </c>
      <c r="B8873" s="64">
        <v>30130194.531990886</v>
      </c>
    </row>
    <row r="8874" spans="1:2" x14ac:dyDescent="0.25">
      <c r="A8874" s="65">
        <v>8873</v>
      </c>
      <c r="B8874" s="64">
        <v>30048988.3590229</v>
      </c>
    </row>
    <row r="8875" spans="1:2" x14ac:dyDescent="0.25">
      <c r="A8875" s="65">
        <v>8874</v>
      </c>
      <c r="B8875" s="64">
        <v>28446094.733457461</v>
      </c>
    </row>
    <row r="8876" spans="1:2" x14ac:dyDescent="0.25">
      <c r="A8876" s="65">
        <v>8875</v>
      </c>
      <c r="B8876" s="64">
        <v>29590498.715470403</v>
      </c>
    </row>
    <row r="8877" spans="1:2" x14ac:dyDescent="0.25">
      <c r="A8877" s="65">
        <v>8876</v>
      </c>
      <c r="B8877" s="64">
        <v>29150446.432279985</v>
      </c>
    </row>
    <row r="8878" spans="1:2" x14ac:dyDescent="0.25">
      <c r="A8878" s="65">
        <v>8877</v>
      </c>
      <c r="B8878" s="64">
        <v>28776833.535139013</v>
      </c>
    </row>
    <row r="8879" spans="1:2" x14ac:dyDescent="0.25">
      <c r="A8879" s="65">
        <v>8878</v>
      </c>
      <c r="B8879" s="64">
        <v>28721184.037091944</v>
      </c>
    </row>
    <row r="8880" spans="1:2" x14ac:dyDescent="0.25">
      <c r="A8880" s="65">
        <v>8879</v>
      </c>
      <c r="B8880" s="64">
        <v>29336065.515577868</v>
      </c>
    </row>
    <row r="8881" spans="1:2" x14ac:dyDescent="0.25">
      <c r="A8881" s="65">
        <v>8880</v>
      </c>
      <c r="B8881" s="64">
        <v>29381754.604992855</v>
      </c>
    </row>
    <row r="8882" spans="1:2" x14ac:dyDescent="0.25">
      <c r="A8882" s="65">
        <v>8881</v>
      </c>
      <c r="B8882" s="64">
        <v>28757209.630869497</v>
      </c>
    </row>
    <row r="8883" spans="1:2" x14ac:dyDescent="0.25">
      <c r="A8883" s="65">
        <v>8882</v>
      </c>
      <c r="B8883" s="64">
        <v>28551657.771831255</v>
      </c>
    </row>
    <row r="8884" spans="1:2" x14ac:dyDescent="0.25">
      <c r="A8884" s="65">
        <v>8883</v>
      </c>
      <c r="B8884" s="64">
        <v>29292217.369596686</v>
      </c>
    </row>
    <row r="8885" spans="1:2" x14ac:dyDescent="0.25">
      <c r="A8885" s="65">
        <v>8884</v>
      </c>
      <c r="B8885" s="64">
        <v>29037435.520354077</v>
      </c>
    </row>
    <row r="8886" spans="1:2" x14ac:dyDescent="0.25">
      <c r="A8886" s="65">
        <v>8885</v>
      </c>
      <c r="B8886" s="64">
        <v>28648295.242968787</v>
      </c>
    </row>
    <row r="8887" spans="1:2" x14ac:dyDescent="0.25">
      <c r="A8887" s="65">
        <v>8886</v>
      </c>
      <c r="B8887" s="64">
        <v>30350352.338471908</v>
      </c>
    </row>
    <row r="8888" spans="1:2" x14ac:dyDescent="0.25">
      <c r="A8888" s="65">
        <v>8887</v>
      </c>
      <c r="B8888" s="64">
        <v>28741417.927190807</v>
      </c>
    </row>
    <row r="8889" spans="1:2" x14ac:dyDescent="0.25">
      <c r="A8889" s="65">
        <v>8888</v>
      </c>
      <c r="B8889" s="64">
        <v>29671762.255827568</v>
      </c>
    </row>
    <row r="8890" spans="1:2" x14ac:dyDescent="0.25">
      <c r="A8890" s="65">
        <v>8889</v>
      </c>
      <c r="B8890" s="64">
        <v>29316990.325583082</v>
      </c>
    </row>
    <row r="8891" spans="1:2" x14ac:dyDescent="0.25">
      <c r="A8891" s="65">
        <v>8890</v>
      </c>
      <c r="B8891" s="64">
        <v>28653394.171253841</v>
      </c>
    </row>
    <row r="8892" spans="1:2" x14ac:dyDescent="0.25">
      <c r="A8892" s="65">
        <v>8891</v>
      </c>
      <c r="B8892" s="64">
        <v>28665549.848675802</v>
      </c>
    </row>
    <row r="8893" spans="1:2" x14ac:dyDescent="0.25">
      <c r="A8893" s="65">
        <v>8892</v>
      </c>
      <c r="B8893" s="64">
        <v>29946417.9238219</v>
      </c>
    </row>
    <row r="8894" spans="1:2" x14ac:dyDescent="0.25">
      <c r="A8894" s="65">
        <v>8893</v>
      </c>
      <c r="B8894" s="64">
        <v>28992159.001921274</v>
      </c>
    </row>
    <row r="8895" spans="1:2" x14ac:dyDescent="0.25">
      <c r="A8895" s="65">
        <v>8894</v>
      </c>
      <c r="B8895" s="64">
        <v>28627223.16505124</v>
      </c>
    </row>
    <row r="8896" spans="1:2" x14ac:dyDescent="0.25">
      <c r="A8896" s="65">
        <v>8895</v>
      </c>
      <c r="B8896" s="64">
        <v>30344403.061134055</v>
      </c>
    </row>
    <row r="8897" spans="1:2" x14ac:dyDescent="0.25">
      <c r="A8897" s="65">
        <v>8896</v>
      </c>
      <c r="B8897" s="64">
        <v>28627272.619030956</v>
      </c>
    </row>
    <row r="8898" spans="1:2" x14ac:dyDescent="0.25">
      <c r="A8898" s="65">
        <v>8897</v>
      </c>
      <c r="B8898" s="64">
        <v>32847738.707874924</v>
      </c>
    </row>
    <row r="8899" spans="1:2" x14ac:dyDescent="0.25">
      <c r="A8899" s="65">
        <v>8898</v>
      </c>
      <c r="B8899" s="64">
        <v>32266379.269886591</v>
      </c>
    </row>
    <row r="8900" spans="1:2" x14ac:dyDescent="0.25">
      <c r="A8900" s="65">
        <v>8899</v>
      </c>
      <c r="B8900" s="64">
        <v>29025516.35864266</v>
      </c>
    </row>
    <row r="8901" spans="1:2" x14ac:dyDescent="0.25">
      <c r="A8901" s="65">
        <v>8900</v>
      </c>
      <c r="B8901" s="64">
        <v>28545012.04921421</v>
      </c>
    </row>
    <row r="8902" spans="1:2" x14ac:dyDescent="0.25">
      <c r="A8902" s="65">
        <v>8901</v>
      </c>
      <c r="B8902" s="64">
        <v>28899258.455737028</v>
      </c>
    </row>
    <row r="8903" spans="1:2" x14ac:dyDescent="0.25">
      <c r="A8903" s="65">
        <v>8902</v>
      </c>
      <c r="B8903" s="64">
        <v>28789134.090905704</v>
      </c>
    </row>
    <row r="8904" spans="1:2" x14ac:dyDescent="0.25">
      <c r="A8904" s="65">
        <v>8903</v>
      </c>
      <c r="B8904" s="64">
        <v>33781592.810745291</v>
      </c>
    </row>
    <row r="8905" spans="1:2" x14ac:dyDescent="0.25">
      <c r="A8905" s="65">
        <v>8904</v>
      </c>
      <c r="B8905" s="64">
        <v>28694988.873658627</v>
      </c>
    </row>
    <row r="8906" spans="1:2" x14ac:dyDescent="0.25">
      <c r="A8906" s="65">
        <v>8905</v>
      </c>
      <c r="B8906" s="64">
        <v>29308191.137842782</v>
      </c>
    </row>
    <row r="8907" spans="1:2" x14ac:dyDescent="0.25">
      <c r="A8907" s="65">
        <v>8906</v>
      </c>
      <c r="B8907" s="64">
        <v>29786207.489989839</v>
      </c>
    </row>
    <row r="8908" spans="1:2" x14ac:dyDescent="0.25">
      <c r="A8908" s="65">
        <v>8907</v>
      </c>
      <c r="B8908" s="64">
        <v>28844707.972413883</v>
      </c>
    </row>
    <row r="8909" spans="1:2" x14ac:dyDescent="0.25">
      <c r="A8909" s="65">
        <v>8908</v>
      </c>
      <c r="B8909" s="64">
        <v>29937769.017265443</v>
      </c>
    </row>
    <row r="8910" spans="1:2" x14ac:dyDescent="0.25">
      <c r="A8910" s="65">
        <v>8909</v>
      </c>
      <c r="B8910" s="64">
        <v>28758935.955940843</v>
      </c>
    </row>
    <row r="8911" spans="1:2" x14ac:dyDescent="0.25">
      <c r="A8911" s="65">
        <v>8910</v>
      </c>
      <c r="B8911" s="64">
        <v>29040663.282537229</v>
      </c>
    </row>
    <row r="8912" spans="1:2" x14ac:dyDescent="0.25">
      <c r="A8912" s="65">
        <v>8911</v>
      </c>
      <c r="B8912" s="64">
        <v>29024137.411230579</v>
      </c>
    </row>
    <row r="8913" spans="1:2" x14ac:dyDescent="0.25">
      <c r="A8913" s="65">
        <v>8912</v>
      </c>
      <c r="B8913" s="64">
        <v>28689805.697887633</v>
      </c>
    </row>
    <row r="8914" spans="1:2" x14ac:dyDescent="0.25">
      <c r="A8914" s="65">
        <v>8913</v>
      </c>
      <c r="B8914" s="64">
        <v>30036262.02515769</v>
      </c>
    </row>
    <row r="8915" spans="1:2" x14ac:dyDescent="0.25">
      <c r="A8915" s="65">
        <v>8914</v>
      </c>
      <c r="B8915" s="64">
        <v>29072883.313511606</v>
      </c>
    </row>
    <row r="8916" spans="1:2" x14ac:dyDescent="0.25">
      <c r="A8916" s="65">
        <v>8915</v>
      </c>
      <c r="B8916" s="64">
        <v>28807961.156371325</v>
      </c>
    </row>
    <row r="8917" spans="1:2" x14ac:dyDescent="0.25">
      <c r="A8917" s="65">
        <v>8916</v>
      </c>
      <c r="B8917" s="64">
        <v>33855392.466099016</v>
      </c>
    </row>
    <row r="8918" spans="1:2" x14ac:dyDescent="0.25">
      <c r="A8918" s="65">
        <v>8917</v>
      </c>
      <c r="B8918" s="64">
        <v>29196943.360855613</v>
      </c>
    </row>
    <row r="8919" spans="1:2" x14ac:dyDescent="0.25">
      <c r="A8919" s="65">
        <v>8918</v>
      </c>
      <c r="B8919" s="64">
        <v>29630106.374800377</v>
      </c>
    </row>
    <row r="8920" spans="1:2" x14ac:dyDescent="0.25">
      <c r="A8920" s="65">
        <v>8919</v>
      </c>
      <c r="B8920" s="64">
        <v>28983864.760816839</v>
      </c>
    </row>
    <row r="8921" spans="1:2" x14ac:dyDescent="0.25">
      <c r="A8921" s="65">
        <v>8920</v>
      </c>
      <c r="B8921" s="64">
        <v>29889826.803958721</v>
      </c>
    </row>
    <row r="8922" spans="1:2" x14ac:dyDescent="0.25">
      <c r="A8922" s="65">
        <v>8921</v>
      </c>
      <c r="B8922" s="64">
        <v>30388529.62731006</v>
      </c>
    </row>
    <row r="8923" spans="1:2" x14ac:dyDescent="0.25">
      <c r="A8923" s="65">
        <v>8922</v>
      </c>
      <c r="B8923" s="64">
        <v>28696613.682974562</v>
      </c>
    </row>
    <row r="8924" spans="1:2" x14ac:dyDescent="0.25">
      <c r="A8924" s="65">
        <v>8923</v>
      </c>
      <c r="B8924" s="64">
        <v>29667929.305977538</v>
      </c>
    </row>
    <row r="8925" spans="1:2" x14ac:dyDescent="0.25">
      <c r="A8925" s="65">
        <v>8924</v>
      </c>
      <c r="B8925" s="64">
        <v>29060859.478584483</v>
      </c>
    </row>
    <row r="8926" spans="1:2" x14ac:dyDescent="0.25">
      <c r="A8926" s="65">
        <v>8925</v>
      </c>
      <c r="B8926" s="64">
        <v>30112428.587405719</v>
      </c>
    </row>
    <row r="8927" spans="1:2" x14ac:dyDescent="0.25">
      <c r="A8927" s="65">
        <v>8926</v>
      </c>
      <c r="B8927" s="64">
        <v>28932143.034236442</v>
      </c>
    </row>
    <row r="8928" spans="1:2" x14ac:dyDescent="0.25">
      <c r="A8928" s="65">
        <v>8927</v>
      </c>
      <c r="B8928" s="64">
        <v>28973269.681401026</v>
      </c>
    </row>
    <row r="8929" spans="1:2" x14ac:dyDescent="0.25">
      <c r="A8929" s="65">
        <v>8928</v>
      </c>
      <c r="B8929" s="64">
        <v>28406324.659230839</v>
      </c>
    </row>
    <row r="8930" spans="1:2" x14ac:dyDescent="0.25">
      <c r="A8930" s="65">
        <v>8929</v>
      </c>
      <c r="B8930" s="64">
        <v>28662613.357690033</v>
      </c>
    </row>
    <row r="8931" spans="1:2" x14ac:dyDescent="0.25">
      <c r="A8931" s="65">
        <v>8930</v>
      </c>
      <c r="B8931" s="64">
        <v>28763444.041234743</v>
      </c>
    </row>
    <row r="8932" spans="1:2" x14ac:dyDescent="0.25">
      <c r="A8932" s="65">
        <v>8931</v>
      </c>
      <c r="B8932" s="64">
        <v>29963956.671121042</v>
      </c>
    </row>
    <row r="8933" spans="1:2" x14ac:dyDescent="0.25">
      <c r="A8933" s="65">
        <v>8932</v>
      </c>
      <c r="B8933" s="64">
        <v>29502541.688312825</v>
      </c>
    </row>
    <row r="8934" spans="1:2" x14ac:dyDescent="0.25">
      <c r="A8934" s="65">
        <v>8933</v>
      </c>
      <c r="B8934" s="64">
        <v>29054363.359186739</v>
      </c>
    </row>
    <row r="8935" spans="1:2" x14ac:dyDescent="0.25">
      <c r="A8935" s="65">
        <v>8934</v>
      </c>
      <c r="B8935" s="64">
        <v>28588550.57667819</v>
      </c>
    </row>
    <row r="8936" spans="1:2" x14ac:dyDescent="0.25">
      <c r="A8936" s="65">
        <v>8935</v>
      </c>
      <c r="B8936" s="64">
        <v>28960361.767242566</v>
      </c>
    </row>
    <row r="8937" spans="1:2" x14ac:dyDescent="0.25">
      <c r="A8937" s="65">
        <v>8936</v>
      </c>
      <c r="B8937" s="64">
        <v>29086477.220428813</v>
      </c>
    </row>
    <row r="8938" spans="1:2" x14ac:dyDescent="0.25">
      <c r="A8938" s="65">
        <v>8937</v>
      </c>
      <c r="B8938" s="64">
        <v>30254462.557264525</v>
      </c>
    </row>
    <row r="8939" spans="1:2" x14ac:dyDescent="0.25">
      <c r="A8939" s="65">
        <v>8938</v>
      </c>
      <c r="B8939" s="64">
        <v>29006581.506372795</v>
      </c>
    </row>
    <row r="8940" spans="1:2" x14ac:dyDescent="0.25">
      <c r="A8940" s="65">
        <v>8939</v>
      </c>
      <c r="B8940" s="64">
        <v>33704992.395686612</v>
      </c>
    </row>
    <row r="8941" spans="1:2" x14ac:dyDescent="0.25">
      <c r="A8941" s="65">
        <v>8940</v>
      </c>
      <c r="B8941" s="64">
        <v>28738715.379039858</v>
      </c>
    </row>
    <row r="8942" spans="1:2" x14ac:dyDescent="0.25">
      <c r="A8942" s="65">
        <v>8941</v>
      </c>
      <c r="B8942" s="64">
        <v>28542635.935013223</v>
      </c>
    </row>
    <row r="8943" spans="1:2" x14ac:dyDescent="0.25">
      <c r="A8943" s="65">
        <v>8942</v>
      </c>
      <c r="B8943" s="64">
        <v>28776121.337490227</v>
      </c>
    </row>
    <row r="8944" spans="1:2" x14ac:dyDescent="0.25">
      <c r="A8944" s="65">
        <v>8943</v>
      </c>
      <c r="B8944" s="64">
        <v>29154629.769327007</v>
      </c>
    </row>
    <row r="8945" spans="1:2" x14ac:dyDescent="0.25">
      <c r="A8945" s="65">
        <v>8944</v>
      </c>
      <c r="B8945" s="64">
        <v>28827248.171076622</v>
      </c>
    </row>
    <row r="8946" spans="1:2" x14ac:dyDescent="0.25">
      <c r="A8946" s="65">
        <v>8945</v>
      </c>
      <c r="B8946" s="64">
        <v>28990556.746342991</v>
      </c>
    </row>
    <row r="8947" spans="1:2" x14ac:dyDescent="0.25">
      <c r="A8947" s="65">
        <v>8946</v>
      </c>
      <c r="B8947" s="64">
        <v>29320511.557230134</v>
      </c>
    </row>
    <row r="8948" spans="1:2" x14ac:dyDescent="0.25">
      <c r="A8948" s="65">
        <v>8947</v>
      </c>
      <c r="B8948" s="64">
        <v>29378207.685290016</v>
      </c>
    </row>
    <row r="8949" spans="1:2" x14ac:dyDescent="0.25">
      <c r="A8949" s="65">
        <v>8948</v>
      </c>
      <c r="B8949" s="64">
        <v>29737888.666076951</v>
      </c>
    </row>
    <row r="8950" spans="1:2" x14ac:dyDescent="0.25">
      <c r="A8950" s="65">
        <v>8949</v>
      </c>
      <c r="B8950" s="64">
        <v>29726780.236013677</v>
      </c>
    </row>
    <row r="8951" spans="1:2" x14ac:dyDescent="0.25">
      <c r="A8951" s="65">
        <v>8950</v>
      </c>
      <c r="B8951" s="64">
        <v>33125647.860219728</v>
      </c>
    </row>
    <row r="8952" spans="1:2" x14ac:dyDescent="0.25">
      <c r="A8952" s="65">
        <v>8951</v>
      </c>
      <c r="B8952" s="64">
        <v>30362262.450613059</v>
      </c>
    </row>
    <row r="8953" spans="1:2" x14ac:dyDescent="0.25">
      <c r="A8953" s="65">
        <v>8952</v>
      </c>
      <c r="B8953" s="64">
        <v>29425506.43800116</v>
      </c>
    </row>
    <row r="8954" spans="1:2" x14ac:dyDescent="0.25">
      <c r="A8954" s="65">
        <v>8953</v>
      </c>
      <c r="B8954" s="64">
        <v>28659936.206984576</v>
      </c>
    </row>
    <row r="8955" spans="1:2" x14ac:dyDescent="0.25">
      <c r="A8955" s="65">
        <v>8954</v>
      </c>
      <c r="B8955" s="64">
        <v>28974909.461158261</v>
      </c>
    </row>
    <row r="8956" spans="1:2" x14ac:dyDescent="0.25">
      <c r="A8956" s="65">
        <v>8955</v>
      </c>
      <c r="B8956" s="64">
        <v>29818181.06127809</v>
      </c>
    </row>
    <row r="8957" spans="1:2" x14ac:dyDescent="0.25">
      <c r="A8957" s="65">
        <v>8956</v>
      </c>
      <c r="B8957" s="64">
        <v>28745099.612337038</v>
      </c>
    </row>
    <row r="8958" spans="1:2" x14ac:dyDescent="0.25">
      <c r="A8958" s="65">
        <v>8957</v>
      </c>
      <c r="B8958" s="64">
        <v>31625673.426340688</v>
      </c>
    </row>
    <row r="8959" spans="1:2" x14ac:dyDescent="0.25">
      <c r="A8959" s="65">
        <v>8958</v>
      </c>
      <c r="B8959" s="64">
        <v>28692649.284936514</v>
      </c>
    </row>
    <row r="8960" spans="1:2" x14ac:dyDescent="0.25">
      <c r="A8960" s="65">
        <v>8959</v>
      </c>
      <c r="B8960" s="64">
        <v>28981832.166587457</v>
      </c>
    </row>
    <row r="8961" spans="1:2" x14ac:dyDescent="0.25">
      <c r="A8961" s="65">
        <v>8960</v>
      </c>
      <c r="B8961" s="64">
        <v>30800278.868001886</v>
      </c>
    </row>
    <row r="8962" spans="1:2" x14ac:dyDescent="0.25">
      <c r="A8962" s="65">
        <v>8961</v>
      </c>
      <c r="B8962" s="64">
        <v>29165583.879123501</v>
      </c>
    </row>
    <row r="8963" spans="1:2" x14ac:dyDescent="0.25">
      <c r="A8963" s="65">
        <v>8962</v>
      </c>
      <c r="B8963" s="64">
        <v>28888600.212736797</v>
      </c>
    </row>
    <row r="8964" spans="1:2" x14ac:dyDescent="0.25">
      <c r="A8964" s="65">
        <v>8963</v>
      </c>
      <c r="B8964" s="64">
        <v>28591608.109897647</v>
      </c>
    </row>
    <row r="8965" spans="1:2" x14ac:dyDescent="0.25">
      <c r="A8965" s="65">
        <v>8964</v>
      </c>
      <c r="B8965" s="64">
        <v>28932288.541560695</v>
      </c>
    </row>
    <row r="8966" spans="1:2" x14ac:dyDescent="0.25">
      <c r="A8966" s="65">
        <v>8965</v>
      </c>
      <c r="B8966" s="64">
        <v>28964792.70975206</v>
      </c>
    </row>
    <row r="8967" spans="1:2" x14ac:dyDescent="0.25">
      <c r="A8967" s="65">
        <v>8966</v>
      </c>
      <c r="B8967" s="64">
        <v>30346095.664773636</v>
      </c>
    </row>
    <row r="8968" spans="1:2" x14ac:dyDescent="0.25">
      <c r="A8968" s="65">
        <v>8967</v>
      </c>
      <c r="B8968" s="64">
        <v>28884168.359969467</v>
      </c>
    </row>
    <row r="8969" spans="1:2" x14ac:dyDescent="0.25">
      <c r="A8969" s="65">
        <v>8968</v>
      </c>
      <c r="B8969" s="64">
        <v>28628265.666716389</v>
      </c>
    </row>
    <row r="8970" spans="1:2" x14ac:dyDescent="0.25">
      <c r="A8970" s="65">
        <v>8969</v>
      </c>
      <c r="B8970" s="64">
        <v>28666018.234413978</v>
      </c>
    </row>
    <row r="8971" spans="1:2" x14ac:dyDescent="0.25">
      <c r="A8971" s="65">
        <v>8970</v>
      </c>
      <c r="B8971" s="64">
        <v>29310472.785264079</v>
      </c>
    </row>
    <row r="8972" spans="1:2" x14ac:dyDescent="0.25">
      <c r="A8972" s="65">
        <v>8971</v>
      </c>
      <c r="B8972" s="64">
        <v>29405074.709464006</v>
      </c>
    </row>
    <row r="8973" spans="1:2" x14ac:dyDescent="0.25">
      <c r="A8973" s="65">
        <v>8972</v>
      </c>
      <c r="B8973" s="64">
        <v>32984382.812426478</v>
      </c>
    </row>
    <row r="8974" spans="1:2" x14ac:dyDescent="0.25">
      <c r="A8974" s="65">
        <v>8973</v>
      </c>
      <c r="B8974" s="64">
        <v>28582514.985046439</v>
      </c>
    </row>
    <row r="8975" spans="1:2" x14ac:dyDescent="0.25">
      <c r="A8975" s="65">
        <v>8974</v>
      </c>
      <c r="B8975" s="64">
        <v>29246306.948429201</v>
      </c>
    </row>
    <row r="8976" spans="1:2" x14ac:dyDescent="0.25">
      <c r="A8976" s="65">
        <v>8975</v>
      </c>
      <c r="B8976" s="64">
        <v>28940041.927613817</v>
      </c>
    </row>
    <row r="8977" spans="1:2" x14ac:dyDescent="0.25">
      <c r="A8977" s="65">
        <v>8976</v>
      </c>
      <c r="B8977" s="64">
        <v>31499531.996655796</v>
      </c>
    </row>
    <row r="8978" spans="1:2" x14ac:dyDescent="0.25">
      <c r="A8978" s="65">
        <v>8977</v>
      </c>
      <c r="B8978" s="64">
        <v>30086977.584873386</v>
      </c>
    </row>
    <row r="8979" spans="1:2" x14ac:dyDescent="0.25">
      <c r="A8979" s="65">
        <v>8978</v>
      </c>
      <c r="B8979" s="64">
        <v>29143787.700844135</v>
      </c>
    </row>
    <row r="8980" spans="1:2" x14ac:dyDescent="0.25">
      <c r="A8980" s="65">
        <v>8979</v>
      </c>
      <c r="B8980" s="64">
        <v>28903800.511203833</v>
      </c>
    </row>
    <row r="8981" spans="1:2" x14ac:dyDescent="0.25">
      <c r="A8981" s="65">
        <v>8980</v>
      </c>
      <c r="B8981" s="64">
        <v>30166834.242218833</v>
      </c>
    </row>
    <row r="8982" spans="1:2" x14ac:dyDescent="0.25">
      <c r="A8982" s="65">
        <v>8981</v>
      </c>
      <c r="B8982" s="64">
        <v>29566796.576139823</v>
      </c>
    </row>
    <row r="8983" spans="1:2" x14ac:dyDescent="0.25">
      <c r="A8983" s="65">
        <v>8982</v>
      </c>
      <c r="B8983" s="64">
        <v>29205025.458695412</v>
      </c>
    </row>
    <row r="8984" spans="1:2" x14ac:dyDescent="0.25">
      <c r="A8984" s="65">
        <v>8983</v>
      </c>
      <c r="B8984" s="64">
        <v>29335047.397443172</v>
      </c>
    </row>
    <row r="8985" spans="1:2" x14ac:dyDescent="0.25">
      <c r="A8985" s="65">
        <v>8984</v>
      </c>
      <c r="B8985" s="64">
        <v>29165751.362180561</v>
      </c>
    </row>
    <row r="8986" spans="1:2" x14ac:dyDescent="0.25">
      <c r="A8986" s="65">
        <v>8985</v>
      </c>
      <c r="B8986" s="64">
        <v>28802421.841712959</v>
      </c>
    </row>
    <row r="8987" spans="1:2" x14ac:dyDescent="0.25">
      <c r="A8987" s="65">
        <v>8986</v>
      </c>
      <c r="B8987" s="64">
        <v>29329964.749114685</v>
      </c>
    </row>
    <row r="8988" spans="1:2" x14ac:dyDescent="0.25">
      <c r="A8988" s="65">
        <v>8987</v>
      </c>
      <c r="B8988" s="64">
        <v>29114701.728761457</v>
      </c>
    </row>
    <row r="8989" spans="1:2" x14ac:dyDescent="0.25">
      <c r="A8989" s="65">
        <v>8988</v>
      </c>
      <c r="B8989" s="64">
        <v>29119088.148857314</v>
      </c>
    </row>
    <row r="8990" spans="1:2" x14ac:dyDescent="0.25">
      <c r="A8990" s="65">
        <v>8989</v>
      </c>
      <c r="B8990" s="64">
        <v>28795048.794397444</v>
      </c>
    </row>
    <row r="8991" spans="1:2" x14ac:dyDescent="0.25">
      <c r="A8991" s="65">
        <v>8990</v>
      </c>
      <c r="B8991" s="64">
        <v>29065460.044593655</v>
      </c>
    </row>
    <row r="8992" spans="1:2" x14ac:dyDescent="0.25">
      <c r="A8992" s="65">
        <v>8991</v>
      </c>
      <c r="B8992" s="64">
        <v>28581666.926706038</v>
      </c>
    </row>
    <row r="8993" spans="1:2" x14ac:dyDescent="0.25">
      <c r="A8993" s="65">
        <v>8992</v>
      </c>
      <c r="B8993" s="64">
        <v>29428112.752645869</v>
      </c>
    </row>
    <row r="8994" spans="1:2" x14ac:dyDescent="0.25">
      <c r="A8994" s="65">
        <v>8993</v>
      </c>
      <c r="B8994" s="64">
        <v>32258804.044789534</v>
      </c>
    </row>
    <row r="8995" spans="1:2" x14ac:dyDescent="0.25">
      <c r="A8995" s="65">
        <v>8994</v>
      </c>
      <c r="B8995" s="64">
        <v>29131359.066566024</v>
      </c>
    </row>
    <row r="8996" spans="1:2" x14ac:dyDescent="0.25">
      <c r="A8996" s="65">
        <v>8995</v>
      </c>
      <c r="B8996" s="64">
        <v>29798880.71672035</v>
      </c>
    </row>
    <row r="8997" spans="1:2" x14ac:dyDescent="0.25">
      <c r="A8997" s="65">
        <v>8996</v>
      </c>
      <c r="B8997" s="64">
        <v>28912665.997424033</v>
      </c>
    </row>
    <row r="8998" spans="1:2" x14ac:dyDescent="0.25">
      <c r="A8998" s="65">
        <v>8997</v>
      </c>
      <c r="B8998" s="64">
        <v>31351709.887020897</v>
      </c>
    </row>
    <row r="8999" spans="1:2" x14ac:dyDescent="0.25">
      <c r="A8999" s="65">
        <v>8998</v>
      </c>
      <c r="B8999" s="64">
        <v>28927151.284188747</v>
      </c>
    </row>
    <row r="9000" spans="1:2" x14ac:dyDescent="0.25">
      <c r="A9000" s="65">
        <v>8999</v>
      </c>
      <c r="B9000" s="64">
        <v>29026045.670671545</v>
      </c>
    </row>
    <row r="9001" spans="1:2" x14ac:dyDescent="0.25">
      <c r="A9001" s="65">
        <v>9000</v>
      </c>
      <c r="B9001" s="64">
        <v>29020531.709762678</v>
      </c>
    </row>
    <row r="9002" spans="1:2" x14ac:dyDescent="0.25">
      <c r="A9002" s="65">
        <v>9001</v>
      </c>
      <c r="B9002" s="64">
        <v>29082332.812888574</v>
      </c>
    </row>
    <row r="9003" spans="1:2" x14ac:dyDescent="0.25">
      <c r="A9003" s="65">
        <v>9002</v>
      </c>
      <c r="B9003" s="64">
        <v>28762741.003640842</v>
      </c>
    </row>
    <row r="9004" spans="1:2" x14ac:dyDescent="0.25">
      <c r="A9004" s="65">
        <v>9003</v>
      </c>
      <c r="B9004" s="64">
        <v>28883469.912728041</v>
      </c>
    </row>
    <row r="9005" spans="1:2" x14ac:dyDescent="0.25">
      <c r="A9005" s="65">
        <v>9004</v>
      </c>
      <c r="B9005" s="64">
        <v>28536217.05575338</v>
      </c>
    </row>
    <row r="9006" spans="1:2" x14ac:dyDescent="0.25">
      <c r="A9006" s="65">
        <v>9005</v>
      </c>
      <c r="B9006" s="64">
        <v>29114345.345710848</v>
      </c>
    </row>
    <row r="9007" spans="1:2" x14ac:dyDescent="0.25">
      <c r="A9007" s="65">
        <v>9006</v>
      </c>
      <c r="B9007" s="64">
        <v>28726542.894140761</v>
      </c>
    </row>
    <row r="9008" spans="1:2" x14ac:dyDescent="0.25">
      <c r="A9008" s="65">
        <v>9007</v>
      </c>
      <c r="B9008" s="64">
        <v>34604492.496484131</v>
      </c>
    </row>
    <row r="9009" spans="1:2" x14ac:dyDescent="0.25">
      <c r="A9009" s="65">
        <v>9008</v>
      </c>
      <c r="B9009" s="64">
        <v>28663752.411287237</v>
      </c>
    </row>
    <row r="9010" spans="1:2" x14ac:dyDescent="0.25">
      <c r="A9010" s="65">
        <v>9009</v>
      </c>
      <c r="B9010" s="64">
        <v>28953315.894683223</v>
      </c>
    </row>
    <row r="9011" spans="1:2" x14ac:dyDescent="0.25">
      <c r="A9011" s="65">
        <v>9010</v>
      </c>
      <c r="B9011" s="64">
        <v>29889474.134058163</v>
      </c>
    </row>
    <row r="9012" spans="1:2" x14ac:dyDescent="0.25">
      <c r="A9012" s="65">
        <v>9011</v>
      </c>
      <c r="B9012" s="64">
        <v>29333685.537541535</v>
      </c>
    </row>
    <row r="9013" spans="1:2" x14ac:dyDescent="0.25">
      <c r="A9013" s="65">
        <v>9012</v>
      </c>
      <c r="B9013" s="64">
        <v>28581808.497873388</v>
      </c>
    </row>
    <row r="9014" spans="1:2" x14ac:dyDescent="0.25">
      <c r="A9014" s="65">
        <v>9013</v>
      </c>
      <c r="B9014" s="64">
        <v>28632851.705075104</v>
      </c>
    </row>
    <row r="9015" spans="1:2" x14ac:dyDescent="0.25">
      <c r="A9015" s="65">
        <v>9014</v>
      </c>
      <c r="B9015" s="64">
        <v>29134053.797175977</v>
      </c>
    </row>
    <row r="9016" spans="1:2" x14ac:dyDescent="0.25">
      <c r="A9016" s="65">
        <v>9015</v>
      </c>
      <c r="B9016" s="64">
        <v>29269205.856103145</v>
      </c>
    </row>
    <row r="9017" spans="1:2" x14ac:dyDescent="0.25">
      <c r="A9017" s="65">
        <v>9016</v>
      </c>
      <c r="B9017" s="64">
        <v>28936595.92690425</v>
      </c>
    </row>
    <row r="9018" spans="1:2" x14ac:dyDescent="0.25">
      <c r="A9018" s="65">
        <v>9017</v>
      </c>
      <c r="B9018" s="64">
        <v>28662647.204419777</v>
      </c>
    </row>
    <row r="9019" spans="1:2" x14ac:dyDescent="0.25">
      <c r="A9019" s="65">
        <v>9018</v>
      </c>
      <c r="B9019" s="64">
        <v>29443886.448346142</v>
      </c>
    </row>
    <row r="9020" spans="1:2" x14ac:dyDescent="0.25">
      <c r="A9020" s="65">
        <v>9019</v>
      </c>
      <c r="B9020" s="64">
        <v>28942975.606548171</v>
      </c>
    </row>
    <row r="9021" spans="1:2" x14ac:dyDescent="0.25">
      <c r="A9021" s="65">
        <v>9020</v>
      </c>
      <c r="B9021" s="64">
        <v>28840030.521008432</v>
      </c>
    </row>
    <row r="9022" spans="1:2" x14ac:dyDescent="0.25">
      <c r="A9022" s="65">
        <v>9021</v>
      </c>
      <c r="B9022" s="64">
        <v>28578647.713469703</v>
      </c>
    </row>
    <row r="9023" spans="1:2" x14ac:dyDescent="0.25">
      <c r="A9023" s="65">
        <v>9022</v>
      </c>
      <c r="B9023" s="64">
        <v>28985680.340595014</v>
      </c>
    </row>
    <row r="9024" spans="1:2" x14ac:dyDescent="0.25">
      <c r="A9024" s="65">
        <v>9023</v>
      </c>
      <c r="B9024" s="64">
        <v>28478750.987878203</v>
      </c>
    </row>
    <row r="9025" spans="1:2" x14ac:dyDescent="0.25">
      <c r="A9025" s="65">
        <v>9024</v>
      </c>
      <c r="B9025" s="64">
        <v>28756504.450112842</v>
      </c>
    </row>
    <row r="9026" spans="1:2" x14ac:dyDescent="0.25">
      <c r="A9026" s="65">
        <v>9025</v>
      </c>
      <c r="B9026" s="64">
        <v>30379778.63722067</v>
      </c>
    </row>
    <row r="9027" spans="1:2" x14ac:dyDescent="0.25">
      <c r="A9027" s="65">
        <v>9026</v>
      </c>
      <c r="B9027" s="64">
        <v>28441872.347954206</v>
      </c>
    </row>
    <row r="9028" spans="1:2" x14ac:dyDescent="0.25">
      <c r="A9028" s="65">
        <v>9027</v>
      </c>
      <c r="B9028" s="64">
        <v>28671573.232626032</v>
      </c>
    </row>
    <row r="9029" spans="1:2" x14ac:dyDescent="0.25">
      <c r="A9029" s="65">
        <v>9028</v>
      </c>
      <c r="B9029" s="64">
        <v>29037984.56093882</v>
      </c>
    </row>
    <row r="9030" spans="1:2" x14ac:dyDescent="0.25">
      <c r="A9030" s="65">
        <v>9029</v>
      </c>
      <c r="B9030" s="64">
        <v>28670676.35897572</v>
      </c>
    </row>
    <row r="9031" spans="1:2" x14ac:dyDescent="0.25">
      <c r="A9031" s="65">
        <v>9030</v>
      </c>
      <c r="B9031" s="64">
        <v>28660695.797047257</v>
      </c>
    </row>
    <row r="9032" spans="1:2" x14ac:dyDescent="0.25">
      <c r="A9032" s="65">
        <v>9031</v>
      </c>
      <c r="B9032" s="64">
        <v>29656331.954532642</v>
      </c>
    </row>
    <row r="9033" spans="1:2" x14ac:dyDescent="0.25">
      <c r="A9033" s="65">
        <v>9032</v>
      </c>
      <c r="B9033" s="64">
        <v>28818500.450189207</v>
      </c>
    </row>
    <row r="9034" spans="1:2" x14ac:dyDescent="0.25">
      <c r="A9034" s="65">
        <v>9033</v>
      </c>
      <c r="B9034" s="64">
        <v>31189865.107359275</v>
      </c>
    </row>
    <row r="9035" spans="1:2" x14ac:dyDescent="0.25">
      <c r="A9035" s="65">
        <v>9034</v>
      </c>
      <c r="B9035" s="64">
        <v>28831538.507433705</v>
      </c>
    </row>
    <row r="9036" spans="1:2" x14ac:dyDescent="0.25">
      <c r="A9036" s="65">
        <v>9035</v>
      </c>
      <c r="B9036" s="64">
        <v>29135040.039475664</v>
      </c>
    </row>
    <row r="9037" spans="1:2" x14ac:dyDescent="0.25">
      <c r="A9037" s="65">
        <v>9036</v>
      </c>
      <c r="B9037" s="64">
        <v>29154939.782373372</v>
      </c>
    </row>
    <row r="9038" spans="1:2" x14ac:dyDescent="0.25">
      <c r="A9038" s="65">
        <v>9037</v>
      </c>
      <c r="B9038" s="64">
        <v>29335239.871220581</v>
      </c>
    </row>
    <row r="9039" spans="1:2" x14ac:dyDescent="0.25">
      <c r="A9039" s="65">
        <v>9038</v>
      </c>
      <c r="B9039" s="64">
        <v>28647241.95549158</v>
      </c>
    </row>
    <row r="9040" spans="1:2" x14ac:dyDescent="0.25">
      <c r="A9040" s="65">
        <v>9039</v>
      </c>
      <c r="B9040" s="64">
        <v>31444392.201944366</v>
      </c>
    </row>
    <row r="9041" spans="1:2" x14ac:dyDescent="0.25">
      <c r="A9041" s="65">
        <v>9040</v>
      </c>
      <c r="B9041" s="64">
        <v>28624123.618875269</v>
      </c>
    </row>
    <row r="9042" spans="1:2" x14ac:dyDescent="0.25">
      <c r="A9042" s="65">
        <v>9041</v>
      </c>
      <c r="B9042" s="64">
        <v>30739581.293217186</v>
      </c>
    </row>
    <row r="9043" spans="1:2" x14ac:dyDescent="0.25">
      <c r="A9043" s="65">
        <v>9042</v>
      </c>
      <c r="B9043" s="64">
        <v>29568522.605050303</v>
      </c>
    </row>
    <row r="9044" spans="1:2" x14ac:dyDescent="0.25">
      <c r="A9044" s="65">
        <v>9043</v>
      </c>
      <c r="B9044" s="64">
        <v>29162278.290104527</v>
      </c>
    </row>
    <row r="9045" spans="1:2" x14ac:dyDescent="0.25">
      <c r="A9045" s="65">
        <v>9044</v>
      </c>
      <c r="B9045" s="64">
        <v>28774080.222276043</v>
      </c>
    </row>
    <row r="9046" spans="1:2" x14ac:dyDescent="0.25">
      <c r="A9046" s="65">
        <v>9045</v>
      </c>
      <c r="B9046" s="64">
        <v>28577556.028286017</v>
      </c>
    </row>
    <row r="9047" spans="1:2" x14ac:dyDescent="0.25">
      <c r="A9047" s="65">
        <v>9046</v>
      </c>
      <c r="B9047" s="64">
        <v>28776040.460056387</v>
      </c>
    </row>
    <row r="9048" spans="1:2" x14ac:dyDescent="0.25">
      <c r="A9048" s="65">
        <v>9047</v>
      </c>
      <c r="B9048" s="64">
        <v>28810987.107080832</v>
      </c>
    </row>
    <row r="9049" spans="1:2" x14ac:dyDescent="0.25">
      <c r="A9049" s="65">
        <v>9048</v>
      </c>
      <c r="B9049" s="64">
        <v>28826204.927837431</v>
      </c>
    </row>
    <row r="9050" spans="1:2" x14ac:dyDescent="0.25">
      <c r="A9050" s="65">
        <v>9049</v>
      </c>
      <c r="B9050" s="64">
        <v>29333413.134165578</v>
      </c>
    </row>
    <row r="9051" spans="1:2" x14ac:dyDescent="0.25">
      <c r="A9051" s="65">
        <v>9050</v>
      </c>
      <c r="B9051" s="64">
        <v>28558629.744494919</v>
      </c>
    </row>
    <row r="9052" spans="1:2" x14ac:dyDescent="0.25">
      <c r="A9052" s="65">
        <v>9051</v>
      </c>
      <c r="B9052" s="64">
        <v>28918362.504992407</v>
      </c>
    </row>
    <row r="9053" spans="1:2" x14ac:dyDescent="0.25">
      <c r="A9053" s="65">
        <v>9052</v>
      </c>
      <c r="B9053" s="64">
        <v>28951900.192573626</v>
      </c>
    </row>
    <row r="9054" spans="1:2" x14ac:dyDescent="0.25">
      <c r="A9054" s="65">
        <v>9053</v>
      </c>
      <c r="B9054" s="64">
        <v>30343175.553062811</v>
      </c>
    </row>
    <row r="9055" spans="1:2" x14ac:dyDescent="0.25">
      <c r="A9055" s="65">
        <v>9054</v>
      </c>
      <c r="B9055" s="64">
        <v>28600509.07161998</v>
      </c>
    </row>
    <row r="9056" spans="1:2" x14ac:dyDescent="0.25">
      <c r="A9056" s="65">
        <v>9055</v>
      </c>
      <c r="B9056" s="64">
        <v>28659496.921070453</v>
      </c>
    </row>
    <row r="9057" spans="1:2" x14ac:dyDescent="0.25">
      <c r="A9057" s="65">
        <v>9056</v>
      </c>
      <c r="B9057" s="64">
        <v>28861560.397114161</v>
      </c>
    </row>
    <row r="9058" spans="1:2" x14ac:dyDescent="0.25">
      <c r="A9058" s="65">
        <v>9057</v>
      </c>
      <c r="B9058" s="64">
        <v>29163246.348742314</v>
      </c>
    </row>
    <row r="9059" spans="1:2" x14ac:dyDescent="0.25">
      <c r="A9059" s="65">
        <v>9058</v>
      </c>
      <c r="B9059" s="64">
        <v>30170652.097205769</v>
      </c>
    </row>
    <row r="9060" spans="1:2" x14ac:dyDescent="0.25">
      <c r="A9060" s="65">
        <v>9059</v>
      </c>
      <c r="B9060" s="64">
        <v>28855918.373934973</v>
      </c>
    </row>
    <row r="9061" spans="1:2" x14ac:dyDescent="0.25">
      <c r="A9061" s="65">
        <v>9060</v>
      </c>
      <c r="B9061" s="64">
        <v>29062507.132173117</v>
      </c>
    </row>
    <row r="9062" spans="1:2" x14ac:dyDescent="0.25">
      <c r="A9062" s="65">
        <v>9061</v>
      </c>
      <c r="B9062" s="64">
        <v>29192603.549019799</v>
      </c>
    </row>
    <row r="9063" spans="1:2" x14ac:dyDescent="0.25">
      <c r="A9063" s="65">
        <v>9062</v>
      </c>
      <c r="B9063" s="64">
        <v>29337288.322125733</v>
      </c>
    </row>
    <row r="9064" spans="1:2" x14ac:dyDescent="0.25">
      <c r="A9064" s="65">
        <v>9063</v>
      </c>
      <c r="B9064" s="64">
        <v>29119561.053779859</v>
      </c>
    </row>
    <row r="9065" spans="1:2" x14ac:dyDescent="0.25">
      <c r="A9065" s="65">
        <v>9064</v>
      </c>
      <c r="B9065" s="64">
        <v>29417094.524862751</v>
      </c>
    </row>
    <row r="9066" spans="1:2" x14ac:dyDescent="0.25">
      <c r="A9066" s="65">
        <v>9065</v>
      </c>
      <c r="B9066" s="64">
        <v>29150105.449128117</v>
      </c>
    </row>
    <row r="9067" spans="1:2" x14ac:dyDescent="0.25">
      <c r="A9067" s="65">
        <v>9066</v>
      </c>
      <c r="B9067" s="64">
        <v>29923585.344762649</v>
      </c>
    </row>
    <row r="9068" spans="1:2" x14ac:dyDescent="0.25">
      <c r="A9068" s="65">
        <v>9067</v>
      </c>
      <c r="B9068" s="64">
        <v>29005569.883038756</v>
      </c>
    </row>
    <row r="9069" spans="1:2" x14ac:dyDescent="0.25">
      <c r="A9069" s="65">
        <v>9068</v>
      </c>
      <c r="B9069" s="64">
        <v>29026166.714100074</v>
      </c>
    </row>
    <row r="9070" spans="1:2" x14ac:dyDescent="0.25">
      <c r="A9070" s="65">
        <v>9069</v>
      </c>
      <c r="B9070" s="64">
        <v>28476988.067107745</v>
      </c>
    </row>
    <row r="9071" spans="1:2" x14ac:dyDescent="0.25">
      <c r="A9071" s="65">
        <v>9070</v>
      </c>
      <c r="B9071" s="64">
        <v>30156292.493923616</v>
      </c>
    </row>
    <row r="9072" spans="1:2" x14ac:dyDescent="0.25">
      <c r="A9072" s="65">
        <v>9071</v>
      </c>
      <c r="B9072" s="64">
        <v>34183032.058644764</v>
      </c>
    </row>
    <row r="9073" spans="1:2" x14ac:dyDescent="0.25">
      <c r="A9073" s="65">
        <v>9072</v>
      </c>
      <c r="B9073" s="64">
        <v>28729024.447330099</v>
      </c>
    </row>
    <row r="9074" spans="1:2" x14ac:dyDescent="0.25">
      <c r="A9074" s="65">
        <v>9073</v>
      </c>
      <c r="B9074" s="64">
        <v>32181843.837698929</v>
      </c>
    </row>
    <row r="9075" spans="1:2" x14ac:dyDescent="0.25">
      <c r="A9075" s="65">
        <v>9074</v>
      </c>
      <c r="B9075" s="64">
        <v>29363590.744909186</v>
      </c>
    </row>
    <row r="9076" spans="1:2" x14ac:dyDescent="0.25">
      <c r="A9076" s="65">
        <v>9075</v>
      </c>
      <c r="B9076" s="64">
        <v>28846271.56659298</v>
      </c>
    </row>
    <row r="9077" spans="1:2" x14ac:dyDescent="0.25">
      <c r="A9077" s="65">
        <v>9076</v>
      </c>
      <c r="B9077" s="64">
        <v>28623388.423133094</v>
      </c>
    </row>
    <row r="9078" spans="1:2" x14ac:dyDescent="0.25">
      <c r="A9078" s="65">
        <v>9077</v>
      </c>
      <c r="B9078" s="64">
        <v>30080110.98861799</v>
      </c>
    </row>
    <row r="9079" spans="1:2" x14ac:dyDescent="0.25">
      <c r="A9079" s="65">
        <v>9078</v>
      </c>
      <c r="B9079" s="64">
        <v>28974420.903170727</v>
      </c>
    </row>
    <row r="9080" spans="1:2" x14ac:dyDescent="0.25">
      <c r="A9080" s="65">
        <v>9079</v>
      </c>
      <c r="B9080" s="64">
        <v>29004582.765378181</v>
      </c>
    </row>
    <row r="9081" spans="1:2" x14ac:dyDescent="0.25">
      <c r="A9081" s="65">
        <v>9080</v>
      </c>
      <c r="B9081" s="64">
        <v>28477681.703538641</v>
      </c>
    </row>
    <row r="9082" spans="1:2" x14ac:dyDescent="0.25">
      <c r="A9082" s="65">
        <v>9081</v>
      </c>
      <c r="B9082" s="64">
        <v>31633778.021015774</v>
      </c>
    </row>
    <row r="9083" spans="1:2" x14ac:dyDescent="0.25">
      <c r="A9083" s="65">
        <v>9082</v>
      </c>
      <c r="B9083" s="64">
        <v>29636160.72106611</v>
      </c>
    </row>
    <row r="9084" spans="1:2" x14ac:dyDescent="0.25">
      <c r="A9084" s="65">
        <v>9083</v>
      </c>
      <c r="B9084" s="64">
        <v>29068041.880040299</v>
      </c>
    </row>
    <row r="9085" spans="1:2" x14ac:dyDescent="0.25">
      <c r="A9085" s="65">
        <v>9084</v>
      </c>
      <c r="B9085" s="64">
        <v>30418987.030013151</v>
      </c>
    </row>
    <row r="9086" spans="1:2" x14ac:dyDescent="0.25">
      <c r="A9086" s="65">
        <v>9085</v>
      </c>
      <c r="B9086" s="64">
        <v>29002427.875486061</v>
      </c>
    </row>
    <row r="9087" spans="1:2" x14ac:dyDescent="0.25">
      <c r="A9087" s="65">
        <v>9086</v>
      </c>
      <c r="B9087" s="64">
        <v>29467552.617412351</v>
      </c>
    </row>
    <row r="9088" spans="1:2" x14ac:dyDescent="0.25">
      <c r="A9088" s="65">
        <v>9087</v>
      </c>
      <c r="B9088" s="64">
        <v>29634315.910429075</v>
      </c>
    </row>
    <row r="9089" spans="1:2" x14ac:dyDescent="0.25">
      <c r="A9089" s="65">
        <v>9088</v>
      </c>
      <c r="B9089" s="64">
        <v>29066110.458951712</v>
      </c>
    </row>
    <row r="9090" spans="1:2" x14ac:dyDescent="0.25">
      <c r="A9090" s="65">
        <v>9089</v>
      </c>
      <c r="B9090" s="64">
        <v>30175823.226271369</v>
      </c>
    </row>
    <row r="9091" spans="1:2" x14ac:dyDescent="0.25">
      <c r="A9091" s="65">
        <v>9090</v>
      </c>
      <c r="B9091" s="64">
        <v>29451300.535066243</v>
      </c>
    </row>
    <row r="9092" spans="1:2" x14ac:dyDescent="0.25">
      <c r="A9092" s="65">
        <v>9091</v>
      </c>
      <c r="B9092" s="64">
        <v>28463599.217324588</v>
      </c>
    </row>
    <row r="9093" spans="1:2" x14ac:dyDescent="0.25">
      <c r="A9093" s="65">
        <v>9092</v>
      </c>
      <c r="B9093" s="64">
        <v>29183929.895913739</v>
      </c>
    </row>
    <row r="9094" spans="1:2" x14ac:dyDescent="0.25">
      <c r="A9094" s="65">
        <v>9093</v>
      </c>
      <c r="B9094" s="64">
        <v>29105875.429745164</v>
      </c>
    </row>
    <row r="9095" spans="1:2" x14ac:dyDescent="0.25">
      <c r="A9095" s="65">
        <v>9094</v>
      </c>
      <c r="B9095" s="64">
        <v>29702161.01539842</v>
      </c>
    </row>
    <row r="9096" spans="1:2" x14ac:dyDescent="0.25">
      <c r="A9096" s="65">
        <v>9095</v>
      </c>
      <c r="B9096" s="64">
        <v>28804929.951267399</v>
      </c>
    </row>
    <row r="9097" spans="1:2" x14ac:dyDescent="0.25">
      <c r="A9097" s="65">
        <v>9096</v>
      </c>
      <c r="B9097" s="64">
        <v>28468963.64265139</v>
      </c>
    </row>
    <row r="9098" spans="1:2" x14ac:dyDescent="0.25">
      <c r="A9098" s="65">
        <v>9097</v>
      </c>
      <c r="B9098" s="64">
        <v>29431897.815709006</v>
      </c>
    </row>
    <row r="9099" spans="1:2" x14ac:dyDescent="0.25">
      <c r="A9099" s="65">
        <v>9098</v>
      </c>
      <c r="B9099" s="64">
        <v>30404775.879317258</v>
      </c>
    </row>
    <row r="9100" spans="1:2" x14ac:dyDescent="0.25">
      <c r="A9100" s="65">
        <v>9099</v>
      </c>
      <c r="B9100" s="64">
        <v>28726673.817714363</v>
      </c>
    </row>
    <row r="9101" spans="1:2" x14ac:dyDescent="0.25">
      <c r="A9101" s="65">
        <v>9100</v>
      </c>
      <c r="B9101" s="64">
        <v>28916085.439947493</v>
      </c>
    </row>
    <row r="9102" spans="1:2" x14ac:dyDescent="0.25">
      <c r="A9102" s="65">
        <v>9101</v>
      </c>
      <c r="B9102" s="64">
        <v>30804080.786292195</v>
      </c>
    </row>
    <row r="9103" spans="1:2" x14ac:dyDescent="0.25">
      <c r="A9103" s="65">
        <v>9102</v>
      </c>
      <c r="B9103" s="64">
        <v>28843917.378751963</v>
      </c>
    </row>
    <row r="9104" spans="1:2" x14ac:dyDescent="0.25">
      <c r="A9104" s="65">
        <v>9103</v>
      </c>
      <c r="B9104" s="64">
        <v>28739890.552753877</v>
      </c>
    </row>
    <row r="9105" spans="1:2" x14ac:dyDescent="0.25">
      <c r="A9105" s="65">
        <v>9104</v>
      </c>
      <c r="B9105" s="64">
        <v>28993877.333988231</v>
      </c>
    </row>
    <row r="9106" spans="1:2" x14ac:dyDescent="0.25">
      <c r="A9106" s="65">
        <v>9105</v>
      </c>
      <c r="B9106" s="64">
        <v>29188052.684509501</v>
      </c>
    </row>
    <row r="9107" spans="1:2" x14ac:dyDescent="0.25">
      <c r="A9107" s="65">
        <v>9106</v>
      </c>
      <c r="B9107" s="64">
        <v>29279210.55232707</v>
      </c>
    </row>
    <row r="9108" spans="1:2" x14ac:dyDescent="0.25">
      <c r="A9108" s="65">
        <v>9107</v>
      </c>
      <c r="B9108" s="64">
        <v>30147635.666984309</v>
      </c>
    </row>
    <row r="9109" spans="1:2" x14ac:dyDescent="0.25">
      <c r="A9109" s="65">
        <v>9108</v>
      </c>
      <c r="B9109" s="64">
        <v>28928762.893799048</v>
      </c>
    </row>
    <row r="9110" spans="1:2" x14ac:dyDescent="0.25">
      <c r="A9110" s="65">
        <v>9109</v>
      </c>
      <c r="B9110" s="64">
        <v>28900861.681973625</v>
      </c>
    </row>
    <row r="9111" spans="1:2" x14ac:dyDescent="0.25">
      <c r="A9111" s="65">
        <v>9110</v>
      </c>
      <c r="B9111" s="64">
        <v>28613284.019599948</v>
      </c>
    </row>
    <row r="9112" spans="1:2" x14ac:dyDescent="0.25">
      <c r="A9112" s="65">
        <v>9111</v>
      </c>
      <c r="B9112" s="64">
        <v>29111576.37485588</v>
      </c>
    </row>
    <row r="9113" spans="1:2" x14ac:dyDescent="0.25">
      <c r="A9113" s="65">
        <v>9112</v>
      </c>
      <c r="B9113" s="64">
        <v>28837294.468815234</v>
      </c>
    </row>
    <row r="9114" spans="1:2" x14ac:dyDescent="0.25">
      <c r="A9114" s="65">
        <v>9113</v>
      </c>
      <c r="B9114" s="64">
        <v>28769592.157362092</v>
      </c>
    </row>
    <row r="9115" spans="1:2" x14ac:dyDescent="0.25">
      <c r="A9115" s="65">
        <v>9114</v>
      </c>
      <c r="B9115" s="64">
        <v>30824229.519122645</v>
      </c>
    </row>
    <row r="9116" spans="1:2" x14ac:dyDescent="0.25">
      <c r="A9116" s="65">
        <v>9115</v>
      </c>
      <c r="B9116" s="64">
        <v>28931118.1466613</v>
      </c>
    </row>
    <row r="9117" spans="1:2" x14ac:dyDescent="0.25">
      <c r="A9117" s="65">
        <v>9116</v>
      </c>
      <c r="B9117" s="64">
        <v>29129405.37145758</v>
      </c>
    </row>
    <row r="9118" spans="1:2" x14ac:dyDescent="0.25">
      <c r="A9118" s="65">
        <v>9117</v>
      </c>
      <c r="B9118" s="64">
        <v>28752663.115556743</v>
      </c>
    </row>
    <row r="9119" spans="1:2" x14ac:dyDescent="0.25">
      <c r="A9119" s="65">
        <v>9118</v>
      </c>
      <c r="B9119" s="64">
        <v>28722719.994474567</v>
      </c>
    </row>
    <row r="9120" spans="1:2" x14ac:dyDescent="0.25">
      <c r="A9120" s="65">
        <v>9119</v>
      </c>
      <c r="B9120" s="64">
        <v>28743585.861368123</v>
      </c>
    </row>
    <row r="9121" spans="1:2" x14ac:dyDescent="0.25">
      <c r="A9121" s="65">
        <v>9120</v>
      </c>
      <c r="B9121" s="64">
        <v>29149627.438128132</v>
      </c>
    </row>
    <row r="9122" spans="1:2" x14ac:dyDescent="0.25">
      <c r="A9122" s="65">
        <v>9121</v>
      </c>
      <c r="B9122" s="64">
        <v>29325674.792370383</v>
      </c>
    </row>
    <row r="9123" spans="1:2" x14ac:dyDescent="0.25">
      <c r="A9123" s="65">
        <v>9122</v>
      </c>
      <c r="B9123" s="64">
        <v>28728638.547334529</v>
      </c>
    </row>
    <row r="9124" spans="1:2" x14ac:dyDescent="0.25">
      <c r="A9124" s="65">
        <v>9123</v>
      </c>
      <c r="B9124" s="64">
        <v>28997416.835982926</v>
      </c>
    </row>
    <row r="9125" spans="1:2" x14ac:dyDescent="0.25">
      <c r="A9125" s="65">
        <v>9124</v>
      </c>
      <c r="B9125" s="64">
        <v>28644005.045232203</v>
      </c>
    </row>
    <row r="9126" spans="1:2" x14ac:dyDescent="0.25">
      <c r="A9126" s="65">
        <v>9125</v>
      </c>
      <c r="B9126" s="64">
        <v>28930528.635952424</v>
      </c>
    </row>
    <row r="9127" spans="1:2" x14ac:dyDescent="0.25">
      <c r="A9127" s="65">
        <v>9126</v>
      </c>
      <c r="B9127" s="64">
        <v>28673990.605343498</v>
      </c>
    </row>
    <row r="9128" spans="1:2" x14ac:dyDescent="0.25">
      <c r="A9128" s="65">
        <v>9127</v>
      </c>
      <c r="B9128" s="64">
        <v>29257908.823316593</v>
      </c>
    </row>
    <row r="9129" spans="1:2" x14ac:dyDescent="0.25">
      <c r="A9129" s="65">
        <v>9128</v>
      </c>
      <c r="B9129" s="64">
        <v>28934090.196694288</v>
      </c>
    </row>
    <row r="9130" spans="1:2" x14ac:dyDescent="0.25">
      <c r="A9130" s="65">
        <v>9129</v>
      </c>
      <c r="B9130" s="64">
        <v>29148536.5106388</v>
      </c>
    </row>
    <row r="9131" spans="1:2" x14ac:dyDescent="0.25">
      <c r="A9131" s="65">
        <v>9130</v>
      </c>
      <c r="B9131" s="64">
        <v>28776849.141479399</v>
      </c>
    </row>
    <row r="9132" spans="1:2" x14ac:dyDescent="0.25">
      <c r="A9132" s="65">
        <v>9131</v>
      </c>
      <c r="B9132" s="64">
        <v>29284359.471858095</v>
      </c>
    </row>
    <row r="9133" spans="1:2" x14ac:dyDescent="0.25">
      <c r="A9133" s="65">
        <v>9132</v>
      </c>
      <c r="B9133" s="64">
        <v>28682990.684423108</v>
      </c>
    </row>
    <row r="9134" spans="1:2" x14ac:dyDescent="0.25">
      <c r="A9134" s="65">
        <v>9133</v>
      </c>
      <c r="B9134" s="64">
        <v>30173563.09445836</v>
      </c>
    </row>
    <row r="9135" spans="1:2" x14ac:dyDescent="0.25">
      <c r="A9135" s="65">
        <v>9134</v>
      </c>
      <c r="B9135" s="64">
        <v>28857569.585954007</v>
      </c>
    </row>
    <row r="9136" spans="1:2" x14ac:dyDescent="0.25">
      <c r="A9136" s="65">
        <v>9135</v>
      </c>
      <c r="B9136" s="64">
        <v>29992624.278869241</v>
      </c>
    </row>
    <row r="9137" spans="1:2" x14ac:dyDescent="0.25">
      <c r="A9137" s="65">
        <v>9136</v>
      </c>
      <c r="B9137" s="64">
        <v>28696587.191282999</v>
      </c>
    </row>
    <row r="9138" spans="1:2" x14ac:dyDescent="0.25">
      <c r="A9138" s="65">
        <v>9137</v>
      </c>
      <c r="B9138" s="64">
        <v>29968553.656951021</v>
      </c>
    </row>
    <row r="9139" spans="1:2" x14ac:dyDescent="0.25">
      <c r="A9139" s="65">
        <v>9138</v>
      </c>
      <c r="B9139" s="64">
        <v>29034636.377832491</v>
      </c>
    </row>
    <row r="9140" spans="1:2" x14ac:dyDescent="0.25">
      <c r="A9140" s="65">
        <v>9139</v>
      </c>
      <c r="B9140" s="64">
        <v>29736120.807223849</v>
      </c>
    </row>
    <row r="9141" spans="1:2" x14ac:dyDescent="0.25">
      <c r="A9141" s="65">
        <v>9140</v>
      </c>
      <c r="B9141" s="64">
        <v>29854924.344530791</v>
      </c>
    </row>
    <row r="9142" spans="1:2" x14ac:dyDescent="0.25">
      <c r="A9142" s="65">
        <v>9141</v>
      </c>
      <c r="B9142" s="64">
        <v>29556825.900254622</v>
      </c>
    </row>
    <row r="9143" spans="1:2" x14ac:dyDescent="0.25">
      <c r="A9143" s="65">
        <v>9142</v>
      </c>
      <c r="B9143" s="64">
        <v>30162209.162713327</v>
      </c>
    </row>
    <row r="9144" spans="1:2" x14ac:dyDescent="0.25">
      <c r="A9144" s="65">
        <v>9143</v>
      </c>
      <c r="B9144" s="64">
        <v>29050485.972035203</v>
      </c>
    </row>
    <row r="9145" spans="1:2" x14ac:dyDescent="0.25">
      <c r="A9145" s="65">
        <v>9144</v>
      </c>
      <c r="B9145" s="64">
        <v>29485681.629591368</v>
      </c>
    </row>
    <row r="9146" spans="1:2" x14ac:dyDescent="0.25">
      <c r="A9146" s="65">
        <v>9145</v>
      </c>
      <c r="B9146" s="64">
        <v>29987269.151506212</v>
      </c>
    </row>
    <row r="9147" spans="1:2" x14ac:dyDescent="0.25">
      <c r="A9147" s="65">
        <v>9146</v>
      </c>
      <c r="B9147" s="64">
        <v>30381198.271595381</v>
      </c>
    </row>
    <row r="9148" spans="1:2" x14ac:dyDescent="0.25">
      <c r="A9148" s="65">
        <v>9147</v>
      </c>
      <c r="B9148" s="64">
        <v>29456168.880386062</v>
      </c>
    </row>
    <row r="9149" spans="1:2" x14ac:dyDescent="0.25">
      <c r="A9149" s="65">
        <v>9148</v>
      </c>
      <c r="B9149" s="64">
        <v>29877127.595928103</v>
      </c>
    </row>
    <row r="9150" spans="1:2" x14ac:dyDescent="0.25">
      <c r="A9150" s="65">
        <v>9149</v>
      </c>
      <c r="B9150" s="64">
        <v>28920479.993922569</v>
      </c>
    </row>
    <row r="9151" spans="1:2" x14ac:dyDescent="0.25">
      <c r="A9151" s="65">
        <v>9150</v>
      </c>
      <c r="B9151" s="64">
        <v>28461449.85863081</v>
      </c>
    </row>
    <row r="9152" spans="1:2" x14ac:dyDescent="0.25">
      <c r="A9152" s="65">
        <v>9151</v>
      </c>
      <c r="B9152" s="64">
        <v>31001350.116348334</v>
      </c>
    </row>
    <row r="9153" spans="1:2" x14ac:dyDescent="0.25">
      <c r="A9153" s="65">
        <v>9152</v>
      </c>
      <c r="B9153" s="64">
        <v>29169842.008496106</v>
      </c>
    </row>
    <row r="9154" spans="1:2" x14ac:dyDescent="0.25">
      <c r="A9154" s="65">
        <v>9153</v>
      </c>
      <c r="B9154" s="64">
        <v>29037893.989535563</v>
      </c>
    </row>
    <row r="9155" spans="1:2" x14ac:dyDescent="0.25">
      <c r="A9155" s="65">
        <v>9154</v>
      </c>
      <c r="B9155" s="64">
        <v>28392057.164854273</v>
      </c>
    </row>
    <row r="9156" spans="1:2" x14ac:dyDescent="0.25">
      <c r="A9156" s="65">
        <v>9155</v>
      </c>
      <c r="B9156" s="64">
        <v>28480611.426283944</v>
      </c>
    </row>
    <row r="9157" spans="1:2" x14ac:dyDescent="0.25">
      <c r="A9157" s="65">
        <v>9156</v>
      </c>
      <c r="B9157" s="64">
        <v>29002963.7881414</v>
      </c>
    </row>
    <row r="9158" spans="1:2" x14ac:dyDescent="0.25">
      <c r="A9158" s="65">
        <v>9157</v>
      </c>
      <c r="B9158" s="64">
        <v>29185512.550772961</v>
      </c>
    </row>
    <row r="9159" spans="1:2" x14ac:dyDescent="0.25">
      <c r="A9159" s="65">
        <v>9158</v>
      </c>
      <c r="B9159" s="64">
        <v>28593323.576513115</v>
      </c>
    </row>
    <row r="9160" spans="1:2" x14ac:dyDescent="0.25">
      <c r="A9160" s="65">
        <v>9159</v>
      </c>
      <c r="B9160" s="64">
        <v>29711480.338529911</v>
      </c>
    </row>
    <row r="9161" spans="1:2" x14ac:dyDescent="0.25">
      <c r="A9161" s="65">
        <v>9160</v>
      </c>
      <c r="B9161" s="64">
        <v>30076960.340781752</v>
      </c>
    </row>
    <row r="9162" spans="1:2" x14ac:dyDescent="0.25">
      <c r="A9162" s="65">
        <v>9161</v>
      </c>
      <c r="B9162" s="64">
        <v>29017077.394906912</v>
      </c>
    </row>
    <row r="9163" spans="1:2" x14ac:dyDescent="0.25">
      <c r="A9163" s="65">
        <v>9162</v>
      </c>
      <c r="B9163" s="64">
        <v>29245680.906419177</v>
      </c>
    </row>
    <row r="9164" spans="1:2" x14ac:dyDescent="0.25">
      <c r="A9164" s="65">
        <v>9163</v>
      </c>
      <c r="B9164" s="64">
        <v>32251653.644837629</v>
      </c>
    </row>
    <row r="9165" spans="1:2" x14ac:dyDescent="0.25">
      <c r="A9165" s="65">
        <v>9164</v>
      </c>
      <c r="B9165" s="64">
        <v>28267469.222997323</v>
      </c>
    </row>
    <row r="9166" spans="1:2" x14ac:dyDescent="0.25">
      <c r="A9166" s="65">
        <v>9165</v>
      </c>
      <c r="B9166" s="64">
        <v>28823478.525630258</v>
      </c>
    </row>
    <row r="9167" spans="1:2" x14ac:dyDescent="0.25">
      <c r="A9167" s="65">
        <v>9166</v>
      </c>
      <c r="B9167" s="64">
        <v>29175226.067804843</v>
      </c>
    </row>
    <row r="9168" spans="1:2" x14ac:dyDescent="0.25">
      <c r="A9168" s="65">
        <v>9167</v>
      </c>
      <c r="B9168" s="64">
        <v>30022006.134495404</v>
      </c>
    </row>
    <row r="9169" spans="1:2" x14ac:dyDescent="0.25">
      <c r="A9169" s="65">
        <v>9168</v>
      </c>
      <c r="B9169" s="64">
        <v>28571152.592236754</v>
      </c>
    </row>
    <row r="9170" spans="1:2" x14ac:dyDescent="0.25">
      <c r="A9170" s="65">
        <v>9169</v>
      </c>
      <c r="B9170" s="64">
        <v>29314234.256087359</v>
      </c>
    </row>
    <row r="9171" spans="1:2" x14ac:dyDescent="0.25">
      <c r="A9171" s="65">
        <v>9170</v>
      </c>
      <c r="B9171" s="64">
        <v>29944966.745752189</v>
      </c>
    </row>
    <row r="9172" spans="1:2" x14ac:dyDescent="0.25">
      <c r="A9172" s="65">
        <v>9171</v>
      </c>
      <c r="B9172" s="64">
        <v>29453693.378437132</v>
      </c>
    </row>
    <row r="9173" spans="1:2" x14ac:dyDescent="0.25">
      <c r="A9173" s="65">
        <v>9172</v>
      </c>
      <c r="B9173" s="64">
        <v>28872934.363824643</v>
      </c>
    </row>
    <row r="9174" spans="1:2" x14ac:dyDescent="0.25">
      <c r="A9174" s="65">
        <v>9173</v>
      </c>
      <c r="B9174" s="64">
        <v>29284565.181245379</v>
      </c>
    </row>
    <row r="9175" spans="1:2" x14ac:dyDescent="0.25">
      <c r="A9175" s="65">
        <v>9174</v>
      </c>
      <c r="B9175" s="64">
        <v>28929822.187216029</v>
      </c>
    </row>
    <row r="9176" spans="1:2" x14ac:dyDescent="0.25">
      <c r="A9176" s="65">
        <v>9175</v>
      </c>
      <c r="B9176" s="64">
        <v>30290869.859587077</v>
      </c>
    </row>
    <row r="9177" spans="1:2" x14ac:dyDescent="0.25">
      <c r="A9177" s="65">
        <v>9176</v>
      </c>
      <c r="B9177" s="64">
        <v>29429699.031628378</v>
      </c>
    </row>
    <row r="9178" spans="1:2" x14ac:dyDescent="0.25">
      <c r="A9178" s="65">
        <v>9177</v>
      </c>
      <c r="B9178" s="64">
        <v>29013097.971010264</v>
      </c>
    </row>
    <row r="9179" spans="1:2" x14ac:dyDescent="0.25">
      <c r="A9179" s="65">
        <v>9178</v>
      </c>
      <c r="B9179" s="64">
        <v>28741090.101094607</v>
      </c>
    </row>
    <row r="9180" spans="1:2" x14ac:dyDescent="0.25">
      <c r="A9180" s="65">
        <v>9179</v>
      </c>
      <c r="B9180" s="64">
        <v>28996466.819938533</v>
      </c>
    </row>
    <row r="9181" spans="1:2" x14ac:dyDescent="0.25">
      <c r="A9181" s="65">
        <v>9180</v>
      </c>
      <c r="B9181" s="64">
        <v>29174159.722229313</v>
      </c>
    </row>
    <row r="9182" spans="1:2" x14ac:dyDescent="0.25">
      <c r="A9182" s="65">
        <v>9181</v>
      </c>
      <c r="B9182" s="64">
        <v>28569481.047313526</v>
      </c>
    </row>
    <row r="9183" spans="1:2" x14ac:dyDescent="0.25">
      <c r="A9183" s="65">
        <v>9182</v>
      </c>
      <c r="B9183" s="64">
        <v>29055053.248706207</v>
      </c>
    </row>
    <row r="9184" spans="1:2" x14ac:dyDescent="0.25">
      <c r="A9184" s="65">
        <v>9183</v>
      </c>
      <c r="B9184" s="64">
        <v>29082948.866069149</v>
      </c>
    </row>
    <row r="9185" spans="1:2" x14ac:dyDescent="0.25">
      <c r="A9185" s="65">
        <v>9184</v>
      </c>
      <c r="B9185" s="64">
        <v>28896139.924895808</v>
      </c>
    </row>
    <row r="9186" spans="1:2" x14ac:dyDescent="0.25">
      <c r="A9186" s="65">
        <v>9185</v>
      </c>
      <c r="B9186" s="64">
        <v>28551157.142087933</v>
      </c>
    </row>
    <row r="9187" spans="1:2" x14ac:dyDescent="0.25">
      <c r="A9187" s="65">
        <v>9186</v>
      </c>
      <c r="B9187" s="64">
        <v>29754280.648641929</v>
      </c>
    </row>
    <row r="9188" spans="1:2" x14ac:dyDescent="0.25">
      <c r="A9188" s="65">
        <v>9187</v>
      </c>
      <c r="B9188" s="64">
        <v>31767216.065803584</v>
      </c>
    </row>
    <row r="9189" spans="1:2" x14ac:dyDescent="0.25">
      <c r="A9189" s="65">
        <v>9188</v>
      </c>
      <c r="B9189" s="64">
        <v>29656945.62864136</v>
      </c>
    </row>
    <row r="9190" spans="1:2" x14ac:dyDescent="0.25">
      <c r="A9190" s="65">
        <v>9189</v>
      </c>
      <c r="B9190" s="64">
        <v>30280846.606938981</v>
      </c>
    </row>
    <row r="9191" spans="1:2" x14ac:dyDescent="0.25">
      <c r="A9191" s="65">
        <v>9190</v>
      </c>
      <c r="B9191" s="64">
        <v>29983837.562897786</v>
      </c>
    </row>
    <row r="9192" spans="1:2" x14ac:dyDescent="0.25">
      <c r="A9192" s="65">
        <v>9191</v>
      </c>
      <c r="B9192" s="64">
        <v>28697985.115107656</v>
      </c>
    </row>
    <row r="9193" spans="1:2" x14ac:dyDescent="0.25">
      <c r="A9193" s="65">
        <v>9192</v>
      </c>
      <c r="B9193" s="64">
        <v>29358663.272577498</v>
      </c>
    </row>
    <row r="9194" spans="1:2" x14ac:dyDescent="0.25">
      <c r="A9194" s="65">
        <v>9193</v>
      </c>
      <c r="B9194" s="64">
        <v>29791857.321343523</v>
      </c>
    </row>
    <row r="9195" spans="1:2" x14ac:dyDescent="0.25">
      <c r="A9195" s="65">
        <v>9194</v>
      </c>
      <c r="B9195" s="64">
        <v>29546821.686700173</v>
      </c>
    </row>
    <row r="9196" spans="1:2" x14ac:dyDescent="0.25">
      <c r="A9196" s="65">
        <v>9195</v>
      </c>
      <c r="B9196" s="64">
        <v>29423502.653228648</v>
      </c>
    </row>
    <row r="9197" spans="1:2" x14ac:dyDescent="0.25">
      <c r="A9197" s="65">
        <v>9196</v>
      </c>
      <c r="B9197" s="64">
        <v>29024411.555783059</v>
      </c>
    </row>
    <row r="9198" spans="1:2" x14ac:dyDescent="0.25">
      <c r="A9198" s="65">
        <v>9197</v>
      </c>
      <c r="B9198" s="64">
        <v>28780273.460333548</v>
      </c>
    </row>
    <row r="9199" spans="1:2" x14ac:dyDescent="0.25">
      <c r="A9199" s="65">
        <v>9198</v>
      </c>
      <c r="B9199" s="64">
        <v>29099638.198089097</v>
      </c>
    </row>
    <row r="9200" spans="1:2" x14ac:dyDescent="0.25">
      <c r="A9200" s="65">
        <v>9199</v>
      </c>
      <c r="B9200" s="64">
        <v>29058659.772324953</v>
      </c>
    </row>
    <row r="9201" spans="1:2" x14ac:dyDescent="0.25">
      <c r="A9201" s="65">
        <v>9200</v>
      </c>
      <c r="B9201" s="64">
        <v>29888221.459427085</v>
      </c>
    </row>
    <row r="9202" spans="1:2" x14ac:dyDescent="0.25">
      <c r="A9202" s="65">
        <v>9201</v>
      </c>
      <c r="B9202" s="64">
        <v>30156007.173438694</v>
      </c>
    </row>
    <row r="9203" spans="1:2" x14ac:dyDescent="0.25">
      <c r="A9203" s="65">
        <v>9202</v>
      </c>
      <c r="B9203" s="64">
        <v>29012572.569054473</v>
      </c>
    </row>
    <row r="9204" spans="1:2" x14ac:dyDescent="0.25">
      <c r="A9204" s="65">
        <v>9203</v>
      </c>
      <c r="B9204" s="64">
        <v>28641008.465677489</v>
      </c>
    </row>
    <row r="9205" spans="1:2" x14ac:dyDescent="0.25">
      <c r="A9205" s="65">
        <v>9204</v>
      </c>
      <c r="B9205" s="64">
        <v>29769766.440770108</v>
      </c>
    </row>
    <row r="9206" spans="1:2" x14ac:dyDescent="0.25">
      <c r="A9206" s="65">
        <v>9205</v>
      </c>
      <c r="B9206" s="64">
        <v>28852563.842388943</v>
      </c>
    </row>
    <row r="9207" spans="1:2" x14ac:dyDescent="0.25">
      <c r="A9207" s="65">
        <v>9206</v>
      </c>
      <c r="B9207" s="64">
        <v>28619900.867379382</v>
      </c>
    </row>
    <row r="9208" spans="1:2" x14ac:dyDescent="0.25">
      <c r="A9208" s="65">
        <v>9207</v>
      </c>
      <c r="B9208" s="64">
        <v>29310797.308095295</v>
      </c>
    </row>
    <row r="9209" spans="1:2" x14ac:dyDescent="0.25">
      <c r="A9209" s="65">
        <v>9208</v>
      </c>
      <c r="B9209" s="64">
        <v>28839363.901296288</v>
      </c>
    </row>
    <row r="9210" spans="1:2" x14ac:dyDescent="0.25">
      <c r="A9210" s="65">
        <v>9209</v>
      </c>
      <c r="B9210" s="64">
        <v>29736956.620725647</v>
      </c>
    </row>
    <row r="9211" spans="1:2" x14ac:dyDescent="0.25">
      <c r="A9211" s="65">
        <v>9210</v>
      </c>
      <c r="B9211" s="64">
        <v>28889022.500276826</v>
      </c>
    </row>
    <row r="9212" spans="1:2" x14ac:dyDescent="0.25">
      <c r="A9212" s="65">
        <v>9211</v>
      </c>
      <c r="B9212" s="64">
        <v>28916200.869568136</v>
      </c>
    </row>
    <row r="9213" spans="1:2" x14ac:dyDescent="0.25">
      <c r="A9213" s="65">
        <v>9212</v>
      </c>
      <c r="B9213" s="64">
        <v>29375017.569556907</v>
      </c>
    </row>
    <row r="9214" spans="1:2" x14ac:dyDescent="0.25">
      <c r="A9214" s="65">
        <v>9213</v>
      </c>
      <c r="B9214" s="64">
        <v>29529644.153029662</v>
      </c>
    </row>
    <row r="9215" spans="1:2" x14ac:dyDescent="0.25">
      <c r="A9215" s="65">
        <v>9214</v>
      </c>
      <c r="B9215" s="64">
        <v>29041062.608302344</v>
      </c>
    </row>
    <row r="9216" spans="1:2" x14ac:dyDescent="0.25">
      <c r="A9216" s="65">
        <v>9215</v>
      </c>
      <c r="B9216" s="64">
        <v>29915927.854600765</v>
      </c>
    </row>
    <row r="9217" spans="1:2" x14ac:dyDescent="0.25">
      <c r="A9217" s="65">
        <v>9216</v>
      </c>
      <c r="B9217" s="64">
        <v>29530160.826890733</v>
      </c>
    </row>
    <row r="9218" spans="1:2" x14ac:dyDescent="0.25">
      <c r="A9218" s="65">
        <v>9217</v>
      </c>
      <c r="B9218" s="64">
        <v>28853985.757314224</v>
      </c>
    </row>
    <row r="9219" spans="1:2" x14ac:dyDescent="0.25">
      <c r="A9219" s="65">
        <v>9218</v>
      </c>
      <c r="B9219" s="64">
        <v>28827438.754977904</v>
      </c>
    </row>
    <row r="9220" spans="1:2" x14ac:dyDescent="0.25">
      <c r="A9220" s="65">
        <v>9219</v>
      </c>
      <c r="B9220" s="64">
        <v>28854372.193898074</v>
      </c>
    </row>
    <row r="9221" spans="1:2" x14ac:dyDescent="0.25">
      <c r="A9221" s="65">
        <v>9220</v>
      </c>
      <c r="B9221" s="64">
        <v>28477101.651344847</v>
      </c>
    </row>
    <row r="9222" spans="1:2" x14ac:dyDescent="0.25">
      <c r="A9222" s="65">
        <v>9221</v>
      </c>
      <c r="B9222" s="64">
        <v>28457344.275236282</v>
      </c>
    </row>
    <row r="9223" spans="1:2" x14ac:dyDescent="0.25">
      <c r="A9223" s="65">
        <v>9222</v>
      </c>
      <c r="B9223" s="64">
        <v>30056828.196349446</v>
      </c>
    </row>
    <row r="9224" spans="1:2" x14ac:dyDescent="0.25">
      <c r="A9224" s="65">
        <v>9223</v>
      </c>
      <c r="B9224" s="64">
        <v>28519511.871802952</v>
      </c>
    </row>
    <row r="9225" spans="1:2" x14ac:dyDescent="0.25">
      <c r="A9225" s="65">
        <v>9224</v>
      </c>
      <c r="B9225" s="64">
        <v>29236646.941240195</v>
      </c>
    </row>
    <row r="9226" spans="1:2" x14ac:dyDescent="0.25">
      <c r="A9226" s="65">
        <v>9225</v>
      </c>
      <c r="B9226" s="64">
        <v>29429005.118931092</v>
      </c>
    </row>
    <row r="9227" spans="1:2" x14ac:dyDescent="0.25">
      <c r="A9227" s="65">
        <v>9226</v>
      </c>
      <c r="B9227" s="64">
        <v>28636904.443064842</v>
      </c>
    </row>
    <row r="9228" spans="1:2" x14ac:dyDescent="0.25">
      <c r="A9228" s="65">
        <v>9227</v>
      </c>
      <c r="B9228" s="64">
        <v>29366628.457871001</v>
      </c>
    </row>
    <row r="9229" spans="1:2" x14ac:dyDescent="0.25">
      <c r="A9229" s="65">
        <v>9228</v>
      </c>
      <c r="B9229" s="64">
        <v>28949171.795227274</v>
      </c>
    </row>
    <row r="9230" spans="1:2" x14ac:dyDescent="0.25">
      <c r="A9230" s="65">
        <v>9229</v>
      </c>
      <c r="B9230" s="64">
        <v>28475646.353566121</v>
      </c>
    </row>
    <row r="9231" spans="1:2" x14ac:dyDescent="0.25">
      <c r="A9231" s="65">
        <v>9230</v>
      </c>
      <c r="B9231" s="64">
        <v>30173187.549954727</v>
      </c>
    </row>
    <row r="9232" spans="1:2" x14ac:dyDescent="0.25">
      <c r="A9232" s="65">
        <v>9231</v>
      </c>
      <c r="B9232" s="64">
        <v>28515414.980191085</v>
      </c>
    </row>
    <row r="9233" spans="1:2" x14ac:dyDescent="0.25">
      <c r="A9233" s="65">
        <v>9232</v>
      </c>
      <c r="B9233" s="64">
        <v>28712811.276532035</v>
      </c>
    </row>
    <row r="9234" spans="1:2" x14ac:dyDescent="0.25">
      <c r="A9234" s="65">
        <v>9233</v>
      </c>
      <c r="B9234" s="64">
        <v>29293548.833486553</v>
      </c>
    </row>
    <row r="9235" spans="1:2" x14ac:dyDescent="0.25">
      <c r="A9235" s="65">
        <v>9234</v>
      </c>
      <c r="B9235" s="64">
        <v>28776744.066867944</v>
      </c>
    </row>
    <row r="9236" spans="1:2" x14ac:dyDescent="0.25">
      <c r="A9236" s="65">
        <v>9235</v>
      </c>
      <c r="B9236" s="64">
        <v>29053940.653696761</v>
      </c>
    </row>
    <row r="9237" spans="1:2" x14ac:dyDescent="0.25">
      <c r="A9237" s="65">
        <v>9236</v>
      </c>
      <c r="B9237" s="64">
        <v>28607907.440254945</v>
      </c>
    </row>
    <row r="9238" spans="1:2" x14ac:dyDescent="0.25">
      <c r="A9238" s="65">
        <v>9237</v>
      </c>
      <c r="B9238" s="64">
        <v>28635902.302837249</v>
      </c>
    </row>
    <row r="9239" spans="1:2" x14ac:dyDescent="0.25">
      <c r="A9239" s="65">
        <v>9238</v>
      </c>
      <c r="B9239" s="64">
        <v>28797909.431530226</v>
      </c>
    </row>
    <row r="9240" spans="1:2" x14ac:dyDescent="0.25">
      <c r="A9240" s="65">
        <v>9239</v>
      </c>
      <c r="B9240" s="64">
        <v>28858837.031166967</v>
      </c>
    </row>
    <row r="9241" spans="1:2" x14ac:dyDescent="0.25">
      <c r="A9241" s="65">
        <v>9240</v>
      </c>
      <c r="B9241" s="64">
        <v>29328146.098825738</v>
      </c>
    </row>
    <row r="9242" spans="1:2" x14ac:dyDescent="0.25">
      <c r="A9242" s="65">
        <v>9241</v>
      </c>
      <c r="B9242" s="64">
        <v>30294127.991603844</v>
      </c>
    </row>
    <row r="9243" spans="1:2" x14ac:dyDescent="0.25">
      <c r="A9243" s="65">
        <v>9242</v>
      </c>
      <c r="B9243" s="64">
        <v>29044183.526888784</v>
      </c>
    </row>
    <row r="9244" spans="1:2" x14ac:dyDescent="0.25">
      <c r="A9244" s="65">
        <v>9243</v>
      </c>
      <c r="B9244" s="64">
        <v>29636986.556756318</v>
      </c>
    </row>
    <row r="9245" spans="1:2" x14ac:dyDescent="0.25">
      <c r="A9245" s="65">
        <v>9244</v>
      </c>
      <c r="B9245" s="64">
        <v>28839297.763022758</v>
      </c>
    </row>
    <row r="9246" spans="1:2" x14ac:dyDescent="0.25">
      <c r="A9246" s="65">
        <v>9245</v>
      </c>
      <c r="B9246" s="64">
        <v>28964238.114254229</v>
      </c>
    </row>
    <row r="9247" spans="1:2" x14ac:dyDescent="0.25">
      <c r="A9247" s="65">
        <v>9246</v>
      </c>
      <c r="B9247" s="64">
        <v>28759696.590338223</v>
      </c>
    </row>
    <row r="9248" spans="1:2" x14ac:dyDescent="0.25">
      <c r="A9248" s="65">
        <v>9247</v>
      </c>
      <c r="B9248" s="64">
        <v>29992285.351359013</v>
      </c>
    </row>
    <row r="9249" spans="1:2" x14ac:dyDescent="0.25">
      <c r="A9249" s="65">
        <v>9248</v>
      </c>
      <c r="B9249" s="64">
        <v>29456633.833439324</v>
      </c>
    </row>
    <row r="9250" spans="1:2" x14ac:dyDescent="0.25">
      <c r="A9250" s="65">
        <v>9249</v>
      </c>
      <c r="B9250" s="64">
        <v>28511510.754052248</v>
      </c>
    </row>
    <row r="9251" spans="1:2" x14ac:dyDescent="0.25">
      <c r="A9251" s="65">
        <v>9250</v>
      </c>
      <c r="B9251" s="64">
        <v>28524556.492661122</v>
      </c>
    </row>
    <row r="9252" spans="1:2" x14ac:dyDescent="0.25">
      <c r="A9252" s="65">
        <v>9251</v>
      </c>
      <c r="B9252" s="64">
        <v>29136576.451835487</v>
      </c>
    </row>
    <row r="9253" spans="1:2" x14ac:dyDescent="0.25">
      <c r="A9253" s="65">
        <v>9252</v>
      </c>
      <c r="B9253" s="64">
        <v>28812863.208497509</v>
      </c>
    </row>
    <row r="9254" spans="1:2" x14ac:dyDescent="0.25">
      <c r="A9254" s="65">
        <v>9253</v>
      </c>
      <c r="B9254" s="64">
        <v>28580417.296663705</v>
      </c>
    </row>
    <row r="9255" spans="1:2" x14ac:dyDescent="0.25">
      <c r="A9255" s="65">
        <v>9254</v>
      </c>
      <c r="B9255" s="64">
        <v>33168580.74516223</v>
      </c>
    </row>
    <row r="9256" spans="1:2" x14ac:dyDescent="0.25">
      <c r="A9256" s="65">
        <v>9255</v>
      </c>
      <c r="B9256" s="64">
        <v>29669788.684025202</v>
      </c>
    </row>
    <row r="9257" spans="1:2" x14ac:dyDescent="0.25">
      <c r="A9257" s="65">
        <v>9256</v>
      </c>
      <c r="B9257" s="64">
        <v>28762803.211432256</v>
      </c>
    </row>
    <row r="9258" spans="1:2" x14ac:dyDescent="0.25">
      <c r="A9258" s="65">
        <v>9257</v>
      </c>
      <c r="B9258" s="64">
        <v>28588234.288222168</v>
      </c>
    </row>
    <row r="9259" spans="1:2" x14ac:dyDescent="0.25">
      <c r="A9259" s="65">
        <v>9258</v>
      </c>
      <c r="B9259" s="64">
        <v>28932943.664212778</v>
      </c>
    </row>
    <row r="9260" spans="1:2" x14ac:dyDescent="0.25">
      <c r="A9260" s="65">
        <v>9259</v>
      </c>
      <c r="B9260" s="64">
        <v>29004783.381754749</v>
      </c>
    </row>
    <row r="9261" spans="1:2" x14ac:dyDescent="0.25">
      <c r="A9261" s="65">
        <v>9260</v>
      </c>
      <c r="B9261" s="64">
        <v>28815027.288850307</v>
      </c>
    </row>
    <row r="9262" spans="1:2" x14ac:dyDescent="0.25">
      <c r="A9262" s="65">
        <v>9261</v>
      </c>
      <c r="B9262" s="64">
        <v>28851079.553733926</v>
      </c>
    </row>
    <row r="9263" spans="1:2" x14ac:dyDescent="0.25">
      <c r="A9263" s="65">
        <v>9262</v>
      </c>
      <c r="B9263" s="64">
        <v>29089476.211741053</v>
      </c>
    </row>
    <row r="9264" spans="1:2" x14ac:dyDescent="0.25">
      <c r="A9264" s="65">
        <v>9263</v>
      </c>
      <c r="B9264" s="64">
        <v>29308666.838660933</v>
      </c>
    </row>
    <row r="9265" spans="1:2" x14ac:dyDescent="0.25">
      <c r="A9265" s="65">
        <v>9264</v>
      </c>
      <c r="B9265" s="64">
        <v>28641731.078935701</v>
      </c>
    </row>
    <row r="9266" spans="1:2" x14ac:dyDescent="0.25">
      <c r="A9266" s="65">
        <v>9265</v>
      </c>
      <c r="B9266" s="64">
        <v>29116152.628673803</v>
      </c>
    </row>
    <row r="9267" spans="1:2" x14ac:dyDescent="0.25">
      <c r="A9267" s="65">
        <v>9266</v>
      </c>
      <c r="B9267" s="64">
        <v>28411981.906668387</v>
      </c>
    </row>
    <row r="9268" spans="1:2" x14ac:dyDescent="0.25">
      <c r="A9268" s="65">
        <v>9267</v>
      </c>
      <c r="B9268" s="64">
        <v>28469334.887746148</v>
      </c>
    </row>
    <row r="9269" spans="1:2" x14ac:dyDescent="0.25">
      <c r="A9269" s="65">
        <v>9268</v>
      </c>
      <c r="B9269" s="64">
        <v>28618627.7920193</v>
      </c>
    </row>
    <row r="9270" spans="1:2" x14ac:dyDescent="0.25">
      <c r="A9270" s="65">
        <v>9269</v>
      </c>
      <c r="B9270" s="64">
        <v>29617253.477060761</v>
      </c>
    </row>
    <row r="9271" spans="1:2" x14ac:dyDescent="0.25">
      <c r="A9271" s="65">
        <v>9270</v>
      </c>
      <c r="B9271" s="64">
        <v>28979757.242383786</v>
      </c>
    </row>
    <row r="9272" spans="1:2" x14ac:dyDescent="0.25">
      <c r="A9272" s="65">
        <v>9271</v>
      </c>
      <c r="B9272" s="64">
        <v>29058909.992317531</v>
      </c>
    </row>
    <row r="9273" spans="1:2" x14ac:dyDescent="0.25">
      <c r="A9273" s="65">
        <v>9272</v>
      </c>
      <c r="B9273" s="64">
        <v>28617764.404340073</v>
      </c>
    </row>
    <row r="9274" spans="1:2" x14ac:dyDescent="0.25">
      <c r="A9274" s="65">
        <v>9273</v>
      </c>
      <c r="B9274" s="64">
        <v>28683670.760944318</v>
      </c>
    </row>
    <row r="9275" spans="1:2" x14ac:dyDescent="0.25">
      <c r="A9275" s="65">
        <v>9274</v>
      </c>
      <c r="B9275" s="64">
        <v>29709211.695375439</v>
      </c>
    </row>
    <row r="9276" spans="1:2" x14ac:dyDescent="0.25">
      <c r="A9276" s="65">
        <v>9275</v>
      </c>
      <c r="B9276" s="64">
        <v>29279930.341886528</v>
      </c>
    </row>
    <row r="9277" spans="1:2" x14ac:dyDescent="0.25">
      <c r="A9277" s="65">
        <v>9276</v>
      </c>
      <c r="B9277" s="64">
        <v>29423562.007796906</v>
      </c>
    </row>
    <row r="9278" spans="1:2" x14ac:dyDescent="0.25">
      <c r="A9278" s="65">
        <v>9277</v>
      </c>
      <c r="B9278" s="64">
        <v>28750439.620952617</v>
      </c>
    </row>
    <row r="9279" spans="1:2" x14ac:dyDescent="0.25">
      <c r="A9279" s="65">
        <v>9278</v>
      </c>
      <c r="B9279" s="64">
        <v>28503533.381717023</v>
      </c>
    </row>
    <row r="9280" spans="1:2" x14ac:dyDescent="0.25">
      <c r="A9280" s="65">
        <v>9279</v>
      </c>
      <c r="B9280" s="64">
        <v>29360556.096019968</v>
      </c>
    </row>
    <row r="9281" spans="1:2" x14ac:dyDescent="0.25">
      <c r="A9281" s="65">
        <v>9280</v>
      </c>
      <c r="B9281" s="64">
        <v>30085752.930813368</v>
      </c>
    </row>
    <row r="9282" spans="1:2" x14ac:dyDescent="0.25">
      <c r="A9282" s="65">
        <v>9281</v>
      </c>
      <c r="B9282" s="64">
        <v>28963521.933965664</v>
      </c>
    </row>
    <row r="9283" spans="1:2" x14ac:dyDescent="0.25">
      <c r="A9283" s="65">
        <v>9282</v>
      </c>
      <c r="B9283" s="64">
        <v>29543679.12196064</v>
      </c>
    </row>
    <row r="9284" spans="1:2" x14ac:dyDescent="0.25">
      <c r="A9284" s="65">
        <v>9283</v>
      </c>
      <c r="B9284" s="64">
        <v>29100060.543244474</v>
      </c>
    </row>
    <row r="9285" spans="1:2" x14ac:dyDescent="0.25">
      <c r="A9285" s="65">
        <v>9284</v>
      </c>
      <c r="B9285" s="64">
        <v>29509158.103301056</v>
      </c>
    </row>
    <row r="9286" spans="1:2" x14ac:dyDescent="0.25">
      <c r="A9286" s="65">
        <v>9285</v>
      </c>
      <c r="B9286" s="64">
        <v>29830823.830846146</v>
      </c>
    </row>
    <row r="9287" spans="1:2" x14ac:dyDescent="0.25">
      <c r="A9287" s="65">
        <v>9286</v>
      </c>
      <c r="B9287" s="64">
        <v>28920276.011577893</v>
      </c>
    </row>
    <row r="9288" spans="1:2" x14ac:dyDescent="0.25">
      <c r="A9288" s="65">
        <v>9287</v>
      </c>
      <c r="B9288" s="64">
        <v>29994948.035764612</v>
      </c>
    </row>
    <row r="9289" spans="1:2" x14ac:dyDescent="0.25">
      <c r="A9289" s="65">
        <v>9288</v>
      </c>
      <c r="B9289" s="64">
        <v>29001076.362183806</v>
      </c>
    </row>
    <row r="9290" spans="1:2" x14ac:dyDescent="0.25">
      <c r="A9290" s="65">
        <v>9289</v>
      </c>
      <c r="B9290" s="64">
        <v>28861795.84238822</v>
      </c>
    </row>
    <row r="9291" spans="1:2" x14ac:dyDescent="0.25">
      <c r="A9291" s="65">
        <v>9290</v>
      </c>
      <c r="B9291" s="64">
        <v>28710833.800262701</v>
      </c>
    </row>
    <row r="9292" spans="1:2" x14ac:dyDescent="0.25">
      <c r="A9292" s="65">
        <v>9291</v>
      </c>
      <c r="B9292" s="64">
        <v>29231458.660376899</v>
      </c>
    </row>
    <row r="9293" spans="1:2" x14ac:dyDescent="0.25">
      <c r="A9293" s="65">
        <v>9292</v>
      </c>
      <c r="B9293" s="64">
        <v>29007329.985439602</v>
      </c>
    </row>
    <row r="9294" spans="1:2" x14ac:dyDescent="0.25">
      <c r="A9294" s="65">
        <v>9293</v>
      </c>
      <c r="B9294" s="64">
        <v>28739748.862130992</v>
      </c>
    </row>
    <row r="9295" spans="1:2" x14ac:dyDescent="0.25">
      <c r="A9295" s="65">
        <v>9294</v>
      </c>
      <c r="B9295" s="64">
        <v>32779885.048869003</v>
      </c>
    </row>
    <row r="9296" spans="1:2" x14ac:dyDescent="0.25">
      <c r="A9296" s="65">
        <v>9295</v>
      </c>
      <c r="B9296" s="64">
        <v>29046689.421215169</v>
      </c>
    </row>
    <row r="9297" spans="1:2" x14ac:dyDescent="0.25">
      <c r="A9297" s="65">
        <v>9296</v>
      </c>
      <c r="B9297" s="64">
        <v>28957991.746826909</v>
      </c>
    </row>
    <row r="9298" spans="1:2" x14ac:dyDescent="0.25">
      <c r="A9298" s="65">
        <v>9297</v>
      </c>
      <c r="B9298" s="64">
        <v>31288389.11029277</v>
      </c>
    </row>
    <row r="9299" spans="1:2" x14ac:dyDescent="0.25">
      <c r="A9299" s="65">
        <v>9298</v>
      </c>
      <c r="B9299" s="64">
        <v>28663766.719369143</v>
      </c>
    </row>
    <row r="9300" spans="1:2" x14ac:dyDescent="0.25">
      <c r="A9300" s="65">
        <v>9299</v>
      </c>
      <c r="B9300" s="64">
        <v>29108783.892904751</v>
      </c>
    </row>
    <row r="9301" spans="1:2" x14ac:dyDescent="0.25">
      <c r="A9301" s="65">
        <v>9300</v>
      </c>
      <c r="B9301" s="64">
        <v>28785328.366415653</v>
      </c>
    </row>
    <row r="9302" spans="1:2" x14ac:dyDescent="0.25">
      <c r="A9302" s="65">
        <v>9301</v>
      </c>
      <c r="B9302" s="64">
        <v>29484168.767842259</v>
      </c>
    </row>
    <row r="9303" spans="1:2" x14ac:dyDescent="0.25">
      <c r="A9303" s="65">
        <v>9302</v>
      </c>
      <c r="B9303" s="64">
        <v>28905888.491775386</v>
      </c>
    </row>
    <row r="9304" spans="1:2" x14ac:dyDescent="0.25">
      <c r="A9304" s="65">
        <v>9303</v>
      </c>
      <c r="B9304" s="64">
        <v>29519848.323769681</v>
      </c>
    </row>
    <row r="9305" spans="1:2" x14ac:dyDescent="0.25">
      <c r="A9305" s="65">
        <v>9304</v>
      </c>
      <c r="B9305" s="64">
        <v>33038432.681605756</v>
      </c>
    </row>
    <row r="9306" spans="1:2" x14ac:dyDescent="0.25">
      <c r="A9306" s="65">
        <v>9305</v>
      </c>
      <c r="B9306" s="64">
        <v>28668965.018926647</v>
      </c>
    </row>
    <row r="9307" spans="1:2" x14ac:dyDescent="0.25">
      <c r="A9307" s="65">
        <v>9306</v>
      </c>
      <c r="B9307" s="64">
        <v>29010048.598118197</v>
      </c>
    </row>
    <row r="9308" spans="1:2" x14ac:dyDescent="0.25">
      <c r="A9308" s="65">
        <v>9307</v>
      </c>
      <c r="B9308" s="64">
        <v>28733692.613801464</v>
      </c>
    </row>
    <row r="9309" spans="1:2" x14ac:dyDescent="0.25">
      <c r="A9309" s="65">
        <v>9308</v>
      </c>
      <c r="B9309" s="64">
        <v>28949329.087711211</v>
      </c>
    </row>
    <row r="9310" spans="1:2" x14ac:dyDescent="0.25">
      <c r="A9310" s="65">
        <v>9309</v>
      </c>
      <c r="B9310" s="64">
        <v>28923757.940409817</v>
      </c>
    </row>
    <row r="9311" spans="1:2" x14ac:dyDescent="0.25">
      <c r="A9311" s="65">
        <v>9310</v>
      </c>
      <c r="B9311" s="64">
        <v>32419645.489628833</v>
      </c>
    </row>
    <row r="9312" spans="1:2" x14ac:dyDescent="0.25">
      <c r="A9312" s="65">
        <v>9311</v>
      </c>
      <c r="B9312" s="64">
        <v>29046123.761622615</v>
      </c>
    </row>
    <row r="9313" spans="1:2" x14ac:dyDescent="0.25">
      <c r="A9313" s="65">
        <v>9312</v>
      </c>
      <c r="B9313" s="64">
        <v>29652432.843304999</v>
      </c>
    </row>
    <row r="9314" spans="1:2" x14ac:dyDescent="0.25">
      <c r="A9314" s="65">
        <v>9313</v>
      </c>
      <c r="B9314" s="64">
        <v>28944715.387904644</v>
      </c>
    </row>
    <row r="9315" spans="1:2" x14ac:dyDescent="0.25">
      <c r="A9315" s="65">
        <v>9314</v>
      </c>
      <c r="B9315" s="64">
        <v>29368680.569069136</v>
      </c>
    </row>
    <row r="9316" spans="1:2" x14ac:dyDescent="0.25">
      <c r="A9316" s="65">
        <v>9315</v>
      </c>
      <c r="B9316" s="64">
        <v>28956739.495251782</v>
      </c>
    </row>
    <row r="9317" spans="1:2" x14ac:dyDescent="0.25">
      <c r="A9317" s="65">
        <v>9316</v>
      </c>
      <c r="B9317" s="64">
        <v>29229784.64052771</v>
      </c>
    </row>
    <row r="9318" spans="1:2" x14ac:dyDescent="0.25">
      <c r="A9318" s="65">
        <v>9317</v>
      </c>
      <c r="B9318" s="64">
        <v>29197005.268857203</v>
      </c>
    </row>
    <row r="9319" spans="1:2" x14ac:dyDescent="0.25">
      <c r="A9319" s="65">
        <v>9318</v>
      </c>
      <c r="B9319" s="64">
        <v>29622145.135478336</v>
      </c>
    </row>
    <row r="9320" spans="1:2" x14ac:dyDescent="0.25">
      <c r="A9320" s="65">
        <v>9319</v>
      </c>
      <c r="B9320" s="64">
        <v>29522916.869702619</v>
      </c>
    </row>
    <row r="9321" spans="1:2" x14ac:dyDescent="0.25">
      <c r="A9321" s="65">
        <v>9320</v>
      </c>
      <c r="B9321" s="64">
        <v>29363789.181884956</v>
      </c>
    </row>
    <row r="9322" spans="1:2" x14ac:dyDescent="0.25">
      <c r="A9322" s="65">
        <v>9321</v>
      </c>
      <c r="B9322" s="64">
        <v>28867600.081435043</v>
      </c>
    </row>
    <row r="9323" spans="1:2" x14ac:dyDescent="0.25">
      <c r="A9323" s="65">
        <v>9322</v>
      </c>
      <c r="B9323" s="64">
        <v>28752911.721115284</v>
      </c>
    </row>
    <row r="9324" spans="1:2" x14ac:dyDescent="0.25">
      <c r="A9324" s="65">
        <v>9323</v>
      </c>
      <c r="B9324" s="64">
        <v>29855962.667838756</v>
      </c>
    </row>
    <row r="9325" spans="1:2" x14ac:dyDescent="0.25">
      <c r="A9325" s="65">
        <v>9324</v>
      </c>
      <c r="B9325" s="64">
        <v>28793121.728418272</v>
      </c>
    </row>
    <row r="9326" spans="1:2" x14ac:dyDescent="0.25">
      <c r="A9326" s="65">
        <v>9325</v>
      </c>
      <c r="B9326" s="64">
        <v>29349422.870228164</v>
      </c>
    </row>
    <row r="9327" spans="1:2" x14ac:dyDescent="0.25">
      <c r="A9327" s="65">
        <v>9326</v>
      </c>
      <c r="B9327" s="64">
        <v>29166222.598096322</v>
      </c>
    </row>
    <row r="9328" spans="1:2" x14ac:dyDescent="0.25">
      <c r="A9328" s="65">
        <v>9327</v>
      </c>
      <c r="B9328" s="64">
        <v>29934407.467427842</v>
      </c>
    </row>
    <row r="9329" spans="1:2" x14ac:dyDescent="0.25">
      <c r="A9329" s="65">
        <v>9328</v>
      </c>
      <c r="B9329" s="64">
        <v>28963844.78821988</v>
      </c>
    </row>
    <row r="9330" spans="1:2" x14ac:dyDescent="0.25">
      <c r="A9330" s="65">
        <v>9329</v>
      </c>
      <c r="B9330" s="64">
        <v>29099556.273822535</v>
      </c>
    </row>
    <row r="9331" spans="1:2" x14ac:dyDescent="0.25">
      <c r="A9331" s="65">
        <v>9330</v>
      </c>
      <c r="B9331" s="64">
        <v>28622075.482601319</v>
      </c>
    </row>
    <row r="9332" spans="1:2" x14ac:dyDescent="0.25">
      <c r="A9332" s="65">
        <v>9331</v>
      </c>
      <c r="B9332" s="64">
        <v>28891418.184440061</v>
      </c>
    </row>
    <row r="9333" spans="1:2" x14ac:dyDescent="0.25">
      <c r="A9333" s="65">
        <v>9332</v>
      </c>
      <c r="B9333" s="64">
        <v>29860936.619591016</v>
      </c>
    </row>
    <row r="9334" spans="1:2" x14ac:dyDescent="0.25">
      <c r="A9334" s="65">
        <v>9333</v>
      </c>
      <c r="B9334" s="64">
        <v>30208260.419448987</v>
      </c>
    </row>
    <row r="9335" spans="1:2" x14ac:dyDescent="0.25">
      <c r="A9335" s="65">
        <v>9334</v>
      </c>
      <c r="B9335" s="64">
        <v>29287494.664041348</v>
      </c>
    </row>
    <row r="9336" spans="1:2" x14ac:dyDescent="0.25">
      <c r="A9336" s="65">
        <v>9335</v>
      </c>
      <c r="B9336" s="64">
        <v>28672695.401116073</v>
      </c>
    </row>
    <row r="9337" spans="1:2" x14ac:dyDescent="0.25">
      <c r="A9337" s="65">
        <v>9336</v>
      </c>
      <c r="B9337" s="64">
        <v>28849543.507046092</v>
      </c>
    </row>
    <row r="9338" spans="1:2" x14ac:dyDescent="0.25">
      <c r="A9338" s="65">
        <v>9337</v>
      </c>
      <c r="B9338" s="64">
        <v>30429230.183415953</v>
      </c>
    </row>
    <row r="9339" spans="1:2" x14ac:dyDescent="0.25">
      <c r="A9339" s="65">
        <v>9338</v>
      </c>
      <c r="B9339" s="64">
        <v>29937670.574312836</v>
      </c>
    </row>
    <row r="9340" spans="1:2" x14ac:dyDescent="0.25">
      <c r="A9340" s="65">
        <v>9339</v>
      </c>
      <c r="B9340" s="64">
        <v>29131654.758971393</v>
      </c>
    </row>
    <row r="9341" spans="1:2" x14ac:dyDescent="0.25">
      <c r="A9341" s="65">
        <v>9340</v>
      </c>
      <c r="B9341" s="64">
        <v>28878665.201102808</v>
      </c>
    </row>
    <row r="9342" spans="1:2" x14ac:dyDescent="0.25">
      <c r="A9342" s="65">
        <v>9341</v>
      </c>
      <c r="B9342" s="64">
        <v>30049796.818329159</v>
      </c>
    </row>
    <row r="9343" spans="1:2" x14ac:dyDescent="0.25">
      <c r="A9343" s="65">
        <v>9342</v>
      </c>
      <c r="B9343" s="64">
        <v>28764824.202330403</v>
      </c>
    </row>
    <row r="9344" spans="1:2" x14ac:dyDescent="0.25">
      <c r="A9344" s="65">
        <v>9343</v>
      </c>
      <c r="B9344" s="64">
        <v>30713710.321536969</v>
      </c>
    </row>
    <row r="9345" spans="1:2" x14ac:dyDescent="0.25">
      <c r="A9345" s="65">
        <v>9344</v>
      </c>
      <c r="B9345" s="64">
        <v>29464820.606976669</v>
      </c>
    </row>
    <row r="9346" spans="1:2" x14ac:dyDescent="0.25">
      <c r="A9346" s="65">
        <v>9345</v>
      </c>
      <c r="B9346" s="64">
        <v>29004957.540376578</v>
      </c>
    </row>
    <row r="9347" spans="1:2" x14ac:dyDescent="0.25">
      <c r="A9347" s="65">
        <v>9346</v>
      </c>
      <c r="B9347" s="64">
        <v>28933813.929888826</v>
      </c>
    </row>
    <row r="9348" spans="1:2" x14ac:dyDescent="0.25">
      <c r="A9348" s="65">
        <v>9347</v>
      </c>
      <c r="B9348" s="64">
        <v>28480128.379157025</v>
      </c>
    </row>
    <row r="9349" spans="1:2" x14ac:dyDescent="0.25">
      <c r="A9349" s="65">
        <v>9348</v>
      </c>
      <c r="B9349" s="64">
        <v>28997043.189814899</v>
      </c>
    </row>
    <row r="9350" spans="1:2" x14ac:dyDescent="0.25">
      <c r="A9350" s="65">
        <v>9349</v>
      </c>
      <c r="B9350" s="64">
        <v>28671478.605522312</v>
      </c>
    </row>
    <row r="9351" spans="1:2" x14ac:dyDescent="0.25">
      <c r="A9351" s="65">
        <v>9350</v>
      </c>
      <c r="B9351" s="64">
        <v>28868064.090925831</v>
      </c>
    </row>
    <row r="9352" spans="1:2" x14ac:dyDescent="0.25">
      <c r="A9352" s="65">
        <v>9351</v>
      </c>
      <c r="B9352" s="64">
        <v>29000607.485241376</v>
      </c>
    </row>
    <row r="9353" spans="1:2" x14ac:dyDescent="0.25">
      <c r="A9353" s="65">
        <v>9352</v>
      </c>
      <c r="B9353" s="64">
        <v>29512649.50955933</v>
      </c>
    </row>
    <row r="9354" spans="1:2" x14ac:dyDescent="0.25">
      <c r="A9354" s="65">
        <v>9353</v>
      </c>
      <c r="B9354" s="64">
        <v>28696834.568132229</v>
      </c>
    </row>
    <row r="9355" spans="1:2" x14ac:dyDescent="0.25">
      <c r="A9355" s="65">
        <v>9354</v>
      </c>
      <c r="B9355" s="64">
        <v>29105512.551171664</v>
      </c>
    </row>
    <row r="9356" spans="1:2" x14ac:dyDescent="0.25">
      <c r="A9356" s="65">
        <v>9355</v>
      </c>
      <c r="B9356" s="64">
        <v>28521852.440289509</v>
      </c>
    </row>
    <row r="9357" spans="1:2" x14ac:dyDescent="0.25">
      <c r="A9357" s="65">
        <v>9356</v>
      </c>
      <c r="B9357" s="64">
        <v>28757544.711249147</v>
      </c>
    </row>
    <row r="9358" spans="1:2" x14ac:dyDescent="0.25">
      <c r="A9358" s="65">
        <v>9357</v>
      </c>
      <c r="B9358" s="64">
        <v>28776687.572154824</v>
      </c>
    </row>
    <row r="9359" spans="1:2" x14ac:dyDescent="0.25">
      <c r="A9359" s="65">
        <v>9358</v>
      </c>
      <c r="B9359" s="64">
        <v>29539402.264907125</v>
      </c>
    </row>
    <row r="9360" spans="1:2" x14ac:dyDescent="0.25">
      <c r="A9360" s="65">
        <v>9359</v>
      </c>
      <c r="B9360" s="64">
        <v>28586404.522941384</v>
      </c>
    </row>
    <row r="9361" spans="1:2" x14ac:dyDescent="0.25">
      <c r="A9361" s="65">
        <v>9360</v>
      </c>
      <c r="B9361" s="64">
        <v>29587142.911118157</v>
      </c>
    </row>
    <row r="9362" spans="1:2" x14ac:dyDescent="0.25">
      <c r="A9362" s="65">
        <v>9361</v>
      </c>
      <c r="B9362" s="64">
        <v>28364512.624609165</v>
      </c>
    </row>
    <row r="9363" spans="1:2" x14ac:dyDescent="0.25">
      <c r="A9363" s="65">
        <v>9362</v>
      </c>
      <c r="B9363" s="64">
        <v>28866257.873546649</v>
      </c>
    </row>
    <row r="9364" spans="1:2" x14ac:dyDescent="0.25">
      <c r="A9364" s="65">
        <v>9363</v>
      </c>
      <c r="B9364" s="64">
        <v>29264166.603248287</v>
      </c>
    </row>
    <row r="9365" spans="1:2" x14ac:dyDescent="0.25">
      <c r="A9365" s="65">
        <v>9364</v>
      </c>
      <c r="B9365" s="64">
        <v>29093785.620731253</v>
      </c>
    </row>
    <row r="9366" spans="1:2" x14ac:dyDescent="0.25">
      <c r="A9366" s="65">
        <v>9365</v>
      </c>
      <c r="B9366" s="64">
        <v>28736173.553845264</v>
      </c>
    </row>
    <row r="9367" spans="1:2" x14ac:dyDescent="0.25">
      <c r="A9367" s="65">
        <v>9366</v>
      </c>
      <c r="B9367" s="64">
        <v>30531481.945642088</v>
      </c>
    </row>
    <row r="9368" spans="1:2" x14ac:dyDescent="0.25">
      <c r="A9368" s="65">
        <v>9367</v>
      </c>
      <c r="B9368" s="64">
        <v>28827610.744177844</v>
      </c>
    </row>
    <row r="9369" spans="1:2" x14ac:dyDescent="0.25">
      <c r="A9369" s="65">
        <v>9368</v>
      </c>
      <c r="B9369" s="64">
        <v>29513716.622589268</v>
      </c>
    </row>
    <row r="9370" spans="1:2" x14ac:dyDescent="0.25">
      <c r="A9370" s="65">
        <v>9369</v>
      </c>
      <c r="B9370" s="64">
        <v>29181975.536907729</v>
      </c>
    </row>
    <row r="9371" spans="1:2" x14ac:dyDescent="0.25">
      <c r="A9371" s="65">
        <v>9370</v>
      </c>
      <c r="B9371" s="64">
        <v>29066067.06977012</v>
      </c>
    </row>
    <row r="9372" spans="1:2" x14ac:dyDescent="0.25">
      <c r="A9372" s="65">
        <v>9371</v>
      </c>
      <c r="B9372" s="64">
        <v>29781815.947830252</v>
      </c>
    </row>
    <row r="9373" spans="1:2" x14ac:dyDescent="0.25">
      <c r="A9373" s="65">
        <v>9372</v>
      </c>
      <c r="B9373" s="64">
        <v>28798081.320495252</v>
      </c>
    </row>
    <row r="9374" spans="1:2" x14ac:dyDescent="0.25">
      <c r="A9374" s="65">
        <v>9373</v>
      </c>
      <c r="B9374" s="64">
        <v>29829060.395829942</v>
      </c>
    </row>
    <row r="9375" spans="1:2" x14ac:dyDescent="0.25">
      <c r="A9375" s="65">
        <v>9374</v>
      </c>
      <c r="B9375" s="64">
        <v>29487381.919900719</v>
      </c>
    </row>
    <row r="9376" spans="1:2" x14ac:dyDescent="0.25">
      <c r="A9376" s="65">
        <v>9375</v>
      </c>
      <c r="B9376" s="64">
        <v>29135731.032071277</v>
      </c>
    </row>
    <row r="9377" spans="1:2" x14ac:dyDescent="0.25">
      <c r="A9377" s="65">
        <v>9376</v>
      </c>
      <c r="B9377" s="64">
        <v>29216603.223410811</v>
      </c>
    </row>
    <row r="9378" spans="1:2" x14ac:dyDescent="0.25">
      <c r="A9378" s="65">
        <v>9377</v>
      </c>
      <c r="B9378" s="64">
        <v>29592855.878321983</v>
      </c>
    </row>
    <row r="9379" spans="1:2" x14ac:dyDescent="0.25">
      <c r="A9379" s="65">
        <v>9378</v>
      </c>
      <c r="B9379" s="64">
        <v>28676580.35328871</v>
      </c>
    </row>
    <row r="9380" spans="1:2" x14ac:dyDescent="0.25">
      <c r="A9380" s="65">
        <v>9379</v>
      </c>
      <c r="B9380" s="64">
        <v>28924910.711611632</v>
      </c>
    </row>
    <row r="9381" spans="1:2" x14ac:dyDescent="0.25">
      <c r="A9381" s="65">
        <v>9380</v>
      </c>
      <c r="B9381" s="64">
        <v>29787300.092056517</v>
      </c>
    </row>
    <row r="9382" spans="1:2" x14ac:dyDescent="0.25">
      <c r="A9382" s="65">
        <v>9381</v>
      </c>
      <c r="B9382" s="64">
        <v>28537717.521302182</v>
      </c>
    </row>
    <row r="9383" spans="1:2" x14ac:dyDescent="0.25">
      <c r="A9383" s="65">
        <v>9382</v>
      </c>
      <c r="B9383" s="64">
        <v>30290668.082459465</v>
      </c>
    </row>
    <row r="9384" spans="1:2" x14ac:dyDescent="0.25">
      <c r="A9384" s="65">
        <v>9383</v>
      </c>
      <c r="B9384" s="64">
        <v>29247109.796486482</v>
      </c>
    </row>
    <row r="9385" spans="1:2" x14ac:dyDescent="0.25">
      <c r="A9385" s="65">
        <v>9384</v>
      </c>
      <c r="B9385" s="64">
        <v>31326825.128408123</v>
      </c>
    </row>
    <row r="9386" spans="1:2" x14ac:dyDescent="0.25">
      <c r="A9386" s="65">
        <v>9385</v>
      </c>
      <c r="B9386" s="64">
        <v>28958648.437017485</v>
      </c>
    </row>
    <row r="9387" spans="1:2" x14ac:dyDescent="0.25">
      <c r="A9387" s="65">
        <v>9386</v>
      </c>
      <c r="B9387" s="64">
        <v>29363785.269883115</v>
      </c>
    </row>
    <row r="9388" spans="1:2" x14ac:dyDescent="0.25">
      <c r="A9388" s="65">
        <v>9387</v>
      </c>
      <c r="B9388" s="64">
        <v>29089890.577384967</v>
      </c>
    </row>
    <row r="9389" spans="1:2" x14ac:dyDescent="0.25">
      <c r="A9389" s="65">
        <v>9388</v>
      </c>
      <c r="B9389" s="64">
        <v>28915680.84908437</v>
      </c>
    </row>
    <row r="9390" spans="1:2" x14ac:dyDescent="0.25">
      <c r="A9390" s="65">
        <v>9389</v>
      </c>
      <c r="B9390" s="64">
        <v>29917751.471286096</v>
      </c>
    </row>
    <row r="9391" spans="1:2" x14ac:dyDescent="0.25">
      <c r="A9391" s="65">
        <v>9390</v>
      </c>
      <c r="B9391" s="64">
        <v>28376848.249915589</v>
      </c>
    </row>
    <row r="9392" spans="1:2" x14ac:dyDescent="0.25">
      <c r="A9392" s="65">
        <v>9391</v>
      </c>
      <c r="B9392" s="64">
        <v>28931726.421785817</v>
      </c>
    </row>
    <row r="9393" spans="1:2" x14ac:dyDescent="0.25">
      <c r="A9393" s="65">
        <v>9392</v>
      </c>
      <c r="B9393" s="64">
        <v>29446791.528021023</v>
      </c>
    </row>
    <row r="9394" spans="1:2" x14ac:dyDescent="0.25">
      <c r="A9394" s="65">
        <v>9393</v>
      </c>
      <c r="B9394" s="64">
        <v>29649379.920500573</v>
      </c>
    </row>
    <row r="9395" spans="1:2" x14ac:dyDescent="0.25">
      <c r="A9395" s="65">
        <v>9394</v>
      </c>
      <c r="B9395" s="64">
        <v>28393390.279240523</v>
      </c>
    </row>
    <row r="9396" spans="1:2" x14ac:dyDescent="0.25">
      <c r="A9396" s="65">
        <v>9395</v>
      </c>
      <c r="B9396" s="64">
        <v>29790879.914073337</v>
      </c>
    </row>
    <row r="9397" spans="1:2" x14ac:dyDescent="0.25">
      <c r="A9397" s="65">
        <v>9396</v>
      </c>
      <c r="B9397" s="64">
        <v>33079619.994263392</v>
      </c>
    </row>
    <row r="9398" spans="1:2" x14ac:dyDescent="0.25">
      <c r="A9398" s="65">
        <v>9397</v>
      </c>
      <c r="B9398" s="64">
        <v>28551310.805429578</v>
      </c>
    </row>
    <row r="9399" spans="1:2" x14ac:dyDescent="0.25">
      <c r="A9399" s="65">
        <v>9398</v>
      </c>
      <c r="B9399" s="64">
        <v>29250397.707422409</v>
      </c>
    </row>
    <row r="9400" spans="1:2" x14ac:dyDescent="0.25">
      <c r="A9400" s="65">
        <v>9399</v>
      </c>
      <c r="B9400" s="64">
        <v>29867640.986469585</v>
      </c>
    </row>
    <row r="9401" spans="1:2" x14ac:dyDescent="0.25">
      <c r="A9401" s="65">
        <v>9400</v>
      </c>
      <c r="B9401" s="64">
        <v>28337393.143328529</v>
      </c>
    </row>
    <row r="9402" spans="1:2" x14ac:dyDescent="0.25">
      <c r="A9402" s="65">
        <v>9401</v>
      </c>
      <c r="B9402" s="64">
        <v>29289209.340358984</v>
      </c>
    </row>
    <row r="9403" spans="1:2" x14ac:dyDescent="0.25">
      <c r="A9403" s="65">
        <v>9402</v>
      </c>
      <c r="B9403" s="64">
        <v>29560668.775488861</v>
      </c>
    </row>
    <row r="9404" spans="1:2" x14ac:dyDescent="0.25">
      <c r="A9404" s="65">
        <v>9403</v>
      </c>
      <c r="B9404" s="64">
        <v>28857281.2448892</v>
      </c>
    </row>
    <row r="9405" spans="1:2" x14ac:dyDescent="0.25">
      <c r="A9405" s="65">
        <v>9404</v>
      </c>
      <c r="B9405" s="64">
        <v>29699757.898766965</v>
      </c>
    </row>
    <row r="9406" spans="1:2" x14ac:dyDescent="0.25">
      <c r="A9406" s="65">
        <v>9405</v>
      </c>
      <c r="B9406" s="64">
        <v>28749589.694278579</v>
      </c>
    </row>
    <row r="9407" spans="1:2" x14ac:dyDescent="0.25">
      <c r="A9407" s="65">
        <v>9406</v>
      </c>
      <c r="B9407" s="64">
        <v>28704771.888968952</v>
      </c>
    </row>
    <row r="9408" spans="1:2" x14ac:dyDescent="0.25">
      <c r="A9408" s="65">
        <v>9407</v>
      </c>
      <c r="B9408" s="64">
        <v>29217751.132639013</v>
      </c>
    </row>
    <row r="9409" spans="1:2" x14ac:dyDescent="0.25">
      <c r="A9409" s="65">
        <v>9408</v>
      </c>
      <c r="B9409" s="64">
        <v>29681439.480679568</v>
      </c>
    </row>
    <row r="9410" spans="1:2" x14ac:dyDescent="0.25">
      <c r="A9410" s="65">
        <v>9409</v>
      </c>
      <c r="B9410" s="64">
        <v>30699582.062212352</v>
      </c>
    </row>
    <row r="9411" spans="1:2" x14ac:dyDescent="0.25">
      <c r="A9411" s="65">
        <v>9410</v>
      </c>
      <c r="B9411" s="64">
        <v>28838780.835022487</v>
      </c>
    </row>
    <row r="9412" spans="1:2" x14ac:dyDescent="0.25">
      <c r="A9412" s="65">
        <v>9411</v>
      </c>
      <c r="B9412" s="64">
        <v>28712979.423872419</v>
      </c>
    </row>
    <row r="9413" spans="1:2" x14ac:dyDescent="0.25">
      <c r="A9413" s="65">
        <v>9412</v>
      </c>
      <c r="B9413" s="64">
        <v>28907508.610010982</v>
      </c>
    </row>
    <row r="9414" spans="1:2" x14ac:dyDescent="0.25">
      <c r="A9414" s="65">
        <v>9413</v>
      </c>
      <c r="B9414" s="64">
        <v>30717485.860343624</v>
      </c>
    </row>
    <row r="9415" spans="1:2" x14ac:dyDescent="0.25">
      <c r="A9415" s="65">
        <v>9414</v>
      </c>
      <c r="B9415" s="64">
        <v>28764052.837659884</v>
      </c>
    </row>
    <row r="9416" spans="1:2" x14ac:dyDescent="0.25">
      <c r="A9416" s="65">
        <v>9415</v>
      </c>
      <c r="B9416" s="64">
        <v>30334381.079144806</v>
      </c>
    </row>
    <row r="9417" spans="1:2" x14ac:dyDescent="0.25">
      <c r="A9417" s="65">
        <v>9416</v>
      </c>
      <c r="B9417" s="64">
        <v>29515456.975431822</v>
      </c>
    </row>
    <row r="9418" spans="1:2" x14ac:dyDescent="0.25">
      <c r="A9418" s="65">
        <v>9417</v>
      </c>
      <c r="B9418" s="64">
        <v>28409688.911380995</v>
      </c>
    </row>
    <row r="9419" spans="1:2" x14ac:dyDescent="0.25">
      <c r="A9419" s="65">
        <v>9418</v>
      </c>
      <c r="B9419" s="64">
        <v>29470516.719894085</v>
      </c>
    </row>
    <row r="9420" spans="1:2" x14ac:dyDescent="0.25">
      <c r="A9420" s="65">
        <v>9419</v>
      </c>
      <c r="B9420" s="64">
        <v>29369395.686346337</v>
      </c>
    </row>
    <row r="9421" spans="1:2" x14ac:dyDescent="0.25">
      <c r="A9421" s="65">
        <v>9420</v>
      </c>
      <c r="B9421" s="64">
        <v>30144701.570248544</v>
      </c>
    </row>
    <row r="9422" spans="1:2" x14ac:dyDescent="0.25">
      <c r="A9422" s="65">
        <v>9421</v>
      </c>
      <c r="B9422" s="64">
        <v>30389073.220695656</v>
      </c>
    </row>
    <row r="9423" spans="1:2" x14ac:dyDescent="0.25">
      <c r="A9423" s="65">
        <v>9422</v>
      </c>
      <c r="B9423" s="64">
        <v>28596622.486279901</v>
      </c>
    </row>
    <row r="9424" spans="1:2" x14ac:dyDescent="0.25">
      <c r="A9424" s="65">
        <v>9423</v>
      </c>
      <c r="B9424" s="64">
        <v>30243486.814627495</v>
      </c>
    </row>
    <row r="9425" spans="1:2" x14ac:dyDescent="0.25">
      <c r="A9425" s="65">
        <v>9424</v>
      </c>
      <c r="B9425" s="64">
        <v>29535798.592516385</v>
      </c>
    </row>
    <row r="9426" spans="1:2" x14ac:dyDescent="0.25">
      <c r="A9426" s="65">
        <v>9425</v>
      </c>
      <c r="B9426" s="64">
        <v>28870610.499995381</v>
      </c>
    </row>
    <row r="9427" spans="1:2" x14ac:dyDescent="0.25">
      <c r="A9427" s="65">
        <v>9426</v>
      </c>
      <c r="B9427" s="64">
        <v>30431384.992073402</v>
      </c>
    </row>
    <row r="9428" spans="1:2" x14ac:dyDescent="0.25">
      <c r="A9428" s="65">
        <v>9427</v>
      </c>
      <c r="B9428" s="64">
        <v>28887392.53241431</v>
      </c>
    </row>
    <row r="9429" spans="1:2" x14ac:dyDescent="0.25">
      <c r="A9429" s="65">
        <v>9428</v>
      </c>
      <c r="B9429" s="64">
        <v>29484845.560772646</v>
      </c>
    </row>
    <row r="9430" spans="1:2" x14ac:dyDescent="0.25">
      <c r="A9430" s="65">
        <v>9429</v>
      </c>
      <c r="B9430" s="64">
        <v>29242619.339086007</v>
      </c>
    </row>
    <row r="9431" spans="1:2" x14ac:dyDescent="0.25">
      <c r="A9431" s="65">
        <v>9430</v>
      </c>
      <c r="B9431" s="64">
        <v>28716920.019039486</v>
      </c>
    </row>
    <row r="9432" spans="1:2" x14ac:dyDescent="0.25">
      <c r="A9432" s="65">
        <v>9431</v>
      </c>
      <c r="B9432" s="64">
        <v>29375109.716322213</v>
      </c>
    </row>
    <row r="9433" spans="1:2" x14ac:dyDescent="0.25">
      <c r="A9433" s="65">
        <v>9432</v>
      </c>
      <c r="B9433" s="64">
        <v>28619174.41694333</v>
      </c>
    </row>
    <row r="9434" spans="1:2" x14ac:dyDescent="0.25">
      <c r="A9434" s="65">
        <v>9433</v>
      </c>
      <c r="B9434" s="64">
        <v>29238983.022820864</v>
      </c>
    </row>
    <row r="9435" spans="1:2" x14ac:dyDescent="0.25">
      <c r="A9435" s="65">
        <v>9434</v>
      </c>
      <c r="B9435" s="64">
        <v>29526123.71951272</v>
      </c>
    </row>
    <row r="9436" spans="1:2" x14ac:dyDescent="0.25">
      <c r="A9436" s="65">
        <v>9435</v>
      </c>
      <c r="B9436" s="64">
        <v>29053146.108963218</v>
      </c>
    </row>
    <row r="9437" spans="1:2" x14ac:dyDescent="0.25">
      <c r="A9437" s="65">
        <v>9436</v>
      </c>
      <c r="B9437" s="64">
        <v>30113176.791806705</v>
      </c>
    </row>
    <row r="9438" spans="1:2" x14ac:dyDescent="0.25">
      <c r="A9438" s="65">
        <v>9437</v>
      </c>
      <c r="B9438" s="64">
        <v>29253256.610674202</v>
      </c>
    </row>
    <row r="9439" spans="1:2" x14ac:dyDescent="0.25">
      <c r="A9439" s="65">
        <v>9438</v>
      </c>
      <c r="B9439" s="64">
        <v>29071574.082432456</v>
      </c>
    </row>
    <row r="9440" spans="1:2" x14ac:dyDescent="0.25">
      <c r="A9440" s="65">
        <v>9439</v>
      </c>
      <c r="B9440" s="64">
        <v>28978048.806286436</v>
      </c>
    </row>
    <row r="9441" spans="1:2" x14ac:dyDescent="0.25">
      <c r="A9441" s="65">
        <v>9440</v>
      </c>
      <c r="B9441" s="64">
        <v>29590738.106864184</v>
      </c>
    </row>
    <row r="9442" spans="1:2" x14ac:dyDescent="0.25">
      <c r="A9442" s="65">
        <v>9441</v>
      </c>
      <c r="B9442" s="64">
        <v>28917430.382963188</v>
      </c>
    </row>
    <row r="9443" spans="1:2" x14ac:dyDescent="0.25">
      <c r="A9443" s="65">
        <v>9442</v>
      </c>
      <c r="B9443" s="64">
        <v>33092301.633243904</v>
      </c>
    </row>
    <row r="9444" spans="1:2" x14ac:dyDescent="0.25">
      <c r="A9444" s="65">
        <v>9443</v>
      </c>
      <c r="B9444" s="64">
        <v>29822174.939280923</v>
      </c>
    </row>
    <row r="9445" spans="1:2" x14ac:dyDescent="0.25">
      <c r="A9445" s="65">
        <v>9444</v>
      </c>
      <c r="B9445" s="64">
        <v>28723174.58037791</v>
      </c>
    </row>
    <row r="9446" spans="1:2" x14ac:dyDescent="0.25">
      <c r="A9446" s="65">
        <v>9445</v>
      </c>
      <c r="B9446" s="64">
        <v>29820533.115063138</v>
      </c>
    </row>
    <row r="9447" spans="1:2" x14ac:dyDescent="0.25">
      <c r="A9447" s="65">
        <v>9446</v>
      </c>
      <c r="B9447" s="64">
        <v>29193271.329522394</v>
      </c>
    </row>
    <row r="9448" spans="1:2" x14ac:dyDescent="0.25">
      <c r="A9448" s="65">
        <v>9447</v>
      </c>
      <c r="B9448" s="64">
        <v>28918388.657969862</v>
      </c>
    </row>
    <row r="9449" spans="1:2" x14ac:dyDescent="0.25">
      <c r="A9449" s="65">
        <v>9448</v>
      </c>
      <c r="B9449" s="64">
        <v>28900517.138956074</v>
      </c>
    </row>
    <row r="9450" spans="1:2" x14ac:dyDescent="0.25">
      <c r="A9450" s="65">
        <v>9449</v>
      </c>
      <c r="B9450" s="64">
        <v>29516094.030925654</v>
      </c>
    </row>
    <row r="9451" spans="1:2" x14ac:dyDescent="0.25">
      <c r="A9451" s="65">
        <v>9450</v>
      </c>
      <c r="B9451" s="64">
        <v>29165708.334253397</v>
      </c>
    </row>
    <row r="9452" spans="1:2" x14ac:dyDescent="0.25">
      <c r="A9452" s="65">
        <v>9451</v>
      </c>
      <c r="B9452" s="64">
        <v>30625252.723305944</v>
      </c>
    </row>
    <row r="9453" spans="1:2" x14ac:dyDescent="0.25">
      <c r="A9453" s="65">
        <v>9452</v>
      </c>
      <c r="B9453" s="64">
        <v>32938244.787515506</v>
      </c>
    </row>
    <row r="9454" spans="1:2" x14ac:dyDescent="0.25">
      <c r="A9454" s="65">
        <v>9453</v>
      </c>
      <c r="B9454" s="64">
        <v>30061968.109807909</v>
      </c>
    </row>
    <row r="9455" spans="1:2" x14ac:dyDescent="0.25">
      <c r="A9455" s="65">
        <v>9454</v>
      </c>
      <c r="B9455" s="64">
        <v>29619823.541313685</v>
      </c>
    </row>
    <row r="9456" spans="1:2" x14ac:dyDescent="0.25">
      <c r="A9456" s="65">
        <v>9455</v>
      </c>
      <c r="B9456" s="64">
        <v>29307145.599023294</v>
      </c>
    </row>
    <row r="9457" spans="1:2" x14ac:dyDescent="0.25">
      <c r="A9457" s="65">
        <v>9456</v>
      </c>
      <c r="B9457" s="64">
        <v>28593855.362778224</v>
      </c>
    </row>
    <row r="9458" spans="1:2" x14ac:dyDescent="0.25">
      <c r="A9458" s="65">
        <v>9457</v>
      </c>
      <c r="B9458" s="64">
        <v>29190698.911544096</v>
      </c>
    </row>
    <row r="9459" spans="1:2" x14ac:dyDescent="0.25">
      <c r="A9459" s="65">
        <v>9458</v>
      </c>
      <c r="B9459" s="64">
        <v>29434831.778409913</v>
      </c>
    </row>
    <row r="9460" spans="1:2" x14ac:dyDescent="0.25">
      <c r="A9460" s="65">
        <v>9459</v>
      </c>
      <c r="B9460" s="64">
        <v>28837611.259913079</v>
      </c>
    </row>
    <row r="9461" spans="1:2" x14ac:dyDescent="0.25">
      <c r="A9461" s="65">
        <v>9460</v>
      </c>
      <c r="B9461" s="64">
        <v>30231175.728546012</v>
      </c>
    </row>
    <row r="9462" spans="1:2" x14ac:dyDescent="0.25">
      <c r="A9462" s="65">
        <v>9461</v>
      </c>
      <c r="B9462" s="64">
        <v>29638844.524917901</v>
      </c>
    </row>
    <row r="9463" spans="1:2" x14ac:dyDescent="0.25">
      <c r="A9463" s="65">
        <v>9462</v>
      </c>
      <c r="B9463" s="64">
        <v>28996358.800890107</v>
      </c>
    </row>
    <row r="9464" spans="1:2" x14ac:dyDescent="0.25">
      <c r="A9464" s="65">
        <v>9463</v>
      </c>
      <c r="B9464" s="64">
        <v>29312716.307348486</v>
      </c>
    </row>
    <row r="9465" spans="1:2" x14ac:dyDescent="0.25">
      <c r="A9465" s="65">
        <v>9464</v>
      </c>
      <c r="B9465" s="64">
        <v>30039503.485369146</v>
      </c>
    </row>
    <row r="9466" spans="1:2" x14ac:dyDescent="0.25">
      <c r="A9466" s="65">
        <v>9465</v>
      </c>
      <c r="B9466" s="64">
        <v>30975833.174828146</v>
      </c>
    </row>
    <row r="9467" spans="1:2" x14ac:dyDescent="0.25">
      <c r="A9467" s="65">
        <v>9466</v>
      </c>
      <c r="B9467" s="64">
        <v>28870721.035623696</v>
      </c>
    </row>
    <row r="9468" spans="1:2" x14ac:dyDescent="0.25">
      <c r="A9468" s="65">
        <v>9467</v>
      </c>
      <c r="B9468" s="64">
        <v>29201782.278625343</v>
      </c>
    </row>
    <row r="9469" spans="1:2" x14ac:dyDescent="0.25">
      <c r="A9469" s="65">
        <v>9468</v>
      </c>
      <c r="B9469" s="64">
        <v>30211006.765482638</v>
      </c>
    </row>
    <row r="9470" spans="1:2" x14ac:dyDescent="0.25">
      <c r="A9470" s="65">
        <v>9469</v>
      </c>
      <c r="B9470" s="64">
        <v>28625387.360009249</v>
      </c>
    </row>
    <row r="9471" spans="1:2" x14ac:dyDescent="0.25">
      <c r="A9471" s="65">
        <v>9470</v>
      </c>
      <c r="B9471" s="64">
        <v>30106364.608945761</v>
      </c>
    </row>
    <row r="9472" spans="1:2" x14ac:dyDescent="0.25">
      <c r="A9472" s="65">
        <v>9471</v>
      </c>
      <c r="B9472" s="64">
        <v>28956950.949371573</v>
      </c>
    </row>
    <row r="9473" spans="1:2" x14ac:dyDescent="0.25">
      <c r="A9473" s="65">
        <v>9472</v>
      </c>
      <c r="B9473" s="64">
        <v>29897487.983997092</v>
      </c>
    </row>
    <row r="9474" spans="1:2" x14ac:dyDescent="0.25">
      <c r="A9474" s="65">
        <v>9473</v>
      </c>
      <c r="B9474" s="64">
        <v>28931331.574427653</v>
      </c>
    </row>
    <row r="9475" spans="1:2" x14ac:dyDescent="0.25">
      <c r="A9475" s="65">
        <v>9474</v>
      </c>
      <c r="B9475" s="64">
        <v>28848028.296588868</v>
      </c>
    </row>
    <row r="9476" spans="1:2" x14ac:dyDescent="0.25">
      <c r="A9476" s="65">
        <v>9475</v>
      </c>
      <c r="B9476" s="64">
        <v>30538991.022383593</v>
      </c>
    </row>
    <row r="9477" spans="1:2" x14ac:dyDescent="0.25">
      <c r="A9477" s="65">
        <v>9476</v>
      </c>
      <c r="B9477" s="64">
        <v>28653475.837982856</v>
      </c>
    </row>
    <row r="9478" spans="1:2" x14ac:dyDescent="0.25">
      <c r="A9478" s="65">
        <v>9477</v>
      </c>
      <c r="B9478" s="64">
        <v>30838183.479768511</v>
      </c>
    </row>
    <row r="9479" spans="1:2" x14ac:dyDescent="0.25">
      <c r="A9479" s="65">
        <v>9478</v>
      </c>
      <c r="B9479" s="64">
        <v>29345858.599765576</v>
      </c>
    </row>
    <row r="9480" spans="1:2" x14ac:dyDescent="0.25">
      <c r="A9480" s="65">
        <v>9479</v>
      </c>
      <c r="B9480" s="64">
        <v>28981834.671807401</v>
      </c>
    </row>
    <row r="9481" spans="1:2" x14ac:dyDescent="0.25">
      <c r="A9481" s="65">
        <v>9480</v>
      </c>
      <c r="B9481" s="64">
        <v>33149520.699616674</v>
      </c>
    </row>
    <row r="9482" spans="1:2" x14ac:dyDescent="0.25">
      <c r="A9482" s="65">
        <v>9481</v>
      </c>
      <c r="B9482" s="64">
        <v>29521182.555884663</v>
      </c>
    </row>
    <row r="9483" spans="1:2" x14ac:dyDescent="0.25">
      <c r="A9483" s="65">
        <v>9482</v>
      </c>
      <c r="B9483" s="64">
        <v>30214770.090690386</v>
      </c>
    </row>
    <row r="9484" spans="1:2" x14ac:dyDescent="0.25">
      <c r="A9484" s="65">
        <v>9483</v>
      </c>
      <c r="B9484" s="64">
        <v>29548890.759672184</v>
      </c>
    </row>
    <row r="9485" spans="1:2" x14ac:dyDescent="0.25">
      <c r="A9485" s="65">
        <v>9484</v>
      </c>
      <c r="B9485" s="64">
        <v>29640711.115321591</v>
      </c>
    </row>
    <row r="9486" spans="1:2" x14ac:dyDescent="0.25">
      <c r="A9486" s="65">
        <v>9485</v>
      </c>
      <c r="B9486" s="64">
        <v>29687575.381321907</v>
      </c>
    </row>
    <row r="9487" spans="1:2" x14ac:dyDescent="0.25">
      <c r="A9487" s="65">
        <v>9486</v>
      </c>
      <c r="B9487" s="64">
        <v>28764553.62048915</v>
      </c>
    </row>
    <row r="9488" spans="1:2" x14ac:dyDescent="0.25">
      <c r="A9488" s="65">
        <v>9487</v>
      </c>
      <c r="B9488" s="64">
        <v>28671413.354567327</v>
      </c>
    </row>
    <row r="9489" spans="1:2" x14ac:dyDescent="0.25">
      <c r="A9489" s="65">
        <v>9488</v>
      </c>
      <c r="B9489" s="64">
        <v>30315842.332870752</v>
      </c>
    </row>
    <row r="9490" spans="1:2" x14ac:dyDescent="0.25">
      <c r="A9490" s="65">
        <v>9489</v>
      </c>
      <c r="B9490" s="64">
        <v>29951821.636348218</v>
      </c>
    </row>
    <row r="9491" spans="1:2" x14ac:dyDescent="0.25">
      <c r="A9491" s="65">
        <v>9490</v>
      </c>
      <c r="B9491" s="64">
        <v>29345924.09082095</v>
      </c>
    </row>
    <row r="9492" spans="1:2" x14ac:dyDescent="0.25">
      <c r="A9492" s="65">
        <v>9491</v>
      </c>
      <c r="B9492" s="64">
        <v>29418882.484905522</v>
      </c>
    </row>
    <row r="9493" spans="1:2" x14ac:dyDescent="0.25">
      <c r="A9493" s="65">
        <v>9492</v>
      </c>
      <c r="B9493" s="64">
        <v>28667094.71757251</v>
      </c>
    </row>
    <row r="9494" spans="1:2" x14ac:dyDescent="0.25">
      <c r="A9494" s="65">
        <v>9493</v>
      </c>
      <c r="B9494" s="64">
        <v>28712695.438210599</v>
      </c>
    </row>
    <row r="9495" spans="1:2" x14ac:dyDescent="0.25">
      <c r="A9495" s="65">
        <v>9494</v>
      </c>
      <c r="B9495" s="64">
        <v>28781040.141061634</v>
      </c>
    </row>
    <row r="9496" spans="1:2" x14ac:dyDescent="0.25">
      <c r="A9496" s="65">
        <v>9495</v>
      </c>
      <c r="B9496" s="64">
        <v>28698627.355773047</v>
      </c>
    </row>
    <row r="9497" spans="1:2" x14ac:dyDescent="0.25">
      <c r="A9497" s="65">
        <v>9496</v>
      </c>
      <c r="B9497" s="64">
        <v>28556782.506975152</v>
      </c>
    </row>
    <row r="9498" spans="1:2" x14ac:dyDescent="0.25">
      <c r="A9498" s="65">
        <v>9497</v>
      </c>
      <c r="B9498" s="64">
        <v>29506012.0935378</v>
      </c>
    </row>
    <row r="9499" spans="1:2" x14ac:dyDescent="0.25">
      <c r="A9499" s="65">
        <v>9498</v>
      </c>
      <c r="B9499" s="64">
        <v>28850720.350796293</v>
      </c>
    </row>
    <row r="9500" spans="1:2" x14ac:dyDescent="0.25">
      <c r="A9500" s="65">
        <v>9499</v>
      </c>
      <c r="B9500" s="64">
        <v>29836218.738003902</v>
      </c>
    </row>
    <row r="9501" spans="1:2" x14ac:dyDescent="0.25">
      <c r="A9501" s="65">
        <v>9500</v>
      </c>
      <c r="B9501" s="64">
        <v>28491296.200238649</v>
      </c>
    </row>
    <row r="9502" spans="1:2" x14ac:dyDescent="0.25">
      <c r="A9502" s="65">
        <v>9501</v>
      </c>
      <c r="B9502" s="64">
        <v>28710409.192822177</v>
      </c>
    </row>
    <row r="9503" spans="1:2" x14ac:dyDescent="0.25">
      <c r="A9503" s="65">
        <v>9502</v>
      </c>
      <c r="B9503" s="64">
        <v>28779713.78288772</v>
      </c>
    </row>
    <row r="9504" spans="1:2" x14ac:dyDescent="0.25">
      <c r="A9504" s="65">
        <v>9503</v>
      </c>
      <c r="B9504" s="64">
        <v>28664609.799134508</v>
      </c>
    </row>
    <row r="9505" spans="1:2" x14ac:dyDescent="0.25">
      <c r="A9505" s="65">
        <v>9504</v>
      </c>
      <c r="B9505" s="64">
        <v>29546651.124494568</v>
      </c>
    </row>
    <row r="9506" spans="1:2" x14ac:dyDescent="0.25">
      <c r="A9506" s="65">
        <v>9505</v>
      </c>
      <c r="B9506" s="64">
        <v>28554848.424686529</v>
      </c>
    </row>
    <row r="9507" spans="1:2" x14ac:dyDescent="0.25">
      <c r="A9507" s="65">
        <v>9506</v>
      </c>
      <c r="B9507" s="64">
        <v>30028294.807000402</v>
      </c>
    </row>
    <row r="9508" spans="1:2" x14ac:dyDescent="0.25">
      <c r="A9508" s="65">
        <v>9507</v>
      </c>
      <c r="B9508" s="64">
        <v>29548460.705427237</v>
      </c>
    </row>
    <row r="9509" spans="1:2" x14ac:dyDescent="0.25">
      <c r="A9509" s="65">
        <v>9508</v>
      </c>
      <c r="B9509" s="64">
        <v>29145977.626469091</v>
      </c>
    </row>
    <row r="9510" spans="1:2" x14ac:dyDescent="0.25">
      <c r="A9510" s="65">
        <v>9509</v>
      </c>
      <c r="B9510" s="64">
        <v>29193996.494236365</v>
      </c>
    </row>
    <row r="9511" spans="1:2" x14ac:dyDescent="0.25">
      <c r="A9511" s="65">
        <v>9510</v>
      </c>
      <c r="B9511" s="64">
        <v>28840115.130376987</v>
      </c>
    </row>
    <row r="9512" spans="1:2" x14ac:dyDescent="0.25">
      <c r="A9512" s="65">
        <v>9511</v>
      </c>
      <c r="B9512" s="64">
        <v>29074655.29964558</v>
      </c>
    </row>
    <row r="9513" spans="1:2" x14ac:dyDescent="0.25">
      <c r="A9513" s="65">
        <v>9512</v>
      </c>
      <c r="B9513" s="64">
        <v>28848250.173700005</v>
      </c>
    </row>
    <row r="9514" spans="1:2" x14ac:dyDescent="0.25">
      <c r="A9514" s="65">
        <v>9513</v>
      </c>
      <c r="B9514" s="64">
        <v>29447074.149151061</v>
      </c>
    </row>
    <row r="9515" spans="1:2" x14ac:dyDescent="0.25">
      <c r="A9515" s="65">
        <v>9514</v>
      </c>
      <c r="B9515" s="64">
        <v>30990079.824652117</v>
      </c>
    </row>
    <row r="9516" spans="1:2" x14ac:dyDescent="0.25">
      <c r="A9516" s="65">
        <v>9515</v>
      </c>
      <c r="B9516" s="64">
        <v>28785664.358772483</v>
      </c>
    </row>
    <row r="9517" spans="1:2" x14ac:dyDescent="0.25">
      <c r="A9517" s="65">
        <v>9516</v>
      </c>
      <c r="B9517" s="64">
        <v>29516727.251872435</v>
      </c>
    </row>
    <row r="9518" spans="1:2" x14ac:dyDescent="0.25">
      <c r="A9518" s="65">
        <v>9517</v>
      </c>
      <c r="B9518" s="64">
        <v>30726827.978035983</v>
      </c>
    </row>
    <row r="9519" spans="1:2" x14ac:dyDescent="0.25">
      <c r="A9519" s="65">
        <v>9518</v>
      </c>
      <c r="B9519" s="64">
        <v>28883565.473035485</v>
      </c>
    </row>
    <row r="9520" spans="1:2" x14ac:dyDescent="0.25">
      <c r="A9520" s="65">
        <v>9519</v>
      </c>
      <c r="B9520" s="64">
        <v>29884676.67495368</v>
      </c>
    </row>
    <row r="9521" spans="1:2" x14ac:dyDescent="0.25">
      <c r="A9521" s="65">
        <v>9520</v>
      </c>
      <c r="B9521" s="64">
        <v>28961752.283774029</v>
      </c>
    </row>
    <row r="9522" spans="1:2" x14ac:dyDescent="0.25">
      <c r="A9522" s="65">
        <v>9521</v>
      </c>
      <c r="B9522" s="64">
        <v>28798639.214439172</v>
      </c>
    </row>
    <row r="9523" spans="1:2" x14ac:dyDescent="0.25">
      <c r="A9523" s="65">
        <v>9522</v>
      </c>
      <c r="B9523" s="64">
        <v>29726719.146893352</v>
      </c>
    </row>
    <row r="9524" spans="1:2" x14ac:dyDescent="0.25">
      <c r="A9524" s="65">
        <v>9523</v>
      </c>
      <c r="B9524" s="64">
        <v>29810219.481327794</v>
      </c>
    </row>
    <row r="9525" spans="1:2" x14ac:dyDescent="0.25">
      <c r="A9525" s="65">
        <v>9524</v>
      </c>
      <c r="B9525" s="64">
        <v>29472080.718656462</v>
      </c>
    </row>
    <row r="9526" spans="1:2" x14ac:dyDescent="0.25">
      <c r="A9526" s="65">
        <v>9525</v>
      </c>
      <c r="B9526" s="64">
        <v>28895150.908581395</v>
      </c>
    </row>
    <row r="9527" spans="1:2" x14ac:dyDescent="0.25">
      <c r="A9527" s="65">
        <v>9526</v>
      </c>
      <c r="B9527" s="64">
        <v>29956167.101673599</v>
      </c>
    </row>
    <row r="9528" spans="1:2" x14ac:dyDescent="0.25">
      <c r="A9528" s="65">
        <v>9527</v>
      </c>
      <c r="B9528" s="64">
        <v>28897621.794352371</v>
      </c>
    </row>
    <row r="9529" spans="1:2" x14ac:dyDescent="0.25">
      <c r="A9529" s="65">
        <v>9528</v>
      </c>
      <c r="B9529" s="64">
        <v>30190994.456549376</v>
      </c>
    </row>
    <row r="9530" spans="1:2" x14ac:dyDescent="0.25">
      <c r="A9530" s="65">
        <v>9529</v>
      </c>
      <c r="B9530" s="64">
        <v>29166991.267075926</v>
      </c>
    </row>
    <row r="9531" spans="1:2" x14ac:dyDescent="0.25">
      <c r="A9531" s="65">
        <v>9530</v>
      </c>
      <c r="B9531" s="64">
        <v>29828584.226564698</v>
      </c>
    </row>
    <row r="9532" spans="1:2" x14ac:dyDescent="0.25">
      <c r="A9532" s="65">
        <v>9531</v>
      </c>
      <c r="B9532" s="64">
        <v>29325480.46896651</v>
      </c>
    </row>
    <row r="9533" spans="1:2" x14ac:dyDescent="0.25">
      <c r="A9533" s="65">
        <v>9532</v>
      </c>
      <c r="B9533" s="64">
        <v>28651009.913943462</v>
      </c>
    </row>
    <row r="9534" spans="1:2" x14ac:dyDescent="0.25">
      <c r="A9534" s="65">
        <v>9533</v>
      </c>
      <c r="B9534" s="64">
        <v>28689118.476052389</v>
      </c>
    </row>
    <row r="9535" spans="1:2" x14ac:dyDescent="0.25">
      <c r="A9535" s="65">
        <v>9534</v>
      </c>
      <c r="B9535" s="64">
        <v>29589449.311740868</v>
      </c>
    </row>
    <row r="9536" spans="1:2" x14ac:dyDescent="0.25">
      <c r="A9536" s="65">
        <v>9535</v>
      </c>
      <c r="B9536" s="64">
        <v>29103267.864130542</v>
      </c>
    </row>
    <row r="9537" spans="1:2" x14ac:dyDescent="0.25">
      <c r="A9537" s="65">
        <v>9536</v>
      </c>
      <c r="B9537" s="64">
        <v>29718038.174888823</v>
      </c>
    </row>
    <row r="9538" spans="1:2" x14ac:dyDescent="0.25">
      <c r="A9538" s="65">
        <v>9537</v>
      </c>
      <c r="B9538" s="64">
        <v>30039637.063957058</v>
      </c>
    </row>
    <row r="9539" spans="1:2" x14ac:dyDescent="0.25">
      <c r="A9539" s="65">
        <v>9538</v>
      </c>
      <c r="B9539" s="64">
        <v>32978822.621967331</v>
      </c>
    </row>
    <row r="9540" spans="1:2" x14ac:dyDescent="0.25">
      <c r="A9540" s="65">
        <v>9539</v>
      </c>
      <c r="B9540" s="64">
        <v>30327581.858005721</v>
      </c>
    </row>
    <row r="9541" spans="1:2" x14ac:dyDescent="0.25">
      <c r="A9541" s="65">
        <v>9540</v>
      </c>
      <c r="B9541" s="64">
        <v>28519314.782067865</v>
      </c>
    </row>
    <row r="9542" spans="1:2" x14ac:dyDescent="0.25">
      <c r="A9542" s="65">
        <v>9541</v>
      </c>
      <c r="B9542" s="64">
        <v>31111252.012270465</v>
      </c>
    </row>
    <row r="9543" spans="1:2" x14ac:dyDescent="0.25">
      <c r="A9543" s="65">
        <v>9542</v>
      </c>
      <c r="B9543" s="64">
        <v>29589040.262316871</v>
      </c>
    </row>
    <row r="9544" spans="1:2" x14ac:dyDescent="0.25">
      <c r="A9544" s="65">
        <v>9543</v>
      </c>
      <c r="B9544" s="64">
        <v>29252769.127364665</v>
      </c>
    </row>
    <row r="9545" spans="1:2" x14ac:dyDescent="0.25">
      <c r="A9545" s="65">
        <v>9544</v>
      </c>
      <c r="B9545" s="64">
        <v>30385658.300713342</v>
      </c>
    </row>
    <row r="9546" spans="1:2" x14ac:dyDescent="0.25">
      <c r="A9546" s="65">
        <v>9545</v>
      </c>
      <c r="B9546" s="64">
        <v>29296673.019872915</v>
      </c>
    </row>
    <row r="9547" spans="1:2" x14ac:dyDescent="0.25">
      <c r="A9547" s="65">
        <v>9546</v>
      </c>
      <c r="B9547" s="64">
        <v>29531173.220162477</v>
      </c>
    </row>
    <row r="9548" spans="1:2" x14ac:dyDescent="0.25">
      <c r="A9548" s="65">
        <v>9547</v>
      </c>
      <c r="B9548" s="64">
        <v>29182826.497865647</v>
      </c>
    </row>
    <row r="9549" spans="1:2" x14ac:dyDescent="0.25">
      <c r="A9549" s="65">
        <v>9548</v>
      </c>
      <c r="B9549" s="64">
        <v>29402844.823461503</v>
      </c>
    </row>
    <row r="9550" spans="1:2" x14ac:dyDescent="0.25">
      <c r="A9550" s="65">
        <v>9549</v>
      </c>
      <c r="B9550" s="64">
        <v>29736975.24872889</v>
      </c>
    </row>
    <row r="9551" spans="1:2" x14ac:dyDescent="0.25">
      <c r="A9551" s="65">
        <v>9550</v>
      </c>
      <c r="B9551" s="64">
        <v>28567978.977846004</v>
      </c>
    </row>
    <row r="9552" spans="1:2" x14ac:dyDescent="0.25">
      <c r="A9552" s="65">
        <v>9551</v>
      </c>
      <c r="B9552" s="64">
        <v>28489259.889021091</v>
      </c>
    </row>
    <row r="9553" spans="1:2" x14ac:dyDescent="0.25">
      <c r="A9553" s="65">
        <v>9552</v>
      </c>
      <c r="B9553" s="64">
        <v>28645036.982052445</v>
      </c>
    </row>
    <row r="9554" spans="1:2" x14ac:dyDescent="0.25">
      <c r="A9554" s="65">
        <v>9553</v>
      </c>
      <c r="B9554" s="64">
        <v>29130588.305422854</v>
      </c>
    </row>
    <row r="9555" spans="1:2" x14ac:dyDescent="0.25">
      <c r="A9555" s="65">
        <v>9554</v>
      </c>
      <c r="B9555" s="64">
        <v>28993335.543746211</v>
      </c>
    </row>
    <row r="9556" spans="1:2" x14ac:dyDescent="0.25">
      <c r="A9556" s="65">
        <v>9555</v>
      </c>
      <c r="B9556" s="64">
        <v>29130032.993452035</v>
      </c>
    </row>
    <row r="9557" spans="1:2" x14ac:dyDescent="0.25">
      <c r="A9557" s="65">
        <v>9556</v>
      </c>
      <c r="B9557" s="64">
        <v>29845135.912385087</v>
      </c>
    </row>
    <row r="9558" spans="1:2" x14ac:dyDescent="0.25">
      <c r="A9558" s="65">
        <v>9557</v>
      </c>
      <c r="B9558" s="64">
        <v>29242096.963459339</v>
      </c>
    </row>
    <row r="9559" spans="1:2" x14ac:dyDescent="0.25">
      <c r="A9559" s="65">
        <v>9558</v>
      </c>
      <c r="B9559" s="64">
        <v>28929345.047092948</v>
      </c>
    </row>
    <row r="9560" spans="1:2" x14ac:dyDescent="0.25">
      <c r="A9560" s="65">
        <v>9559</v>
      </c>
      <c r="B9560" s="64">
        <v>28541775.974354777</v>
      </c>
    </row>
    <row r="9561" spans="1:2" x14ac:dyDescent="0.25">
      <c r="A9561" s="65">
        <v>9560</v>
      </c>
      <c r="B9561" s="64">
        <v>29498114.139264811</v>
      </c>
    </row>
    <row r="9562" spans="1:2" x14ac:dyDescent="0.25">
      <c r="A9562" s="65">
        <v>9561</v>
      </c>
      <c r="B9562" s="64">
        <v>32985146.470208764</v>
      </c>
    </row>
    <row r="9563" spans="1:2" x14ac:dyDescent="0.25">
      <c r="A9563" s="65">
        <v>9562</v>
      </c>
      <c r="B9563" s="64">
        <v>30652749.644705772</v>
      </c>
    </row>
    <row r="9564" spans="1:2" x14ac:dyDescent="0.25">
      <c r="A9564" s="65">
        <v>9563</v>
      </c>
      <c r="B9564" s="64">
        <v>29500251.91598548</v>
      </c>
    </row>
    <row r="9565" spans="1:2" x14ac:dyDescent="0.25">
      <c r="A9565" s="65">
        <v>9564</v>
      </c>
      <c r="B9565" s="64">
        <v>29167944.34753127</v>
      </c>
    </row>
    <row r="9566" spans="1:2" x14ac:dyDescent="0.25">
      <c r="A9566" s="65">
        <v>9565</v>
      </c>
      <c r="B9566" s="64">
        <v>30049377.909491256</v>
      </c>
    </row>
    <row r="9567" spans="1:2" x14ac:dyDescent="0.25">
      <c r="A9567" s="65">
        <v>9566</v>
      </c>
      <c r="B9567" s="64">
        <v>29216829.860539336</v>
      </c>
    </row>
    <row r="9568" spans="1:2" x14ac:dyDescent="0.25">
      <c r="A9568" s="65">
        <v>9567</v>
      </c>
      <c r="B9568" s="64">
        <v>29286944.438737132</v>
      </c>
    </row>
    <row r="9569" spans="1:2" x14ac:dyDescent="0.25">
      <c r="A9569" s="65">
        <v>9568</v>
      </c>
      <c r="B9569" s="64">
        <v>29219308.914078046</v>
      </c>
    </row>
    <row r="9570" spans="1:2" x14ac:dyDescent="0.25">
      <c r="A9570" s="65">
        <v>9569</v>
      </c>
      <c r="B9570" s="64">
        <v>28518641.373384055</v>
      </c>
    </row>
    <row r="9571" spans="1:2" x14ac:dyDescent="0.25">
      <c r="A9571" s="65">
        <v>9570</v>
      </c>
      <c r="B9571" s="64">
        <v>29298284.833219808</v>
      </c>
    </row>
    <row r="9572" spans="1:2" x14ac:dyDescent="0.25">
      <c r="A9572" s="65">
        <v>9571</v>
      </c>
      <c r="B9572" s="64">
        <v>28987627.341150999</v>
      </c>
    </row>
    <row r="9573" spans="1:2" x14ac:dyDescent="0.25">
      <c r="A9573" s="65">
        <v>9572</v>
      </c>
      <c r="B9573" s="64">
        <v>28530399.172654152</v>
      </c>
    </row>
    <row r="9574" spans="1:2" x14ac:dyDescent="0.25">
      <c r="A9574" s="65">
        <v>9573</v>
      </c>
      <c r="B9574" s="64">
        <v>28875471.06109247</v>
      </c>
    </row>
    <row r="9575" spans="1:2" x14ac:dyDescent="0.25">
      <c r="A9575" s="65">
        <v>9574</v>
      </c>
      <c r="B9575" s="64">
        <v>29318143.975443885</v>
      </c>
    </row>
    <row r="9576" spans="1:2" x14ac:dyDescent="0.25">
      <c r="A9576" s="65">
        <v>9575</v>
      </c>
      <c r="B9576" s="64">
        <v>33866044.131858893</v>
      </c>
    </row>
    <row r="9577" spans="1:2" x14ac:dyDescent="0.25">
      <c r="A9577" s="65">
        <v>9576</v>
      </c>
      <c r="B9577" s="64">
        <v>29363218.186492119</v>
      </c>
    </row>
    <row r="9578" spans="1:2" x14ac:dyDescent="0.25">
      <c r="A9578" s="65">
        <v>9577</v>
      </c>
      <c r="B9578" s="64">
        <v>29108853.427859664</v>
      </c>
    </row>
    <row r="9579" spans="1:2" x14ac:dyDescent="0.25">
      <c r="A9579" s="65">
        <v>9578</v>
      </c>
      <c r="B9579" s="64">
        <v>30432364.683736071</v>
      </c>
    </row>
    <row r="9580" spans="1:2" x14ac:dyDescent="0.25">
      <c r="A9580" s="65">
        <v>9579</v>
      </c>
      <c r="B9580" s="64">
        <v>29252419.199932568</v>
      </c>
    </row>
    <row r="9581" spans="1:2" x14ac:dyDescent="0.25">
      <c r="A9581" s="65">
        <v>9580</v>
      </c>
      <c r="B9581" s="64">
        <v>33093211.79481386</v>
      </c>
    </row>
    <row r="9582" spans="1:2" x14ac:dyDescent="0.25">
      <c r="A9582" s="65">
        <v>9581</v>
      </c>
      <c r="B9582" s="64">
        <v>29237902.286940653</v>
      </c>
    </row>
    <row r="9583" spans="1:2" x14ac:dyDescent="0.25">
      <c r="A9583" s="65">
        <v>9582</v>
      </c>
      <c r="B9583" s="64">
        <v>29180241.307145655</v>
      </c>
    </row>
    <row r="9584" spans="1:2" x14ac:dyDescent="0.25">
      <c r="A9584" s="65">
        <v>9583</v>
      </c>
      <c r="B9584" s="64">
        <v>29317477.840182841</v>
      </c>
    </row>
    <row r="9585" spans="1:2" x14ac:dyDescent="0.25">
      <c r="A9585" s="65">
        <v>9584</v>
      </c>
      <c r="B9585" s="64">
        <v>29592061.874067936</v>
      </c>
    </row>
    <row r="9586" spans="1:2" x14ac:dyDescent="0.25">
      <c r="A9586" s="65">
        <v>9585</v>
      </c>
      <c r="B9586" s="64">
        <v>28730473.502763972</v>
      </c>
    </row>
    <row r="9587" spans="1:2" x14ac:dyDescent="0.25">
      <c r="A9587" s="65">
        <v>9586</v>
      </c>
      <c r="B9587" s="64">
        <v>28864812.883628629</v>
      </c>
    </row>
    <row r="9588" spans="1:2" x14ac:dyDescent="0.25">
      <c r="A9588" s="65">
        <v>9587</v>
      </c>
      <c r="B9588" s="64">
        <v>29283308.104920242</v>
      </c>
    </row>
    <row r="9589" spans="1:2" x14ac:dyDescent="0.25">
      <c r="A9589" s="65">
        <v>9588</v>
      </c>
      <c r="B9589" s="64">
        <v>29313983.795702409</v>
      </c>
    </row>
    <row r="9590" spans="1:2" x14ac:dyDescent="0.25">
      <c r="A9590" s="65">
        <v>9589</v>
      </c>
      <c r="B9590" s="64">
        <v>28610573.879673138</v>
      </c>
    </row>
    <row r="9591" spans="1:2" x14ac:dyDescent="0.25">
      <c r="A9591" s="65">
        <v>9590</v>
      </c>
      <c r="B9591" s="64">
        <v>28646400.39402869</v>
      </c>
    </row>
    <row r="9592" spans="1:2" x14ac:dyDescent="0.25">
      <c r="A9592" s="65">
        <v>9591</v>
      </c>
      <c r="B9592" s="64">
        <v>29104619.236370053</v>
      </c>
    </row>
    <row r="9593" spans="1:2" x14ac:dyDescent="0.25">
      <c r="A9593" s="65">
        <v>9592</v>
      </c>
      <c r="B9593" s="64">
        <v>29320040.638352394</v>
      </c>
    </row>
    <row r="9594" spans="1:2" x14ac:dyDescent="0.25">
      <c r="A9594" s="65">
        <v>9593</v>
      </c>
      <c r="B9594" s="64">
        <v>30521092.923544265</v>
      </c>
    </row>
    <row r="9595" spans="1:2" x14ac:dyDescent="0.25">
      <c r="A9595" s="65">
        <v>9594</v>
      </c>
      <c r="B9595" s="64">
        <v>29907875.319576394</v>
      </c>
    </row>
    <row r="9596" spans="1:2" x14ac:dyDescent="0.25">
      <c r="A9596" s="65">
        <v>9595</v>
      </c>
      <c r="B9596" s="64">
        <v>28782874.648334082</v>
      </c>
    </row>
    <row r="9597" spans="1:2" x14ac:dyDescent="0.25">
      <c r="A9597" s="65">
        <v>9596</v>
      </c>
      <c r="B9597" s="64">
        <v>29099220.433855381</v>
      </c>
    </row>
    <row r="9598" spans="1:2" x14ac:dyDescent="0.25">
      <c r="A9598" s="65">
        <v>9597</v>
      </c>
      <c r="B9598" s="64">
        <v>28784818.117180593</v>
      </c>
    </row>
    <row r="9599" spans="1:2" x14ac:dyDescent="0.25">
      <c r="A9599" s="65">
        <v>9598</v>
      </c>
      <c r="B9599" s="64">
        <v>29354068.193987854</v>
      </c>
    </row>
    <row r="9600" spans="1:2" x14ac:dyDescent="0.25">
      <c r="A9600" s="65">
        <v>9599</v>
      </c>
      <c r="B9600" s="64">
        <v>31561075.675339874</v>
      </c>
    </row>
    <row r="9601" spans="1:2" x14ac:dyDescent="0.25">
      <c r="A9601" s="65">
        <v>9600</v>
      </c>
      <c r="B9601" s="64">
        <v>28921382.930677295</v>
      </c>
    </row>
    <row r="9602" spans="1:2" x14ac:dyDescent="0.25">
      <c r="A9602" s="65">
        <v>9601</v>
      </c>
      <c r="B9602" s="64">
        <v>28868601.393732239</v>
      </c>
    </row>
    <row r="9603" spans="1:2" x14ac:dyDescent="0.25">
      <c r="A9603" s="65">
        <v>9602</v>
      </c>
      <c r="B9603" s="64">
        <v>33212707.190578129</v>
      </c>
    </row>
    <row r="9604" spans="1:2" x14ac:dyDescent="0.25">
      <c r="A9604" s="65">
        <v>9603</v>
      </c>
      <c r="B9604" s="64">
        <v>29928026.745520383</v>
      </c>
    </row>
    <row r="9605" spans="1:2" x14ac:dyDescent="0.25">
      <c r="A9605" s="65">
        <v>9604</v>
      </c>
      <c r="B9605" s="64">
        <v>28645882.803443927</v>
      </c>
    </row>
    <row r="9606" spans="1:2" x14ac:dyDescent="0.25">
      <c r="A9606" s="65">
        <v>9605</v>
      </c>
      <c r="B9606" s="64">
        <v>29360654.657636087</v>
      </c>
    </row>
    <row r="9607" spans="1:2" x14ac:dyDescent="0.25">
      <c r="A9607" s="65">
        <v>9606</v>
      </c>
      <c r="B9607" s="64">
        <v>28581890.438489553</v>
      </c>
    </row>
    <row r="9608" spans="1:2" x14ac:dyDescent="0.25">
      <c r="A9608" s="65">
        <v>9607</v>
      </c>
      <c r="B9608" s="64">
        <v>29863040.936387714</v>
      </c>
    </row>
    <row r="9609" spans="1:2" x14ac:dyDescent="0.25">
      <c r="A9609" s="65">
        <v>9608</v>
      </c>
      <c r="B9609" s="64">
        <v>29411072.404340792</v>
      </c>
    </row>
    <row r="9610" spans="1:2" x14ac:dyDescent="0.25">
      <c r="A9610" s="65">
        <v>9609</v>
      </c>
      <c r="B9610" s="64">
        <v>29297811.738026254</v>
      </c>
    </row>
    <row r="9611" spans="1:2" x14ac:dyDescent="0.25">
      <c r="A9611" s="65">
        <v>9610</v>
      </c>
      <c r="B9611" s="64">
        <v>28955503.964989293</v>
      </c>
    </row>
    <row r="9612" spans="1:2" x14ac:dyDescent="0.25">
      <c r="A9612" s="65">
        <v>9611</v>
      </c>
      <c r="B9612" s="64">
        <v>28814079.306818098</v>
      </c>
    </row>
    <row r="9613" spans="1:2" x14ac:dyDescent="0.25">
      <c r="A9613" s="65">
        <v>9612</v>
      </c>
      <c r="B9613" s="64">
        <v>28913652.280027281</v>
      </c>
    </row>
    <row r="9614" spans="1:2" x14ac:dyDescent="0.25">
      <c r="A9614" s="65">
        <v>9613</v>
      </c>
      <c r="B9614" s="64">
        <v>28515268.60431473</v>
      </c>
    </row>
    <row r="9615" spans="1:2" x14ac:dyDescent="0.25">
      <c r="A9615" s="65">
        <v>9614</v>
      </c>
      <c r="B9615" s="64">
        <v>28953672.119721502</v>
      </c>
    </row>
    <row r="9616" spans="1:2" x14ac:dyDescent="0.25">
      <c r="A9616" s="65">
        <v>9615</v>
      </c>
      <c r="B9616" s="64">
        <v>30955056.580142438</v>
      </c>
    </row>
    <row r="9617" spans="1:2" x14ac:dyDescent="0.25">
      <c r="A9617" s="65">
        <v>9616</v>
      </c>
      <c r="B9617" s="64">
        <v>28468211.08569704</v>
      </c>
    </row>
    <row r="9618" spans="1:2" x14ac:dyDescent="0.25">
      <c r="A9618" s="65">
        <v>9617</v>
      </c>
      <c r="B9618" s="64">
        <v>29874507.293836869</v>
      </c>
    </row>
    <row r="9619" spans="1:2" x14ac:dyDescent="0.25">
      <c r="A9619" s="65">
        <v>9618</v>
      </c>
      <c r="B9619" s="64">
        <v>28814185.987959396</v>
      </c>
    </row>
    <row r="9620" spans="1:2" x14ac:dyDescent="0.25">
      <c r="A9620" s="65">
        <v>9619</v>
      </c>
      <c r="B9620" s="64">
        <v>28507521.914649133</v>
      </c>
    </row>
    <row r="9621" spans="1:2" x14ac:dyDescent="0.25">
      <c r="A9621" s="65">
        <v>9620</v>
      </c>
      <c r="B9621" s="64">
        <v>29195937.305120409</v>
      </c>
    </row>
    <row r="9622" spans="1:2" x14ac:dyDescent="0.25">
      <c r="A9622" s="65">
        <v>9621</v>
      </c>
      <c r="B9622" s="64">
        <v>29428483.453391742</v>
      </c>
    </row>
    <row r="9623" spans="1:2" x14ac:dyDescent="0.25">
      <c r="A9623" s="65">
        <v>9622</v>
      </c>
      <c r="B9623" s="64">
        <v>29246540.890867103</v>
      </c>
    </row>
    <row r="9624" spans="1:2" x14ac:dyDescent="0.25">
      <c r="A9624" s="65">
        <v>9623</v>
      </c>
      <c r="B9624" s="64">
        <v>30544714.692820866</v>
      </c>
    </row>
    <row r="9625" spans="1:2" x14ac:dyDescent="0.25">
      <c r="A9625" s="65">
        <v>9624</v>
      </c>
      <c r="B9625" s="64">
        <v>29701259.023648251</v>
      </c>
    </row>
    <row r="9626" spans="1:2" x14ac:dyDescent="0.25">
      <c r="A9626" s="65">
        <v>9625</v>
      </c>
      <c r="B9626" s="64">
        <v>28641462.900016449</v>
      </c>
    </row>
    <row r="9627" spans="1:2" x14ac:dyDescent="0.25">
      <c r="A9627" s="65">
        <v>9626</v>
      </c>
      <c r="B9627" s="64">
        <v>29094993.70614361</v>
      </c>
    </row>
    <row r="9628" spans="1:2" x14ac:dyDescent="0.25">
      <c r="A9628" s="65">
        <v>9627</v>
      </c>
      <c r="B9628" s="64">
        <v>29820731.651303444</v>
      </c>
    </row>
    <row r="9629" spans="1:2" x14ac:dyDescent="0.25">
      <c r="A9629" s="65">
        <v>9628</v>
      </c>
      <c r="B9629" s="64">
        <v>28929271.0597004</v>
      </c>
    </row>
    <row r="9630" spans="1:2" x14ac:dyDescent="0.25">
      <c r="A9630" s="65">
        <v>9629</v>
      </c>
      <c r="B9630" s="64">
        <v>29343941.85053888</v>
      </c>
    </row>
    <row r="9631" spans="1:2" x14ac:dyDescent="0.25">
      <c r="A9631" s="65">
        <v>9630</v>
      </c>
      <c r="B9631" s="64">
        <v>28614443.431362417</v>
      </c>
    </row>
    <row r="9632" spans="1:2" x14ac:dyDescent="0.25">
      <c r="A9632" s="65">
        <v>9631</v>
      </c>
      <c r="B9632" s="64">
        <v>29856860.533158004</v>
      </c>
    </row>
    <row r="9633" spans="1:2" x14ac:dyDescent="0.25">
      <c r="A9633" s="65">
        <v>9632</v>
      </c>
      <c r="B9633" s="64">
        <v>29579395.150101982</v>
      </c>
    </row>
    <row r="9634" spans="1:2" x14ac:dyDescent="0.25">
      <c r="A9634" s="65">
        <v>9633</v>
      </c>
      <c r="B9634" s="64">
        <v>29179255.491290048</v>
      </c>
    </row>
    <row r="9635" spans="1:2" x14ac:dyDescent="0.25">
      <c r="A9635" s="65">
        <v>9634</v>
      </c>
      <c r="B9635" s="64">
        <v>28621920.095345695</v>
      </c>
    </row>
    <row r="9636" spans="1:2" x14ac:dyDescent="0.25">
      <c r="A9636" s="65">
        <v>9635</v>
      </c>
      <c r="B9636" s="64">
        <v>28588746.107216656</v>
      </c>
    </row>
    <row r="9637" spans="1:2" x14ac:dyDescent="0.25">
      <c r="A9637" s="65">
        <v>9636</v>
      </c>
      <c r="B9637" s="64">
        <v>29149093.783956565</v>
      </c>
    </row>
    <row r="9638" spans="1:2" x14ac:dyDescent="0.25">
      <c r="A9638" s="65">
        <v>9637</v>
      </c>
      <c r="B9638" s="64">
        <v>30176567.975394528</v>
      </c>
    </row>
    <row r="9639" spans="1:2" x14ac:dyDescent="0.25">
      <c r="A9639" s="65">
        <v>9638</v>
      </c>
      <c r="B9639" s="64">
        <v>29985134.154443383</v>
      </c>
    </row>
    <row r="9640" spans="1:2" x14ac:dyDescent="0.25">
      <c r="A9640" s="65">
        <v>9639</v>
      </c>
      <c r="B9640" s="64">
        <v>28893241.330479503</v>
      </c>
    </row>
    <row r="9641" spans="1:2" x14ac:dyDescent="0.25">
      <c r="A9641" s="65">
        <v>9640</v>
      </c>
      <c r="B9641" s="64">
        <v>29874707.230925892</v>
      </c>
    </row>
    <row r="9642" spans="1:2" x14ac:dyDescent="0.25">
      <c r="A9642" s="65">
        <v>9641</v>
      </c>
      <c r="B9642" s="64">
        <v>29007437.134369388</v>
      </c>
    </row>
    <row r="9643" spans="1:2" x14ac:dyDescent="0.25">
      <c r="A9643" s="65">
        <v>9642</v>
      </c>
      <c r="B9643" s="64">
        <v>29438564.059112344</v>
      </c>
    </row>
    <row r="9644" spans="1:2" x14ac:dyDescent="0.25">
      <c r="A9644" s="65">
        <v>9643</v>
      </c>
      <c r="B9644" s="64">
        <v>33194894.244856145</v>
      </c>
    </row>
    <row r="9645" spans="1:2" x14ac:dyDescent="0.25">
      <c r="A9645" s="65">
        <v>9644</v>
      </c>
      <c r="B9645" s="64">
        <v>29719699.961762633</v>
      </c>
    </row>
    <row r="9646" spans="1:2" x14ac:dyDescent="0.25">
      <c r="A9646" s="65">
        <v>9645</v>
      </c>
      <c r="B9646" s="64">
        <v>28950386.000936735</v>
      </c>
    </row>
    <row r="9647" spans="1:2" x14ac:dyDescent="0.25">
      <c r="A9647" s="65">
        <v>9646</v>
      </c>
      <c r="B9647" s="64">
        <v>29030717.144673005</v>
      </c>
    </row>
    <row r="9648" spans="1:2" x14ac:dyDescent="0.25">
      <c r="A9648" s="65">
        <v>9647</v>
      </c>
      <c r="B9648" s="64">
        <v>28717679.873514153</v>
      </c>
    </row>
    <row r="9649" spans="1:2" x14ac:dyDescent="0.25">
      <c r="A9649" s="65">
        <v>9648</v>
      </c>
      <c r="B9649" s="64">
        <v>29925707.567135397</v>
      </c>
    </row>
    <row r="9650" spans="1:2" x14ac:dyDescent="0.25">
      <c r="A9650" s="65">
        <v>9649</v>
      </c>
      <c r="B9650" s="64">
        <v>29954353.163120735</v>
      </c>
    </row>
    <row r="9651" spans="1:2" x14ac:dyDescent="0.25">
      <c r="A9651" s="65">
        <v>9650</v>
      </c>
      <c r="B9651" s="64">
        <v>29527503.613348864</v>
      </c>
    </row>
    <row r="9652" spans="1:2" x14ac:dyDescent="0.25">
      <c r="A9652" s="65">
        <v>9651</v>
      </c>
      <c r="B9652" s="64">
        <v>29126117.624315631</v>
      </c>
    </row>
    <row r="9653" spans="1:2" x14ac:dyDescent="0.25">
      <c r="A9653" s="65">
        <v>9652</v>
      </c>
      <c r="B9653" s="64">
        <v>28964386.817075603</v>
      </c>
    </row>
    <row r="9654" spans="1:2" x14ac:dyDescent="0.25">
      <c r="A9654" s="65">
        <v>9653</v>
      </c>
      <c r="B9654" s="64">
        <v>29221583.263454493</v>
      </c>
    </row>
    <row r="9655" spans="1:2" x14ac:dyDescent="0.25">
      <c r="A9655" s="65">
        <v>9654</v>
      </c>
      <c r="B9655" s="64">
        <v>29110246.205006618</v>
      </c>
    </row>
    <row r="9656" spans="1:2" x14ac:dyDescent="0.25">
      <c r="A9656" s="65">
        <v>9655</v>
      </c>
      <c r="B9656" s="64">
        <v>29990135.517263394</v>
      </c>
    </row>
    <row r="9657" spans="1:2" x14ac:dyDescent="0.25">
      <c r="A9657" s="65">
        <v>9656</v>
      </c>
      <c r="B9657" s="64">
        <v>30021818.362229548</v>
      </c>
    </row>
    <row r="9658" spans="1:2" x14ac:dyDescent="0.25">
      <c r="A9658" s="65">
        <v>9657</v>
      </c>
      <c r="B9658" s="64">
        <v>29386051.431047801</v>
      </c>
    </row>
    <row r="9659" spans="1:2" x14ac:dyDescent="0.25">
      <c r="A9659" s="65">
        <v>9658</v>
      </c>
      <c r="B9659" s="64">
        <v>28846961.180291243</v>
      </c>
    </row>
    <row r="9660" spans="1:2" x14ac:dyDescent="0.25">
      <c r="A9660" s="65">
        <v>9659</v>
      </c>
      <c r="B9660" s="64">
        <v>30118989.246126942</v>
      </c>
    </row>
    <row r="9661" spans="1:2" x14ac:dyDescent="0.25">
      <c r="A9661" s="65">
        <v>9660</v>
      </c>
      <c r="B9661" s="64">
        <v>30449500.45326725</v>
      </c>
    </row>
    <row r="9662" spans="1:2" x14ac:dyDescent="0.25">
      <c r="A9662" s="65">
        <v>9661</v>
      </c>
      <c r="B9662" s="64">
        <v>28699266.11915645</v>
      </c>
    </row>
    <row r="9663" spans="1:2" x14ac:dyDescent="0.25">
      <c r="A9663" s="65">
        <v>9662</v>
      </c>
      <c r="B9663" s="64">
        <v>29794724.344153155</v>
      </c>
    </row>
    <row r="9664" spans="1:2" x14ac:dyDescent="0.25">
      <c r="A9664" s="65">
        <v>9663</v>
      </c>
      <c r="B9664" s="64">
        <v>28673869.87984607</v>
      </c>
    </row>
    <row r="9665" spans="1:2" x14ac:dyDescent="0.25">
      <c r="A9665" s="65">
        <v>9664</v>
      </c>
      <c r="B9665" s="64">
        <v>28889629.643412326</v>
      </c>
    </row>
    <row r="9666" spans="1:2" x14ac:dyDescent="0.25">
      <c r="A9666" s="65">
        <v>9665</v>
      </c>
      <c r="B9666" s="64">
        <v>28629501.136432894</v>
      </c>
    </row>
    <row r="9667" spans="1:2" x14ac:dyDescent="0.25">
      <c r="A9667" s="65">
        <v>9666</v>
      </c>
      <c r="B9667" s="64">
        <v>28498304.618070614</v>
      </c>
    </row>
    <row r="9668" spans="1:2" x14ac:dyDescent="0.25">
      <c r="A9668" s="65">
        <v>9667</v>
      </c>
      <c r="B9668" s="64">
        <v>29044995.702178869</v>
      </c>
    </row>
    <row r="9669" spans="1:2" x14ac:dyDescent="0.25">
      <c r="A9669" s="65">
        <v>9668</v>
      </c>
      <c r="B9669" s="64">
        <v>29629774.555725507</v>
      </c>
    </row>
    <row r="9670" spans="1:2" x14ac:dyDescent="0.25">
      <c r="A9670" s="65">
        <v>9669</v>
      </c>
      <c r="B9670" s="64">
        <v>28801518.052537877</v>
      </c>
    </row>
    <row r="9671" spans="1:2" x14ac:dyDescent="0.25">
      <c r="A9671" s="65">
        <v>9670</v>
      </c>
      <c r="B9671" s="64">
        <v>34002567.630401723</v>
      </c>
    </row>
    <row r="9672" spans="1:2" x14ac:dyDescent="0.25">
      <c r="A9672" s="65">
        <v>9671</v>
      </c>
      <c r="B9672" s="64">
        <v>33679062.989399612</v>
      </c>
    </row>
    <row r="9673" spans="1:2" x14ac:dyDescent="0.25">
      <c r="A9673" s="65">
        <v>9672</v>
      </c>
      <c r="B9673" s="64">
        <v>30703359.366167322</v>
      </c>
    </row>
    <row r="9674" spans="1:2" x14ac:dyDescent="0.25">
      <c r="A9674" s="65">
        <v>9673</v>
      </c>
      <c r="B9674" s="64">
        <v>30439318.12625093</v>
      </c>
    </row>
    <row r="9675" spans="1:2" x14ac:dyDescent="0.25">
      <c r="A9675" s="65">
        <v>9674</v>
      </c>
      <c r="B9675" s="64">
        <v>29972469.465074774</v>
      </c>
    </row>
    <row r="9676" spans="1:2" x14ac:dyDescent="0.25">
      <c r="A9676" s="65">
        <v>9675</v>
      </c>
      <c r="B9676" s="64">
        <v>30116828.031004954</v>
      </c>
    </row>
    <row r="9677" spans="1:2" x14ac:dyDescent="0.25">
      <c r="A9677" s="65">
        <v>9676</v>
      </c>
      <c r="B9677" s="64">
        <v>29190708.134950176</v>
      </c>
    </row>
    <row r="9678" spans="1:2" x14ac:dyDescent="0.25">
      <c r="A9678" s="65">
        <v>9677</v>
      </c>
      <c r="B9678" s="64">
        <v>30165839.703048319</v>
      </c>
    </row>
    <row r="9679" spans="1:2" x14ac:dyDescent="0.25">
      <c r="A9679" s="65">
        <v>9678</v>
      </c>
      <c r="B9679" s="64">
        <v>28560663.073748473</v>
      </c>
    </row>
    <row r="9680" spans="1:2" x14ac:dyDescent="0.25">
      <c r="A9680" s="65">
        <v>9679</v>
      </c>
      <c r="B9680" s="64">
        <v>28930347.79866793</v>
      </c>
    </row>
    <row r="9681" spans="1:2" x14ac:dyDescent="0.25">
      <c r="A9681" s="65">
        <v>9680</v>
      </c>
      <c r="B9681" s="64">
        <v>29631635.251048066</v>
      </c>
    </row>
    <row r="9682" spans="1:2" x14ac:dyDescent="0.25">
      <c r="A9682" s="65">
        <v>9681</v>
      </c>
      <c r="B9682" s="64">
        <v>28765301.028697561</v>
      </c>
    </row>
    <row r="9683" spans="1:2" x14ac:dyDescent="0.25">
      <c r="A9683" s="65">
        <v>9682</v>
      </c>
      <c r="B9683" s="64">
        <v>29050182.853695374</v>
      </c>
    </row>
    <row r="9684" spans="1:2" x14ac:dyDescent="0.25">
      <c r="A9684" s="65">
        <v>9683</v>
      </c>
      <c r="B9684" s="64">
        <v>29831684.728684895</v>
      </c>
    </row>
    <row r="9685" spans="1:2" x14ac:dyDescent="0.25">
      <c r="A9685" s="65">
        <v>9684</v>
      </c>
      <c r="B9685" s="64">
        <v>28513103.924138281</v>
      </c>
    </row>
    <row r="9686" spans="1:2" x14ac:dyDescent="0.25">
      <c r="A9686" s="65">
        <v>9685</v>
      </c>
      <c r="B9686" s="64">
        <v>29190434.781937614</v>
      </c>
    </row>
    <row r="9687" spans="1:2" x14ac:dyDescent="0.25">
      <c r="A9687" s="65">
        <v>9686</v>
      </c>
      <c r="B9687" s="64">
        <v>29506808.258565884</v>
      </c>
    </row>
    <row r="9688" spans="1:2" x14ac:dyDescent="0.25">
      <c r="A9688" s="65">
        <v>9687</v>
      </c>
      <c r="B9688" s="64">
        <v>29425737.403340951</v>
      </c>
    </row>
    <row r="9689" spans="1:2" x14ac:dyDescent="0.25">
      <c r="A9689" s="65">
        <v>9688</v>
      </c>
      <c r="B9689" s="64">
        <v>29295983.739902459</v>
      </c>
    </row>
    <row r="9690" spans="1:2" x14ac:dyDescent="0.25">
      <c r="A9690" s="65">
        <v>9689</v>
      </c>
      <c r="B9690" s="64">
        <v>34030677.547895111</v>
      </c>
    </row>
    <row r="9691" spans="1:2" x14ac:dyDescent="0.25">
      <c r="A9691" s="65">
        <v>9690</v>
      </c>
      <c r="B9691" s="64">
        <v>28730050.317582987</v>
      </c>
    </row>
    <row r="9692" spans="1:2" x14ac:dyDescent="0.25">
      <c r="A9692" s="65">
        <v>9691</v>
      </c>
      <c r="B9692" s="64">
        <v>28976031.498881821</v>
      </c>
    </row>
    <row r="9693" spans="1:2" x14ac:dyDescent="0.25">
      <c r="A9693" s="65">
        <v>9692</v>
      </c>
      <c r="B9693" s="64">
        <v>29047899.135516495</v>
      </c>
    </row>
    <row r="9694" spans="1:2" x14ac:dyDescent="0.25">
      <c r="A9694" s="65">
        <v>9693</v>
      </c>
      <c r="B9694" s="64">
        <v>28826358.836506516</v>
      </c>
    </row>
    <row r="9695" spans="1:2" x14ac:dyDescent="0.25">
      <c r="A9695" s="65">
        <v>9694</v>
      </c>
      <c r="B9695" s="64">
        <v>29057819.789261144</v>
      </c>
    </row>
    <row r="9696" spans="1:2" x14ac:dyDescent="0.25">
      <c r="A9696" s="65">
        <v>9695</v>
      </c>
      <c r="B9696" s="64">
        <v>28497071.001335662</v>
      </c>
    </row>
    <row r="9697" spans="1:2" x14ac:dyDescent="0.25">
      <c r="A9697" s="65">
        <v>9696</v>
      </c>
      <c r="B9697" s="64">
        <v>29030276.725542679</v>
      </c>
    </row>
    <row r="9698" spans="1:2" x14ac:dyDescent="0.25">
      <c r="A9698" s="65">
        <v>9697</v>
      </c>
      <c r="B9698" s="64">
        <v>28999950.829053376</v>
      </c>
    </row>
    <row r="9699" spans="1:2" x14ac:dyDescent="0.25">
      <c r="A9699" s="65">
        <v>9698</v>
      </c>
      <c r="B9699" s="64">
        <v>29005516.76037569</v>
      </c>
    </row>
    <row r="9700" spans="1:2" x14ac:dyDescent="0.25">
      <c r="A9700" s="65">
        <v>9699</v>
      </c>
      <c r="B9700" s="64">
        <v>28733591.342284944</v>
      </c>
    </row>
    <row r="9701" spans="1:2" x14ac:dyDescent="0.25">
      <c r="A9701" s="65">
        <v>9700</v>
      </c>
      <c r="B9701" s="64">
        <v>28636177.317198552</v>
      </c>
    </row>
    <row r="9702" spans="1:2" x14ac:dyDescent="0.25">
      <c r="A9702" s="65">
        <v>9701</v>
      </c>
      <c r="B9702" s="64">
        <v>29984085.739984993</v>
      </c>
    </row>
    <row r="9703" spans="1:2" x14ac:dyDescent="0.25">
      <c r="A9703" s="65">
        <v>9702</v>
      </c>
      <c r="B9703" s="64">
        <v>29171655.216759421</v>
      </c>
    </row>
    <row r="9704" spans="1:2" x14ac:dyDescent="0.25">
      <c r="A9704" s="65">
        <v>9703</v>
      </c>
      <c r="B9704" s="64">
        <v>28611785.595886476</v>
      </c>
    </row>
    <row r="9705" spans="1:2" x14ac:dyDescent="0.25">
      <c r="A9705" s="65">
        <v>9704</v>
      </c>
      <c r="B9705" s="64">
        <v>29050326.686427619</v>
      </c>
    </row>
    <row r="9706" spans="1:2" x14ac:dyDescent="0.25">
      <c r="A9706" s="65">
        <v>9705</v>
      </c>
      <c r="B9706" s="64">
        <v>28742105.819791429</v>
      </c>
    </row>
    <row r="9707" spans="1:2" x14ac:dyDescent="0.25">
      <c r="A9707" s="65">
        <v>9706</v>
      </c>
      <c r="B9707" s="64">
        <v>29040944.354236286</v>
      </c>
    </row>
    <row r="9708" spans="1:2" x14ac:dyDescent="0.25">
      <c r="A9708" s="65">
        <v>9707</v>
      </c>
      <c r="B9708" s="64">
        <v>29902026.626978308</v>
      </c>
    </row>
    <row r="9709" spans="1:2" x14ac:dyDescent="0.25">
      <c r="A9709" s="65">
        <v>9708</v>
      </c>
      <c r="B9709" s="64">
        <v>30444661.887564119</v>
      </c>
    </row>
    <row r="9710" spans="1:2" x14ac:dyDescent="0.25">
      <c r="A9710" s="65">
        <v>9709</v>
      </c>
      <c r="B9710" s="64">
        <v>28688723.476574775</v>
      </c>
    </row>
    <row r="9711" spans="1:2" x14ac:dyDescent="0.25">
      <c r="A9711" s="65">
        <v>9710</v>
      </c>
      <c r="B9711" s="64">
        <v>29042573.052878499</v>
      </c>
    </row>
    <row r="9712" spans="1:2" x14ac:dyDescent="0.25">
      <c r="A9712" s="65">
        <v>9711</v>
      </c>
      <c r="B9712" s="64">
        <v>28824292.087788995</v>
      </c>
    </row>
    <row r="9713" spans="1:2" x14ac:dyDescent="0.25">
      <c r="A9713" s="65">
        <v>9712</v>
      </c>
      <c r="B9713" s="64">
        <v>28757036.597097743</v>
      </c>
    </row>
    <row r="9714" spans="1:2" x14ac:dyDescent="0.25">
      <c r="A9714" s="65">
        <v>9713</v>
      </c>
      <c r="B9714" s="64">
        <v>28730942.967041709</v>
      </c>
    </row>
    <row r="9715" spans="1:2" x14ac:dyDescent="0.25">
      <c r="A9715" s="65">
        <v>9714</v>
      </c>
      <c r="B9715" s="64">
        <v>28849945.228163861</v>
      </c>
    </row>
    <row r="9716" spans="1:2" x14ac:dyDescent="0.25">
      <c r="A9716" s="65">
        <v>9715</v>
      </c>
      <c r="B9716" s="64">
        <v>29431488.585159808</v>
      </c>
    </row>
    <row r="9717" spans="1:2" x14ac:dyDescent="0.25">
      <c r="A9717" s="65">
        <v>9716</v>
      </c>
      <c r="B9717" s="64">
        <v>29541546.109760404</v>
      </c>
    </row>
    <row r="9718" spans="1:2" x14ac:dyDescent="0.25">
      <c r="A9718" s="65">
        <v>9717</v>
      </c>
      <c r="B9718" s="64">
        <v>28679972.222606421</v>
      </c>
    </row>
    <row r="9719" spans="1:2" x14ac:dyDescent="0.25">
      <c r="A9719" s="65">
        <v>9718</v>
      </c>
      <c r="B9719" s="64">
        <v>28903164.440315709</v>
      </c>
    </row>
    <row r="9720" spans="1:2" x14ac:dyDescent="0.25">
      <c r="A9720" s="65">
        <v>9719</v>
      </c>
      <c r="B9720" s="64">
        <v>29578532.269797616</v>
      </c>
    </row>
    <row r="9721" spans="1:2" x14ac:dyDescent="0.25">
      <c r="A9721" s="65">
        <v>9720</v>
      </c>
      <c r="B9721" s="64">
        <v>28531532.519636076</v>
      </c>
    </row>
    <row r="9722" spans="1:2" x14ac:dyDescent="0.25">
      <c r="A9722" s="65">
        <v>9721</v>
      </c>
      <c r="B9722" s="64">
        <v>32374042.632953528</v>
      </c>
    </row>
    <row r="9723" spans="1:2" x14ac:dyDescent="0.25">
      <c r="A9723" s="65">
        <v>9722</v>
      </c>
      <c r="B9723" s="64">
        <v>30255077.99206033</v>
      </c>
    </row>
    <row r="9724" spans="1:2" x14ac:dyDescent="0.25">
      <c r="A9724" s="65">
        <v>9723</v>
      </c>
      <c r="B9724" s="64">
        <v>29324978.151250292</v>
      </c>
    </row>
    <row r="9725" spans="1:2" x14ac:dyDescent="0.25">
      <c r="A9725" s="65">
        <v>9724</v>
      </c>
      <c r="B9725" s="64">
        <v>29279770.185458176</v>
      </c>
    </row>
    <row r="9726" spans="1:2" x14ac:dyDescent="0.25">
      <c r="A9726" s="65">
        <v>9725</v>
      </c>
      <c r="B9726" s="64">
        <v>30018853.130945228</v>
      </c>
    </row>
    <row r="9727" spans="1:2" x14ac:dyDescent="0.25">
      <c r="A9727" s="65">
        <v>9726</v>
      </c>
      <c r="B9727" s="64">
        <v>30341852.941697869</v>
      </c>
    </row>
    <row r="9728" spans="1:2" x14ac:dyDescent="0.25">
      <c r="A9728" s="65">
        <v>9727</v>
      </c>
      <c r="B9728" s="64">
        <v>34400519.420423724</v>
      </c>
    </row>
    <row r="9729" spans="1:2" x14ac:dyDescent="0.25">
      <c r="A9729" s="65">
        <v>9728</v>
      </c>
      <c r="B9729" s="64">
        <v>28717342.006469537</v>
      </c>
    </row>
    <row r="9730" spans="1:2" x14ac:dyDescent="0.25">
      <c r="A9730" s="65">
        <v>9729</v>
      </c>
      <c r="B9730" s="64">
        <v>29339173.900002692</v>
      </c>
    </row>
    <row r="9731" spans="1:2" x14ac:dyDescent="0.25">
      <c r="A9731" s="65">
        <v>9730</v>
      </c>
      <c r="B9731" s="64">
        <v>29199751.77731882</v>
      </c>
    </row>
    <row r="9732" spans="1:2" x14ac:dyDescent="0.25">
      <c r="A9732" s="65">
        <v>9731</v>
      </c>
      <c r="B9732" s="64">
        <v>28890797.147117671</v>
      </c>
    </row>
    <row r="9733" spans="1:2" x14ac:dyDescent="0.25">
      <c r="A9733" s="65">
        <v>9732</v>
      </c>
      <c r="B9733" s="64">
        <v>29394839.780246299</v>
      </c>
    </row>
    <row r="9734" spans="1:2" x14ac:dyDescent="0.25">
      <c r="A9734" s="65">
        <v>9733</v>
      </c>
      <c r="B9734" s="64">
        <v>29495602.504242886</v>
      </c>
    </row>
    <row r="9735" spans="1:2" x14ac:dyDescent="0.25">
      <c r="A9735" s="65">
        <v>9734</v>
      </c>
      <c r="B9735" s="64">
        <v>30852402.498883273</v>
      </c>
    </row>
    <row r="9736" spans="1:2" x14ac:dyDescent="0.25">
      <c r="A9736" s="65">
        <v>9735</v>
      </c>
      <c r="B9736" s="64">
        <v>28880112.60687555</v>
      </c>
    </row>
    <row r="9737" spans="1:2" x14ac:dyDescent="0.25">
      <c r="A9737" s="65">
        <v>9736</v>
      </c>
      <c r="B9737" s="64">
        <v>28505301.662667219</v>
      </c>
    </row>
    <row r="9738" spans="1:2" x14ac:dyDescent="0.25">
      <c r="A9738" s="65">
        <v>9737</v>
      </c>
      <c r="B9738" s="64">
        <v>31316769.930139419</v>
      </c>
    </row>
    <row r="9739" spans="1:2" x14ac:dyDescent="0.25">
      <c r="A9739" s="65">
        <v>9738</v>
      </c>
      <c r="B9739" s="64">
        <v>29609885.052899167</v>
      </c>
    </row>
    <row r="9740" spans="1:2" x14ac:dyDescent="0.25">
      <c r="A9740" s="65">
        <v>9739</v>
      </c>
      <c r="B9740" s="64">
        <v>28719012.539511826</v>
      </c>
    </row>
    <row r="9741" spans="1:2" x14ac:dyDescent="0.25">
      <c r="A9741" s="65">
        <v>9740</v>
      </c>
      <c r="B9741" s="64">
        <v>29402226.407563124</v>
      </c>
    </row>
    <row r="9742" spans="1:2" x14ac:dyDescent="0.25">
      <c r="A9742" s="65">
        <v>9741</v>
      </c>
      <c r="B9742" s="64">
        <v>29930474.794362966</v>
      </c>
    </row>
    <row r="9743" spans="1:2" x14ac:dyDescent="0.25">
      <c r="A9743" s="65">
        <v>9742</v>
      </c>
      <c r="B9743" s="64">
        <v>29829790.075292114</v>
      </c>
    </row>
    <row r="9744" spans="1:2" x14ac:dyDescent="0.25">
      <c r="A9744" s="65">
        <v>9743</v>
      </c>
      <c r="B9744" s="64">
        <v>28695133.919743549</v>
      </c>
    </row>
    <row r="9745" spans="1:2" x14ac:dyDescent="0.25">
      <c r="A9745" s="65">
        <v>9744</v>
      </c>
      <c r="B9745" s="64">
        <v>28618741.968542721</v>
      </c>
    </row>
    <row r="9746" spans="1:2" x14ac:dyDescent="0.25">
      <c r="A9746" s="65">
        <v>9745</v>
      </c>
      <c r="B9746" s="64">
        <v>29979944.389987938</v>
      </c>
    </row>
    <row r="9747" spans="1:2" x14ac:dyDescent="0.25">
      <c r="A9747" s="65">
        <v>9746</v>
      </c>
      <c r="B9747" s="64">
        <v>28466598.279529259</v>
      </c>
    </row>
    <row r="9748" spans="1:2" x14ac:dyDescent="0.25">
      <c r="A9748" s="65">
        <v>9747</v>
      </c>
      <c r="B9748" s="64">
        <v>29821883.025091197</v>
      </c>
    </row>
    <row r="9749" spans="1:2" x14ac:dyDescent="0.25">
      <c r="A9749" s="65">
        <v>9748</v>
      </c>
      <c r="B9749" s="64">
        <v>28493026.226196606</v>
      </c>
    </row>
    <row r="9750" spans="1:2" x14ac:dyDescent="0.25">
      <c r="A9750" s="65">
        <v>9749</v>
      </c>
      <c r="B9750" s="64">
        <v>29040439.606213711</v>
      </c>
    </row>
    <row r="9751" spans="1:2" x14ac:dyDescent="0.25">
      <c r="A9751" s="65">
        <v>9750</v>
      </c>
      <c r="B9751" s="64">
        <v>28855647.363375053</v>
      </c>
    </row>
    <row r="9752" spans="1:2" x14ac:dyDescent="0.25">
      <c r="A9752" s="65">
        <v>9751</v>
      </c>
      <c r="B9752" s="64">
        <v>29708621.593655452</v>
      </c>
    </row>
    <row r="9753" spans="1:2" x14ac:dyDescent="0.25">
      <c r="A9753" s="65">
        <v>9752</v>
      </c>
      <c r="B9753" s="64">
        <v>30550246.902391445</v>
      </c>
    </row>
    <row r="9754" spans="1:2" x14ac:dyDescent="0.25">
      <c r="A9754" s="65">
        <v>9753</v>
      </c>
      <c r="B9754" s="64">
        <v>28798499.039854482</v>
      </c>
    </row>
    <row r="9755" spans="1:2" x14ac:dyDescent="0.25">
      <c r="A9755" s="65">
        <v>9754</v>
      </c>
      <c r="B9755" s="64">
        <v>28873138.330087144</v>
      </c>
    </row>
    <row r="9756" spans="1:2" x14ac:dyDescent="0.25">
      <c r="A9756" s="65">
        <v>9755</v>
      </c>
      <c r="B9756" s="64">
        <v>28723866.558344748</v>
      </c>
    </row>
    <row r="9757" spans="1:2" x14ac:dyDescent="0.25">
      <c r="A9757" s="65">
        <v>9756</v>
      </c>
      <c r="B9757" s="64">
        <v>29399728.48495603</v>
      </c>
    </row>
    <row r="9758" spans="1:2" x14ac:dyDescent="0.25">
      <c r="A9758" s="65">
        <v>9757</v>
      </c>
      <c r="B9758" s="64">
        <v>28759683.838873245</v>
      </c>
    </row>
    <row r="9759" spans="1:2" x14ac:dyDescent="0.25">
      <c r="A9759" s="65">
        <v>9758</v>
      </c>
      <c r="B9759" s="64">
        <v>30317875.906076439</v>
      </c>
    </row>
    <row r="9760" spans="1:2" x14ac:dyDescent="0.25">
      <c r="A9760" s="65">
        <v>9759</v>
      </c>
      <c r="B9760" s="64">
        <v>29164317.859256987</v>
      </c>
    </row>
    <row r="9761" spans="1:2" x14ac:dyDescent="0.25">
      <c r="A9761" s="65">
        <v>9760</v>
      </c>
      <c r="B9761" s="64">
        <v>28774972.005653344</v>
      </c>
    </row>
    <row r="9762" spans="1:2" x14ac:dyDescent="0.25">
      <c r="A9762" s="65">
        <v>9761</v>
      </c>
      <c r="B9762" s="64">
        <v>34241715.916671343</v>
      </c>
    </row>
    <row r="9763" spans="1:2" x14ac:dyDescent="0.25">
      <c r="A9763" s="65">
        <v>9762</v>
      </c>
      <c r="B9763" s="64">
        <v>29072976.747296628</v>
      </c>
    </row>
    <row r="9764" spans="1:2" x14ac:dyDescent="0.25">
      <c r="A9764" s="65">
        <v>9763</v>
      </c>
      <c r="B9764" s="64">
        <v>29245514.670051351</v>
      </c>
    </row>
    <row r="9765" spans="1:2" x14ac:dyDescent="0.25">
      <c r="A9765" s="65">
        <v>9764</v>
      </c>
      <c r="B9765" s="64">
        <v>29152895.031994805</v>
      </c>
    </row>
    <row r="9766" spans="1:2" x14ac:dyDescent="0.25">
      <c r="A9766" s="65">
        <v>9765</v>
      </c>
      <c r="B9766" s="64">
        <v>28908427.49728857</v>
      </c>
    </row>
    <row r="9767" spans="1:2" x14ac:dyDescent="0.25">
      <c r="A9767" s="65">
        <v>9766</v>
      </c>
      <c r="B9767" s="64">
        <v>33624613.910739005</v>
      </c>
    </row>
    <row r="9768" spans="1:2" x14ac:dyDescent="0.25">
      <c r="A9768" s="65">
        <v>9767</v>
      </c>
      <c r="B9768" s="64">
        <v>30072557.472039908</v>
      </c>
    </row>
    <row r="9769" spans="1:2" x14ac:dyDescent="0.25">
      <c r="A9769" s="65">
        <v>9768</v>
      </c>
      <c r="B9769" s="64">
        <v>29243541.201731082</v>
      </c>
    </row>
    <row r="9770" spans="1:2" x14ac:dyDescent="0.25">
      <c r="A9770" s="65">
        <v>9769</v>
      </c>
      <c r="B9770" s="64">
        <v>28569351.15503959</v>
      </c>
    </row>
    <row r="9771" spans="1:2" x14ac:dyDescent="0.25">
      <c r="A9771" s="65">
        <v>9770</v>
      </c>
      <c r="B9771" s="64">
        <v>30268707.414597869</v>
      </c>
    </row>
    <row r="9772" spans="1:2" x14ac:dyDescent="0.25">
      <c r="A9772" s="65">
        <v>9771</v>
      </c>
      <c r="B9772" s="64">
        <v>28927460.019570678</v>
      </c>
    </row>
    <row r="9773" spans="1:2" x14ac:dyDescent="0.25">
      <c r="A9773" s="65">
        <v>9772</v>
      </c>
      <c r="B9773" s="64">
        <v>30261086.348463248</v>
      </c>
    </row>
    <row r="9774" spans="1:2" x14ac:dyDescent="0.25">
      <c r="A9774" s="65">
        <v>9773</v>
      </c>
      <c r="B9774" s="64">
        <v>28879071.412807424</v>
      </c>
    </row>
    <row r="9775" spans="1:2" x14ac:dyDescent="0.25">
      <c r="A9775" s="65">
        <v>9774</v>
      </c>
      <c r="B9775" s="64">
        <v>29657962.219473828</v>
      </c>
    </row>
    <row r="9776" spans="1:2" x14ac:dyDescent="0.25">
      <c r="A9776" s="65">
        <v>9775</v>
      </c>
      <c r="B9776" s="64">
        <v>28979079.813488923</v>
      </c>
    </row>
    <row r="9777" spans="1:2" x14ac:dyDescent="0.25">
      <c r="A9777" s="65">
        <v>9776</v>
      </c>
      <c r="B9777" s="64">
        <v>29822288.907611046</v>
      </c>
    </row>
    <row r="9778" spans="1:2" x14ac:dyDescent="0.25">
      <c r="A9778" s="65">
        <v>9777</v>
      </c>
      <c r="B9778" s="64">
        <v>29117315.838407755</v>
      </c>
    </row>
    <row r="9779" spans="1:2" x14ac:dyDescent="0.25">
      <c r="A9779" s="65">
        <v>9778</v>
      </c>
      <c r="B9779" s="64">
        <v>29296486.080297846</v>
      </c>
    </row>
    <row r="9780" spans="1:2" x14ac:dyDescent="0.25">
      <c r="A9780" s="65">
        <v>9779</v>
      </c>
      <c r="B9780" s="64">
        <v>28589601.913219225</v>
      </c>
    </row>
    <row r="9781" spans="1:2" x14ac:dyDescent="0.25">
      <c r="A9781" s="65">
        <v>9780</v>
      </c>
      <c r="B9781" s="64">
        <v>30504188.915471662</v>
      </c>
    </row>
    <row r="9782" spans="1:2" x14ac:dyDescent="0.25">
      <c r="A9782" s="65">
        <v>9781</v>
      </c>
      <c r="B9782" s="64">
        <v>29799594.242144585</v>
      </c>
    </row>
    <row r="9783" spans="1:2" x14ac:dyDescent="0.25">
      <c r="A9783" s="65">
        <v>9782</v>
      </c>
      <c r="B9783" s="64">
        <v>31158603.585934088</v>
      </c>
    </row>
    <row r="9784" spans="1:2" x14ac:dyDescent="0.25">
      <c r="A9784" s="65">
        <v>9783</v>
      </c>
      <c r="B9784" s="64">
        <v>28604778.428441744</v>
      </c>
    </row>
    <row r="9785" spans="1:2" x14ac:dyDescent="0.25">
      <c r="A9785" s="65">
        <v>9784</v>
      </c>
      <c r="B9785" s="64">
        <v>30295072.448167998</v>
      </c>
    </row>
    <row r="9786" spans="1:2" x14ac:dyDescent="0.25">
      <c r="A9786" s="65">
        <v>9785</v>
      </c>
      <c r="B9786" s="64">
        <v>28930670.007319637</v>
      </c>
    </row>
    <row r="9787" spans="1:2" x14ac:dyDescent="0.25">
      <c r="A9787" s="65">
        <v>9786</v>
      </c>
      <c r="B9787" s="64">
        <v>31214670.884313896</v>
      </c>
    </row>
    <row r="9788" spans="1:2" x14ac:dyDescent="0.25">
      <c r="A9788" s="65">
        <v>9787</v>
      </c>
      <c r="B9788" s="64">
        <v>28657245.941504695</v>
      </c>
    </row>
    <row r="9789" spans="1:2" x14ac:dyDescent="0.25">
      <c r="A9789" s="65">
        <v>9788</v>
      </c>
      <c r="B9789" s="64">
        <v>33610796.304516897</v>
      </c>
    </row>
    <row r="9790" spans="1:2" x14ac:dyDescent="0.25">
      <c r="A9790" s="65">
        <v>9789</v>
      </c>
      <c r="B9790" s="64">
        <v>29149951.233888064</v>
      </c>
    </row>
    <row r="9791" spans="1:2" x14ac:dyDescent="0.25">
      <c r="A9791" s="65">
        <v>9790</v>
      </c>
      <c r="B9791" s="64">
        <v>29680020.820764396</v>
      </c>
    </row>
    <row r="9792" spans="1:2" x14ac:dyDescent="0.25">
      <c r="A9792" s="65">
        <v>9791</v>
      </c>
      <c r="B9792" s="64">
        <v>29616086.525519121</v>
      </c>
    </row>
    <row r="9793" spans="1:2" x14ac:dyDescent="0.25">
      <c r="A9793" s="65">
        <v>9792</v>
      </c>
      <c r="B9793" s="64">
        <v>29342042.442808405</v>
      </c>
    </row>
    <row r="9794" spans="1:2" x14ac:dyDescent="0.25">
      <c r="A9794" s="65">
        <v>9793</v>
      </c>
      <c r="B9794" s="64">
        <v>28804829.221235421</v>
      </c>
    </row>
    <row r="9795" spans="1:2" x14ac:dyDescent="0.25">
      <c r="A9795" s="65">
        <v>9794</v>
      </c>
      <c r="B9795" s="64">
        <v>29555429.496036351</v>
      </c>
    </row>
    <row r="9796" spans="1:2" x14ac:dyDescent="0.25">
      <c r="A9796" s="65">
        <v>9795</v>
      </c>
      <c r="B9796" s="64">
        <v>28663047.555188838</v>
      </c>
    </row>
    <row r="9797" spans="1:2" x14ac:dyDescent="0.25">
      <c r="A9797" s="65">
        <v>9796</v>
      </c>
      <c r="B9797" s="64">
        <v>28781433.897952456</v>
      </c>
    </row>
    <row r="9798" spans="1:2" x14ac:dyDescent="0.25">
      <c r="A9798" s="65">
        <v>9797</v>
      </c>
      <c r="B9798" s="64">
        <v>29523947.424211822</v>
      </c>
    </row>
    <row r="9799" spans="1:2" x14ac:dyDescent="0.25">
      <c r="A9799" s="65">
        <v>9798</v>
      </c>
      <c r="B9799" s="64">
        <v>29037606.343636177</v>
      </c>
    </row>
    <row r="9800" spans="1:2" x14ac:dyDescent="0.25">
      <c r="A9800" s="65">
        <v>9799</v>
      </c>
      <c r="B9800" s="64">
        <v>28628143.038072705</v>
      </c>
    </row>
    <row r="9801" spans="1:2" x14ac:dyDescent="0.25">
      <c r="A9801" s="65">
        <v>9800</v>
      </c>
      <c r="B9801" s="64">
        <v>28948289.977216702</v>
      </c>
    </row>
    <row r="9802" spans="1:2" x14ac:dyDescent="0.25">
      <c r="A9802" s="65">
        <v>9801</v>
      </c>
      <c r="B9802" s="64">
        <v>29534251.673813988</v>
      </c>
    </row>
    <row r="9803" spans="1:2" x14ac:dyDescent="0.25">
      <c r="A9803" s="65">
        <v>9802</v>
      </c>
      <c r="B9803" s="64">
        <v>28580930.54564134</v>
      </c>
    </row>
    <row r="9804" spans="1:2" x14ac:dyDescent="0.25">
      <c r="A9804" s="65">
        <v>9803</v>
      </c>
      <c r="B9804" s="64">
        <v>28796724.632354826</v>
      </c>
    </row>
    <row r="9805" spans="1:2" x14ac:dyDescent="0.25">
      <c r="A9805" s="65">
        <v>9804</v>
      </c>
      <c r="B9805" s="64">
        <v>28975972.966681201</v>
      </c>
    </row>
    <row r="9806" spans="1:2" x14ac:dyDescent="0.25">
      <c r="A9806" s="65">
        <v>9805</v>
      </c>
      <c r="B9806" s="64">
        <v>29141364.446781833</v>
      </c>
    </row>
    <row r="9807" spans="1:2" x14ac:dyDescent="0.25">
      <c r="A9807" s="65">
        <v>9806</v>
      </c>
      <c r="B9807" s="64">
        <v>29755500.132082477</v>
      </c>
    </row>
    <row r="9808" spans="1:2" x14ac:dyDescent="0.25">
      <c r="A9808" s="65">
        <v>9807</v>
      </c>
      <c r="B9808" s="64">
        <v>29668446.739272632</v>
      </c>
    </row>
    <row r="9809" spans="1:2" x14ac:dyDescent="0.25">
      <c r="A9809" s="65">
        <v>9808</v>
      </c>
      <c r="B9809" s="64">
        <v>28942763.362520467</v>
      </c>
    </row>
    <row r="9810" spans="1:2" x14ac:dyDescent="0.25">
      <c r="A9810" s="65">
        <v>9809</v>
      </c>
      <c r="B9810" s="64">
        <v>29428558.647824541</v>
      </c>
    </row>
    <row r="9811" spans="1:2" x14ac:dyDescent="0.25">
      <c r="A9811" s="65">
        <v>9810</v>
      </c>
      <c r="B9811" s="64">
        <v>29081912.749912266</v>
      </c>
    </row>
    <row r="9812" spans="1:2" x14ac:dyDescent="0.25">
      <c r="A9812" s="65">
        <v>9811</v>
      </c>
      <c r="B9812" s="64">
        <v>30410449.281917665</v>
      </c>
    </row>
    <row r="9813" spans="1:2" x14ac:dyDescent="0.25">
      <c r="A9813" s="65">
        <v>9812</v>
      </c>
      <c r="B9813" s="64">
        <v>29755067.128740065</v>
      </c>
    </row>
    <row r="9814" spans="1:2" x14ac:dyDescent="0.25">
      <c r="A9814" s="65">
        <v>9813</v>
      </c>
      <c r="B9814" s="64">
        <v>28797862.399065509</v>
      </c>
    </row>
    <row r="9815" spans="1:2" x14ac:dyDescent="0.25">
      <c r="A9815" s="65">
        <v>9814</v>
      </c>
      <c r="B9815" s="64">
        <v>29229762.980227932</v>
      </c>
    </row>
    <row r="9816" spans="1:2" x14ac:dyDescent="0.25">
      <c r="A9816" s="65">
        <v>9815</v>
      </c>
      <c r="B9816" s="64">
        <v>28830161.036296219</v>
      </c>
    </row>
    <row r="9817" spans="1:2" x14ac:dyDescent="0.25">
      <c r="A9817" s="65">
        <v>9816</v>
      </c>
      <c r="B9817" s="64">
        <v>30111137.945627525</v>
      </c>
    </row>
    <row r="9818" spans="1:2" x14ac:dyDescent="0.25">
      <c r="A9818" s="65">
        <v>9817</v>
      </c>
      <c r="B9818" s="64">
        <v>28522936.996127509</v>
      </c>
    </row>
    <row r="9819" spans="1:2" x14ac:dyDescent="0.25">
      <c r="A9819" s="65">
        <v>9818</v>
      </c>
      <c r="B9819" s="64">
        <v>29038114.697264336</v>
      </c>
    </row>
    <row r="9820" spans="1:2" x14ac:dyDescent="0.25">
      <c r="A9820" s="65">
        <v>9819</v>
      </c>
      <c r="B9820" s="64">
        <v>33329200.152904466</v>
      </c>
    </row>
    <row r="9821" spans="1:2" x14ac:dyDescent="0.25">
      <c r="A9821" s="65">
        <v>9820</v>
      </c>
      <c r="B9821" s="64">
        <v>28724218.415428087</v>
      </c>
    </row>
    <row r="9822" spans="1:2" x14ac:dyDescent="0.25">
      <c r="A9822" s="65">
        <v>9821</v>
      </c>
      <c r="B9822" s="64">
        <v>29651804.081199817</v>
      </c>
    </row>
    <row r="9823" spans="1:2" x14ac:dyDescent="0.25">
      <c r="A9823" s="65">
        <v>9822</v>
      </c>
      <c r="B9823" s="64">
        <v>31182351.401772816</v>
      </c>
    </row>
    <row r="9824" spans="1:2" x14ac:dyDescent="0.25">
      <c r="A9824" s="65">
        <v>9823</v>
      </c>
      <c r="B9824" s="64">
        <v>30160576.516243283</v>
      </c>
    </row>
    <row r="9825" spans="1:2" x14ac:dyDescent="0.25">
      <c r="A9825" s="65">
        <v>9824</v>
      </c>
      <c r="B9825" s="64">
        <v>28821543.041490708</v>
      </c>
    </row>
    <row r="9826" spans="1:2" x14ac:dyDescent="0.25">
      <c r="A9826" s="65">
        <v>9825</v>
      </c>
      <c r="B9826" s="64">
        <v>28696399.387840893</v>
      </c>
    </row>
    <row r="9827" spans="1:2" x14ac:dyDescent="0.25">
      <c r="A9827" s="65">
        <v>9826</v>
      </c>
      <c r="B9827" s="64">
        <v>29152421.181656793</v>
      </c>
    </row>
    <row r="9828" spans="1:2" x14ac:dyDescent="0.25">
      <c r="A9828" s="65">
        <v>9827</v>
      </c>
      <c r="B9828" s="64">
        <v>29649565.769155137</v>
      </c>
    </row>
    <row r="9829" spans="1:2" x14ac:dyDescent="0.25">
      <c r="A9829" s="65">
        <v>9828</v>
      </c>
      <c r="B9829" s="64">
        <v>29570519.661622871</v>
      </c>
    </row>
    <row r="9830" spans="1:2" x14ac:dyDescent="0.25">
      <c r="A9830" s="65">
        <v>9829</v>
      </c>
      <c r="B9830" s="64">
        <v>29153120.412697323</v>
      </c>
    </row>
    <row r="9831" spans="1:2" x14ac:dyDescent="0.25">
      <c r="A9831" s="65">
        <v>9830</v>
      </c>
      <c r="B9831" s="64">
        <v>28479571.788841322</v>
      </c>
    </row>
    <row r="9832" spans="1:2" x14ac:dyDescent="0.25">
      <c r="A9832" s="65">
        <v>9831</v>
      </c>
      <c r="B9832" s="64">
        <v>30168471.223943021</v>
      </c>
    </row>
    <row r="9833" spans="1:2" x14ac:dyDescent="0.25">
      <c r="A9833" s="65">
        <v>9832</v>
      </c>
      <c r="B9833" s="64">
        <v>29121501.735657435</v>
      </c>
    </row>
    <row r="9834" spans="1:2" x14ac:dyDescent="0.25">
      <c r="A9834" s="65">
        <v>9833</v>
      </c>
      <c r="B9834" s="64">
        <v>29009380.695560642</v>
      </c>
    </row>
    <row r="9835" spans="1:2" x14ac:dyDescent="0.25">
      <c r="A9835" s="65">
        <v>9834</v>
      </c>
      <c r="B9835" s="64">
        <v>30802717.962437626</v>
      </c>
    </row>
    <row r="9836" spans="1:2" x14ac:dyDescent="0.25">
      <c r="A9836" s="65">
        <v>9835</v>
      </c>
      <c r="B9836" s="64">
        <v>28556038.011930928</v>
      </c>
    </row>
    <row r="9837" spans="1:2" x14ac:dyDescent="0.25">
      <c r="A9837" s="65">
        <v>9836</v>
      </c>
      <c r="B9837" s="64">
        <v>28519163.030544125</v>
      </c>
    </row>
    <row r="9838" spans="1:2" x14ac:dyDescent="0.25">
      <c r="A9838" s="65">
        <v>9837</v>
      </c>
      <c r="B9838" s="64">
        <v>28936837.166759592</v>
      </c>
    </row>
    <row r="9839" spans="1:2" x14ac:dyDescent="0.25">
      <c r="A9839" s="65">
        <v>9838</v>
      </c>
      <c r="B9839" s="64">
        <v>29219217.166237097</v>
      </c>
    </row>
    <row r="9840" spans="1:2" x14ac:dyDescent="0.25">
      <c r="A9840" s="65">
        <v>9839</v>
      </c>
      <c r="B9840" s="64">
        <v>31291463.155705314</v>
      </c>
    </row>
    <row r="9841" spans="1:2" x14ac:dyDescent="0.25">
      <c r="A9841" s="65">
        <v>9840</v>
      </c>
      <c r="B9841" s="64">
        <v>29706239.265751604</v>
      </c>
    </row>
    <row r="9842" spans="1:2" x14ac:dyDescent="0.25">
      <c r="A9842" s="65">
        <v>9841</v>
      </c>
      <c r="B9842" s="64">
        <v>28668587.059640635</v>
      </c>
    </row>
    <row r="9843" spans="1:2" x14ac:dyDescent="0.25">
      <c r="A9843" s="65">
        <v>9842</v>
      </c>
      <c r="B9843" s="64">
        <v>30641287.136924062</v>
      </c>
    </row>
    <row r="9844" spans="1:2" x14ac:dyDescent="0.25">
      <c r="A9844" s="65">
        <v>9843</v>
      </c>
      <c r="B9844" s="64">
        <v>28767313.572386254</v>
      </c>
    </row>
    <row r="9845" spans="1:2" x14ac:dyDescent="0.25">
      <c r="A9845" s="65">
        <v>9844</v>
      </c>
      <c r="B9845" s="64">
        <v>30628193.175777815</v>
      </c>
    </row>
    <row r="9846" spans="1:2" x14ac:dyDescent="0.25">
      <c r="A9846" s="65">
        <v>9845</v>
      </c>
      <c r="B9846" s="64">
        <v>28563337.192993574</v>
      </c>
    </row>
    <row r="9847" spans="1:2" x14ac:dyDescent="0.25">
      <c r="A9847" s="65">
        <v>9846</v>
      </c>
      <c r="B9847" s="64">
        <v>29075877.005750529</v>
      </c>
    </row>
    <row r="9848" spans="1:2" x14ac:dyDescent="0.25">
      <c r="A9848" s="65">
        <v>9847</v>
      </c>
      <c r="B9848" s="64">
        <v>28989046.670703951</v>
      </c>
    </row>
    <row r="9849" spans="1:2" x14ac:dyDescent="0.25">
      <c r="A9849" s="65">
        <v>9848</v>
      </c>
      <c r="B9849" s="64">
        <v>29559246.807178732</v>
      </c>
    </row>
    <row r="9850" spans="1:2" x14ac:dyDescent="0.25">
      <c r="A9850" s="65">
        <v>9849</v>
      </c>
      <c r="B9850" s="64">
        <v>32681563.784605674</v>
      </c>
    </row>
    <row r="9851" spans="1:2" x14ac:dyDescent="0.25">
      <c r="A9851" s="65">
        <v>9850</v>
      </c>
      <c r="B9851" s="64">
        <v>28970078.437137734</v>
      </c>
    </row>
    <row r="9852" spans="1:2" x14ac:dyDescent="0.25">
      <c r="A9852" s="65">
        <v>9851</v>
      </c>
      <c r="B9852" s="64">
        <v>30392393.780116789</v>
      </c>
    </row>
    <row r="9853" spans="1:2" x14ac:dyDescent="0.25">
      <c r="A9853" s="65">
        <v>9852</v>
      </c>
      <c r="B9853" s="64">
        <v>29174238.784421485</v>
      </c>
    </row>
    <row r="9854" spans="1:2" x14ac:dyDescent="0.25">
      <c r="A9854" s="65">
        <v>9853</v>
      </c>
      <c r="B9854" s="64">
        <v>30154877.946768466</v>
      </c>
    </row>
    <row r="9855" spans="1:2" x14ac:dyDescent="0.25">
      <c r="A9855" s="65">
        <v>9854</v>
      </c>
      <c r="B9855" s="64">
        <v>28556907.201316096</v>
      </c>
    </row>
    <row r="9856" spans="1:2" x14ac:dyDescent="0.25">
      <c r="A9856" s="65">
        <v>9855</v>
      </c>
      <c r="B9856" s="64">
        <v>29849357.49255722</v>
      </c>
    </row>
    <row r="9857" spans="1:2" x14ac:dyDescent="0.25">
      <c r="A9857" s="65">
        <v>9856</v>
      </c>
      <c r="B9857" s="64">
        <v>28973355.298691671</v>
      </c>
    </row>
    <row r="9858" spans="1:2" x14ac:dyDescent="0.25">
      <c r="A9858" s="65">
        <v>9857</v>
      </c>
      <c r="B9858" s="64">
        <v>29144393.887484126</v>
      </c>
    </row>
    <row r="9859" spans="1:2" x14ac:dyDescent="0.25">
      <c r="A9859" s="65">
        <v>9858</v>
      </c>
      <c r="B9859" s="64">
        <v>29654475.686981641</v>
      </c>
    </row>
    <row r="9860" spans="1:2" x14ac:dyDescent="0.25">
      <c r="A9860" s="65">
        <v>9859</v>
      </c>
      <c r="B9860" s="64">
        <v>29157699.175798617</v>
      </c>
    </row>
    <row r="9861" spans="1:2" x14ac:dyDescent="0.25">
      <c r="A9861" s="65">
        <v>9860</v>
      </c>
      <c r="B9861" s="64">
        <v>29002175.315160058</v>
      </c>
    </row>
    <row r="9862" spans="1:2" x14ac:dyDescent="0.25">
      <c r="A9862" s="65">
        <v>9861</v>
      </c>
      <c r="B9862" s="64">
        <v>29258245.090776391</v>
      </c>
    </row>
    <row r="9863" spans="1:2" x14ac:dyDescent="0.25">
      <c r="A9863" s="65">
        <v>9862</v>
      </c>
      <c r="B9863" s="64">
        <v>34014888.835576363</v>
      </c>
    </row>
    <row r="9864" spans="1:2" x14ac:dyDescent="0.25">
      <c r="A9864" s="65">
        <v>9863</v>
      </c>
      <c r="B9864" s="64">
        <v>29434695.353844941</v>
      </c>
    </row>
    <row r="9865" spans="1:2" x14ac:dyDescent="0.25">
      <c r="A9865" s="65">
        <v>9864</v>
      </c>
      <c r="B9865" s="64">
        <v>29440005.723775089</v>
      </c>
    </row>
    <row r="9866" spans="1:2" x14ac:dyDescent="0.25">
      <c r="A9866" s="65">
        <v>9865</v>
      </c>
      <c r="B9866" s="64">
        <v>29601854.061539203</v>
      </c>
    </row>
    <row r="9867" spans="1:2" x14ac:dyDescent="0.25">
      <c r="A9867" s="65">
        <v>9866</v>
      </c>
      <c r="B9867" s="64">
        <v>28923961.3843005</v>
      </c>
    </row>
    <row r="9868" spans="1:2" x14ac:dyDescent="0.25">
      <c r="A9868" s="65">
        <v>9867</v>
      </c>
      <c r="B9868" s="64">
        <v>33645047.324613117</v>
      </c>
    </row>
    <row r="9869" spans="1:2" x14ac:dyDescent="0.25">
      <c r="A9869" s="65">
        <v>9868</v>
      </c>
      <c r="B9869" s="64">
        <v>29066929.837892074</v>
      </c>
    </row>
    <row r="9870" spans="1:2" x14ac:dyDescent="0.25">
      <c r="A9870" s="65">
        <v>9869</v>
      </c>
      <c r="B9870" s="64">
        <v>29234617.919132773</v>
      </c>
    </row>
    <row r="9871" spans="1:2" x14ac:dyDescent="0.25">
      <c r="A9871" s="65">
        <v>9870</v>
      </c>
      <c r="B9871" s="64">
        <v>30529020.870271519</v>
      </c>
    </row>
    <row r="9872" spans="1:2" x14ac:dyDescent="0.25">
      <c r="A9872" s="65">
        <v>9871</v>
      </c>
      <c r="B9872" s="64">
        <v>29004732.435404483</v>
      </c>
    </row>
    <row r="9873" spans="1:2" x14ac:dyDescent="0.25">
      <c r="A9873" s="65">
        <v>9872</v>
      </c>
      <c r="B9873" s="64">
        <v>28427122.034920722</v>
      </c>
    </row>
    <row r="9874" spans="1:2" x14ac:dyDescent="0.25">
      <c r="A9874" s="65">
        <v>9873</v>
      </c>
      <c r="B9874" s="64">
        <v>29112809.912794244</v>
      </c>
    </row>
    <row r="9875" spans="1:2" x14ac:dyDescent="0.25">
      <c r="A9875" s="65">
        <v>9874</v>
      </c>
      <c r="B9875" s="64">
        <v>29923588.005392533</v>
      </c>
    </row>
    <row r="9876" spans="1:2" x14ac:dyDescent="0.25">
      <c r="A9876" s="65">
        <v>9875</v>
      </c>
      <c r="B9876" s="64">
        <v>28754713.321914505</v>
      </c>
    </row>
    <row r="9877" spans="1:2" x14ac:dyDescent="0.25">
      <c r="A9877" s="65">
        <v>9876</v>
      </c>
      <c r="B9877" s="64">
        <v>28791250.798951883</v>
      </c>
    </row>
    <row r="9878" spans="1:2" x14ac:dyDescent="0.25">
      <c r="A9878" s="65">
        <v>9877</v>
      </c>
      <c r="B9878" s="64">
        <v>28841161.22422263</v>
      </c>
    </row>
    <row r="9879" spans="1:2" x14ac:dyDescent="0.25">
      <c r="A9879" s="65">
        <v>9878</v>
      </c>
      <c r="B9879" s="64">
        <v>28791038.923275031</v>
      </c>
    </row>
    <row r="9880" spans="1:2" x14ac:dyDescent="0.25">
      <c r="A9880" s="65">
        <v>9879</v>
      </c>
      <c r="B9880" s="64">
        <v>30012753.496436357</v>
      </c>
    </row>
    <row r="9881" spans="1:2" x14ac:dyDescent="0.25">
      <c r="A9881" s="65">
        <v>9880</v>
      </c>
      <c r="B9881" s="64">
        <v>28870939.669556841</v>
      </c>
    </row>
    <row r="9882" spans="1:2" x14ac:dyDescent="0.25">
      <c r="A9882" s="65">
        <v>9881</v>
      </c>
      <c r="B9882" s="64">
        <v>29191103.53660126</v>
      </c>
    </row>
    <row r="9883" spans="1:2" x14ac:dyDescent="0.25">
      <c r="A9883" s="65">
        <v>9882</v>
      </c>
      <c r="B9883" s="64">
        <v>29157627.223054115</v>
      </c>
    </row>
    <row r="9884" spans="1:2" x14ac:dyDescent="0.25">
      <c r="A9884" s="65">
        <v>9883</v>
      </c>
      <c r="B9884" s="64">
        <v>30327564.694840908</v>
      </c>
    </row>
    <row r="9885" spans="1:2" x14ac:dyDescent="0.25">
      <c r="A9885" s="65">
        <v>9884</v>
      </c>
      <c r="B9885" s="64">
        <v>31001760.661930829</v>
      </c>
    </row>
    <row r="9886" spans="1:2" x14ac:dyDescent="0.25">
      <c r="A9886" s="65">
        <v>9885</v>
      </c>
      <c r="B9886" s="64">
        <v>28782373.484012809</v>
      </c>
    </row>
    <row r="9887" spans="1:2" x14ac:dyDescent="0.25">
      <c r="A9887" s="65">
        <v>9886</v>
      </c>
      <c r="B9887" s="64">
        <v>29375648.151839424</v>
      </c>
    </row>
    <row r="9888" spans="1:2" x14ac:dyDescent="0.25">
      <c r="A9888" s="65">
        <v>9887</v>
      </c>
      <c r="B9888" s="64">
        <v>29407566.194200933</v>
      </c>
    </row>
    <row r="9889" spans="1:2" x14ac:dyDescent="0.25">
      <c r="A9889" s="65">
        <v>9888</v>
      </c>
      <c r="B9889" s="64">
        <v>29798676.240060877</v>
      </c>
    </row>
    <row r="9890" spans="1:2" x14ac:dyDescent="0.25">
      <c r="A9890" s="65">
        <v>9889</v>
      </c>
      <c r="B9890" s="64">
        <v>30267555.216777928</v>
      </c>
    </row>
    <row r="9891" spans="1:2" x14ac:dyDescent="0.25">
      <c r="A9891" s="65">
        <v>9890</v>
      </c>
      <c r="B9891" s="64">
        <v>29313313.432997309</v>
      </c>
    </row>
    <row r="9892" spans="1:2" x14ac:dyDescent="0.25">
      <c r="A9892" s="65">
        <v>9891</v>
      </c>
      <c r="B9892" s="64">
        <v>30736300.554091129</v>
      </c>
    </row>
    <row r="9893" spans="1:2" x14ac:dyDescent="0.25">
      <c r="A9893" s="65">
        <v>9892</v>
      </c>
      <c r="B9893" s="64">
        <v>30528280.617805265</v>
      </c>
    </row>
    <row r="9894" spans="1:2" x14ac:dyDescent="0.25">
      <c r="A9894" s="65">
        <v>9893</v>
      </c>
      <c r="B9894" s="64">
        <v>29265675.15373883</v>
      </c>
    </row>
    <row r="9895" spans="1:2" x14ac:dyDescent="0.25">
      <c r="A9895" s="65">
        <v>9894</v>
      </c>
      <c r="B9895" s="64">
        <v>28745400.747887686</v>
      </c>
    </row>
    <row r="9896" spans="1:2" x14ac:dyDescent="0.25">
      <c r="A9896" s="65">
        <v>9895</v>
      </c>
      <c r="B9896" s="64">
        <v>30301940.616225194</v>
      </c>
    </row>
    <row r="9897" spans="1:2" x14ac:dyDescent="0.25">
      <c r="A9897" s="65">
        <v>9896</v>
      </c>
      <c r="B9897" s="64">
        <v>29191707.382934641</v>
      </c>
    </row>
    <row r="9898" spans="1:2" x14ac:dyDescent="0.25">
      <c r="A9898" s="65">
        <v>9897</v>
      </c>
      <c r="B9898" s="64">
        <v>28580033.275978137</v>
      </c>
    </row>
    <row r="9899" spans="1:2" x14ac:dyDescent="0.25">
      <c r="A9899" s="65">
        <v>9898</v>
      </c>
      <c r="B9899" s="64">
        <v>29160843.721420933</v>
      </c>
    </row>
    <row r="9900" spans="1:2" x14ac:dyDescent="0.25">
      <c r="A9900" s="65">
        <v>9899</v>
      </c>
      <c r="B9900" s="64">
        <v>28569406.991298433</v>
      </c>
    </row>
    <row r="9901" spans="1:2" x14ac:dyDescent="0.25">
      <c r="A9901" s="65">
        <v>9900</v>
      </c>
      <c r="B9901" s="64">
        <v>30477055.831362035</v>
      </c>
    </row>
    <row r="9902" spans="1:2" x14ac:dyDescent="0.25">
      <c r="A9902" s="65">
        <v>9901</v>
      </c>
      <c r="B9902" s="64">
        <v>29029485.316244837</v>
      </c>
    </row>
    <row r="9903" spans="1:2" x14ac:dyDescent="0.25">
      <c r="A9903" s="65">
        <v>9902</v>
      </c>
      <c r="B9903" s="64">
        <v>29356989.473515242</v>
      </c>
    </row>
    <row r="9904" spans="1:2" x14ac:dyDescent="0.25">
      <c r="A9904" s="65">
        <v>9903</v>
      </c>
      <c r="B9904" s="64">
        <v>29790493.015674189</v>
      </c>
    </row>
    <row r="9905" spans="1:2" x14ac:dyDescent="0.25">
      <c r="A9905" s="65">
        <v>9904</v>
      </c>
      <c r="B9905" s="64">
        <v>29768134.36064744</v>
      </c>
    </row>
    <row r="9906" spans="1:2" x14ac:dyDescent="0.25">
      <c r="A9906" s="65">
        <v>9905</v>
      </c>
      <c r="B9906" s="64">
        <v>28950279.738784872</v>
      </c>
    </row>
    <row r="9907" spans="1:2" x14ac:dyDescent="0.25">
      <c r="A9907" s="65">
        <v>9906</v>
      </c>
      <c r="B9907" s="64">
        <v>34242530.413763776</v>
      </c>
    </row>
    <row r="9908" spans="1:2" x14ac:dyDescent="0.25">
      <c r="A9908" s="65">
        <v>9907</v>
      </c>
      <c r="B9908" s="64">
        <v>28822500.860763393</v>
      </c>
    </row>
    <row r="9909" spans="1:2" x14ac:dyDescent="0.25">
      <c r="A9909" s="65">
        <v>9908</v>
      </c>
      <c r="B9909" s="64">
        <v>29069338.765235119</v>
      </c>
    </row>
    <row r="9910" spans="1:2" x14ac:dyDescent="0.25">
      <c r="A9910" s="65">
        <v>9909</v>
      </c>
      <c r="B9910" s="64">
        <v>32773015.863242399</v>
      </c>
    </row>
    <row r="9911" spans="1:2" x14ac:dyDescent="0.25">
      <c r="A9911" s="65">
        <v>9910</v>
      </c>
      <c r="B9911" s="64">
        <v>30935315.759628508</v>
      </c>
    </row>
    <row r="9912" spans="1:2" x14ac:dyDescent="0.25">
      <c r="A9912" s="65">
        <v>9911</v>
      </c>
      <c r="B9912" s="64">
        <v>29489654.604090802</v>
      </c>
    </row>
    <row r="9913" spans="1:2" x14ac:dyDescent="0.25">
      <c r="A9913" s="65">
        <v>9912</v>
      </c>
      <c r="B9913" s="64">
        <v>30149896.149314586</v>
      </c>
    </row>
    <row r="9914" spans="1:2" x14ac:dyDescent="0.25">
      <c r="A9914" s="65">
        <v>9913</v>
      </c>
      <c r="B9914" s="64">
        <v>29013182.86811075</v>
      </c>
    </row>
    <row r="9915" spans="1:2" x14ac:dyDescent="0.25">
      <c r="A9915" s="65">
        <v>9914</v>
      </c>
      <c r="B9915" s="64">
        <v>28610574.52809491</v>
      </c>
    </row>
    <row r="9916" spans="1:2" x14ac:dyDescent="0.25">
      <c r="A9916" s="65">
        <v>9915</v>
      </c>
      <c r="B9916" s="64">
        <v>29784391.63213937</v>
      </c>
    </row>
    <row r="9917" spans="1:2" x14ac:dyDescent="0.25">
      <c r="A9917" s="65">
        <v>9916</v>
      </c>
      <c r="B9917" s="64">
        <v>28854938.254926998</v>
      </c>
    </row>
    <row r="9918" spans="1:2" x14ac:dyDescent="0.25">
      <c r="A9918" s="65">
        <v>9917</v>
      </c>
      <c r="B9918" s="64">
        <v>28981630.443726771</v>
      </c>
    </row>
    <row r="9919" spans="1:2" x14ac:dyDescent="0.25">
      <c r="A9919" s="65">
        <v>9918</v>
      </c>
      <c r="B9919" s="64">
        <v>28951008.374315139</v>
      </c>
    </row>
    <row r="9920" spans="1:2" x14ac:dyDescent="0.25">
      <c r="A9920" s="65">
        <v>9919</v>
      </c>
      <c r="B9920" s="64">
        <v>28846203.628849652</v>
      </c>
    </row>
    <row r="9921" spans="1:2" x14ac:dyDescent="0.25">
      <c r="A9921" s="65">
        <v>9920</v>
      </c>
      <c r="B9921" s="64">
        <v>29062166.111387409</v>
      </c>
    </row>
    <row r="9922" spans="1:2" x14ac:dyDescent="0.25">
      <c r="A9922" s="65">
        <v>9921</v>
      </c>
      <c r="B9922" s="64">
        <v>28628683.4936493</v>
      </c>
    </row>
    <row r="9923" spans="1:2" x14ac:dyDescent="0.25">
      <c r="A9923" s="65">
        <v>9922</v>
      </c>
      <c r="B9923" s="64">
        <v>28592809.964621067</v>
      </c>
    </row>
    <row r="9924" spans="1:2" x14ac:dyDescent="0.25">
      <c r="A9924" s="65">
        <v>9923</v>
      </c>
      <c r="B9924" s="64">
        <v>28365921.86391186</v>
      </c>
    </row>
    <row r="9925" spans="1:2" x14ac:dyDescent="0.25">
      <c r="A9925" s="65">
        <v>9924</v>
      </c>
      <c r="B9925" s="64">
        <v>28869750.633044597</v>
      </c>
    </row>
    <row r="9926" spans="1:2" x14ac:dyDescent="0.25">
      <c r="A9926" s="65">
        <v>9925</v>
      </c>
      <c r="B9926" s="64">
        <v>29126102.893009182</v>
      </c>
    </row>
    <row r="9927" spans="1:2" x14ac:dyDescent="0.25">
      <c r="A9927" s="65">
        <v>9926</v>
      </c>
      <c r="B9927" s="64">
        <v>29027819.665485527</v>
      </c>
    </row>
    <row r="9928" spans="1:2" x14ac:dyDescent="0.25">
      <c r="A9928" s="65">
        <v>9927</v>
      </c>
      <c r="B9928" s="64">
        <v>29672375.239874952</v>
      </c>
    </row>
    <row r="9929" spans="1:2" x14ac:dyDescent="0.25">
      <c r="A9929" s="65">
        <v>9928</v>
      </c>
      <c r="B9929" s="64">
        <v>29186016.000797249</v>
      </c>
    </row>
    <row r="9930" spans="1:2" x14ac:dyDescent="0.25">
      <c r="A9930" s="65">
        <v>9929</v>
      </c>
      <c r="B9930" s="64">
        <v>29154925.668636929</v>
      </c>
    </row>
    <row r="9931" spans="1:2" x14ac:dyDescent="0.25">
      <c r="A9931" s="65">
        <v>9930</v>
      </c>
      <c r="B9931" s="64">
        <v>28891968.406642288</v>
      </c>
    </row>
    <row r="9932" spans="1:2" x14ac:dyDescent="0.25">
      <c r="A9932" s="65">
        <v>9931</v>
      </c>
      <c r="B9932" s="64">
        <v>28560419.387966678</v>
      </c>
    </row>
    <row r="9933" spans="1:2" x14ac:dyDescent="0.25">
      <c r="A9933" s="65">
        <v>9932</v>
      </c>
      <c r="B9933" s="64">
        <v>29479436.080499314</v>
      </c>
    </row>
    <row r="9934" spans="1:2" x14ac:dyDescent="0.25">
      <c r="A9934" s="65">
        <v>9933</v>
      </c>
      <c r="B9934" s="64">
        <v>28797685.749676552</v>
      </c>
    </row>
    <row r="9935" spans="1:2" x14ac:dyDescent="0.25">
      <c r="A9935" s="65">
        <v>9934</v>
      </c>
      <c r="B9935" s="64">
        <v>29555555.442097373</v>
      </c>
    </row>
    <row r="9936" spans="1:2" x14ac:dyDescent="0.25">
      <c r="A9936" s="65">
        <v>9935</v>
      </c>
      <c r="B9936" s="64">
        <v>30171934.524306446</v>
      </c>
    </row>
    <row r="9937" spans="1:2" x14ac:dyDescent="0.25">
      <c r="A9937" s="65">
        <v>9936</v>
      </c>
      <c r="B9937" s="64">
        <v>28594443.333447501</v>
      </c>
    </row>
    <row r="9938" spans="1:2" x14ac:dyDescent="0.25">
      <c r="A9938" s="65">
        <v>9937</v>
      </c>
      <c r="B9938" s="64">
        <v>28541559.572463166</v>
      </c>
    </row>
    <row r="9939" spans="1:2" x14ac:dyDescent="0.25">
      <c r="A9939" s="65">
        <v>9938</v>
      </c>
      <c r="B9939" s="64">
        <v>29027030.071707688</v>
      </c>
    </row>
    <row r="9940" spans="1:2" x14ac:dyDescent="0.25">
      <c r="A9940" s="65">
        <v>9939</v>
      </c>
      <c r="B9940" s="64">
        <v>29221193.944554765</v>
      </c>
    </row>
    <row r="9941" spans="1:2" x14ac:dyDescent="0.25">
      <c r="A9941" s="65">
        <v>9940</v>
      </c>
      <c r="B9941" s="64">
        <v>28760213.963723104</v>
      </c>
    </row>
    <row r="9942" spans="1:2" x14ac:dyDescent="0.25">
      <c r="A9942" s="65">
        <v>9941</v>
      </c>
      <c r="B9942" s="64">
        <v>29099598.40518295</v>
      </c>
    </row>
    <row r="9943" spans="1:2" x14ac:dyDescent="0.25">
      <c r="A9943" s="65">
        <v>9942</v>
      </c>
      <c r="B9943" s="64">
        <v>28948248.843385711</v>
      </c>
    </row>
    <row r="9944" spans="1:2" x14ac:dyDescent="0.25">
      <c r="A9944" s="65">
        <v>9943</v>
      </c>
      <c r="B9944" s="64">
        <v>28912075.65096318</v>
      </c>
    </row>
    <row r="9945" spans="1:2" x14ac:dyDescent="0.25">
      <c r="A9945" s="65">
        <v>9944</v>
      </c>
      <c r="B9945" s="64">
        <v>29793298.944830984</v>
      </c>
    </row>
    <row r="9946" spans="1:2" x14ac:dyDescent="0.25">
      <c r="A9946" s="65">
        <v>9945</v>
      </c>
      <c r="B9946" s="64">
        <v>29686796.995329972</v>
      </c>
    </row>
    <row r="9947" spans="1:2" x14ac:dyDescent="0.25">
      <c r="A9947" s="65">
        <v>9946</v>
      </c>
      <c r="B9947" s="64">
        <v>28718116.348662652</v>
      </c>
    </row>
    <row r="9948" spans="1:2" x14ac:dyDescent="0.25">
      <c r="A9948" s="65">
        <v>9947</v>
      </c>
      <c r="B9948" s="64">
        <v>29097284.975986864</v>
      </c>
    </row>
    <row r="9949" spans="1:2" x14ac:dyDescent="0.25">
      <c r="A9949" s="65">
        <v>9948</v>
      </c>
      <c r="B9949" s="64">
        <v>31024763.714028116</v>
      </c>
    </row>
    <row r="9950" spans="1:2" x14ac:dyDescent="0.25">
      <c r="A9950" s="65">
        <v>9949</v>
      </c>
      <c r="B9950" s="64">
        <v>28793006.491558462</v>
      </c>
    </row>
    <row r="9951" spans="1:2" x14ac:dyDescent="0.25">
      <c r="A9951" s="65">
        <v>9950</v>
      </c>
      <c r="B9951" s="64">
        <v>29491159.490446474</v>
      </c>
    </row>
    <row r="9952" spans="1:2" x14ac:dyDescent="0.25">
      <c r="A9952" s="65">
        <v>9951</v>
      </c>
      <c r="B9952" s="64">
        <v>28505177.881085116</v>
      </c>
    </row>
    <row r="9953" spans="1:2" x14ac:dyDescent="0.25">
      <c r="A9953" s="65">
        <v>9952</v>
      </c>
      <c r="B9953" s="64">
        <v>29320058.58848504</v>
      </c>
    </row>
    <row r="9954" spans="1:2" x14ac:dyDescent="0.25">
      <c r="A9954" s="65">
        <v>9953</v>
      </c>
      <c r="B9954" s="64">
        <v>29491927.110932559</v>
      </c>
    </row>
    <row r="9955" spans="1:2" x14ac:dyDescent="0.25">
      <c r="A9955" s="65">
        <v>9954</v>
      </c>
      <c r="B9955" s="64">
        <v>28801672.498286858</v>
      </c>
    </row>
    <row r="9956" spans="1:2" x14ac:dyDescent="0.25">
      <c r="A9956" s="65">
        <v>9955</v>
      </c>
      <c r="B9956" s="64">
        <v>29399479.70469578</v>
      </c>
    </row>
    <row r="9957" spans="1:2" x14ac:dyDescent="0.25">
      <c r="A9957" s="65">
        <v>9956</v>
      </c>
      <c r="B9957" s="64">
        <v>28842610.264724083</v>
      </c>
    </row>
    <row r="9958" spans="1:2" x14ac:dyDescent="0.25">
      <c r="A9958" s="65">
        <v>9957</v>
      </c>
      <c r="B9958" s="64">
        <v>28753695.662273183</v>
      </c>
    </row>
    <row r="9959" spans="1:2" x14ac:dyDescent="0.25">
      <c r="A9959" s="65">
        <v>9958</v>
      </c>
      <c r="B9959" s="64">
        <v>28524788.768230405</v>
      </c>
    </row>
    <row r="9960" spans="1:2" x14ac:dyDescent="0.25">
      <c r="A9960" s="65">
        <v>9959</v>
      </c>
      <c r="B9960" s="64">
        <v>28628367.930018492</v>
      </c>
    </row>
    <row r="9961" spans="1:2" x14ac:dyDescent="0.25">
      <c r="A9961" s="65">
        <v>9960</v>
      </c>
      <c r="B9961" s="64">
        <v>29310465.468365408</v>
      </c>
    </row>
    <row r="9962" spans="1:2" x14ac:dyDescent="0.25">
      <c r="A9962" s="65">
        <v>9961</v>
      </c>
      <c r="B9962" s="64">
        <v>29032458.266548868</v>
      </c>
    </row>
    <row r="9963" spans="1:2" x14ac:dyDescent="0.25">
      <c r="A9963" s="65">
        <v>9962</v>
      </c>
      <c r="B9963" s="64">
        <v>30447300.505259536</v>
      </c>
    </row>
    <row r="9964" spans="1:2" x14ac:dyDescent="0.25">
      <c r="A9964" s="65">
        <v>9963</v>
      </c>
      <c r="B9964" s="64">
        <v>28630434.211307701</v>
      </c>
    </row>
    <row r="9965" spans="1:2" x14ac:dyDescent="0.25">
      <c r="A9965" s="65">
        <v>9964</v>
      </c>
      <c r="B9965" s="64">
        <v>30504500.812864363</v>
      </c>
    </row>
    <row r="9966" spans="1:2" x14ac:dyDescent="0.25">
      <c r="A9966" s="65">
        <v>9965</v>
      </c>
      <c r="B9966" s="64">
        <v>28465177.692892525</v>
      </c>
    </row>
    <row r="9967" spans="1:2" x14ac:dyDescent="0.25">
      <c r="A9967" s="65">
        <v>9966</v>
      </c>
      <c r="B9967" s="64">
        <v>29428656.607360724</v>
      </c>
    </row>
    <row r="9968" spans="1:2" x14ac:dyDescent="0.25">
      <c r="A9968" s="65">
        <v>9967</v>
      </c>
      <c r="B9968" s="64">
        <v>33713166.130518958</v>
      </c>
    </row>
    <row r="9969" spans="1:2" x14ac:dyDescent="0.25">
      <c r="A9969" s="65">
        <v>9968</v>
      </c>
      <c r="B9969" s="64">
        <v>28360263.70150613</v>
      </c>
    </row>
    <row r="9970" spans="1:2" x14ac:dyDescent="0.25">
      <c r="A9970" s="65">
        <v>9969</v>
      </c>
      <c r="B9970" s="64">
        <v>28762737.090753604</v>
      </c>
    </row>
    <row r="9971" spans="1:2" x14ac:dyDescent="0.25">
      <c r="A9971" s="65">
        <v>9970</v>
      </c>
      <c r="B9971" s="64">
        <v>29370317.739411592</v>
      </c>
    </row>
    <row r="9972" spans="1:2" x14ac:dyDescent="0.25">
      <c r="A9972" s="65">
        <v>9971</v>
      </c>
      <c r="B9972" s="64">
        <v>29846861.884044047</v>
      </c>
    </row>
    <row r="9973" spans="1:2" x14ac:dyDescent="0.25">
      <c r="A9973" s="65">
        <v>9972</v>
      </c>
      <c r="B9973" s="64">
        <v>28983609.809778217</v>
      </c>
    </row>
    <row r="9974" spans="1:2" x14ac:dyDescent="0.25">
      <c r="A9974" s="65">
        <v>9973</v>
      </c>
      <c r="B9974" s="64">
        <v>29137734.984439664</v>
      </c>
    </row>
    <row r="9975" spans="1:2" x14ac:dyDescent="0.25">
      <c r="A9975" s="65">
        <v>9974</v>
      </c>
      <c r="B9975" s="64">
        <v>30662463.779609587</v>
      </c>
    </row>
    <row r="9976" spans="1:2" x14ac:dyDescent="0.25">
      <c r="A9976" s="65">
        <v>9975</v>
      </c>
      <c r="B9976" s="64">
        <v>29972290.320666011</v>
      </c>
    </row>
    <row r="9977" spans="1:2" x14ac:dyDescent="0.25">
      <c r="A9977" s="65">
        <v>9976</v>
      </c>
      <c r="B9977" s="64">
        <v>29206966.344368864</v>
      </c>
    </row>
    <row r="9978" spans="1:2" x14ac:dyDescent="0.25">
      <c r="A9978" s="65">
        <v>9977</v>
      </c>
      <c r="B9978" s="64">
        <v>28943281.717288543</v>
      </c>
    </row>
    <row r="9979" spans="1:2" x14ac:dyDescent="0.25">
      <c r="A9979" s="65">
        <v>9978</v>
      </c>
      <c r="B9979" s="64">
        <v>30238280.665426392</v>
      </c>
    </row>
    <row r="9980" spans="1:2" x14ac:dyDescent="0.25">
      <c r="A9980" s="65">
        <v>9979</v>
      </c>
      <c r="B9980" s="64">
        <v>28477289.231836218</v>
      </c>
    </row>
    <row r="9981" spans="1:2" x14ac:dyDescent="0.25">
      <c r="A9981" s="65">
        <v>9980</v>
      </c>
      <c r="B9981" s="64">
        <v>29229357.427921869</v>
      </c>
    </row>
    <row r="9982" spans="1:2" x14ac:dyDescent="0.25">
      <c r="A9982" s="65">
        <v>9981</v>
      </c>
      <c r="B9982" s="64">
        <v>28728442.338799424</v>
      </c>
    </row>
    <row r="9983" spans="1:2" x14ac:dyDescent="0.25">
      <c r="A9983" s="65">
        <v>9982</v>
      </c>
      <c r="B9983" s="64">
        <v>29368193.279425699</v>
      </c>
    </row>
    <row r="9984" spans="1:2" x14ac:dyDescent="0.25">
      <c r="A9984" s="65">
        <v>9983</v>
      </c>
      <c r="B9984" s="64">
        <v>28591741.979737256</v>
      </c>
    </row>
    <row r="9985" spans="1:2" x14ac:dyDescent="0.25">
      <c r="A9985" s="65">
        <v>9984</v>
      </c>
      <c r="B9985" s="64">
        <v>28989893.194972765</v>
      </c>
    </row>
    <row r="9986" spans="1:2" x14ac:dyDescent="0.25">
      <c r="A9986" s="65">
        <v>9985</v>
      </c>
      <c r="B9986" s="64">
        <v>28754576.948658139</v>
      </c>
    </row>
    <row r="9987" spans="1:2" x14ac:dyDescent="0.25">
      <c r="A9987" s="65">
        <v>9986</v>
      </c>
      <c r="B9987" s="64">
        <v>28929632.806056682</v>
      </c>
    </row>
    <row r="9988" spans="1:2" x14ac:dyDescent="0.25">
      <c r="A9988" s="65">
        <v>9987</v>
      </c>
      <c r="B9988" s="64">
        <v>28935491.826538432</v>
      </c>
    </row>
    <row r="9989" spans="1:2" x14ac:dyDescent="0.25">
      <c r="A9989" s="65">
        <v>9988</v>
      </c>
      <c r="B9989" s="64">
        <v>29075726.541686818</v>
      </c>
    </row>
    <row r="9990" spans="1:2" x14ac:dyDescent="0.25">
      <c r="A9990" s="65">
        <v>9989</v>
      </c>
      <c r="B9990" s="64">
        <v>28952402.688099544</v>
      </c>
    </row>
    <row r="9991" spans="1:2" x14ac:dyDescent="0.25">
      <c r="A9991" s="65">
        <v>9990</v>
      </c>
      <c r="B9991" s="64">
        <v>29632632.409447595</v>
      </c>
    </row>
    <row r="9992" spans="1:2" x14ac:dyDescent="0.25">
      <c r="A9992" s="65">
        <v>9991</v>
      </c>
      <c r="B9992" s="64">
        <v>30175039.002049971</v>
      </c>
    </row>
    <row r="9993" spans="1:2" x14ac:dyDescent="0.25">
      <c r="A9993" s="65">
        <v>9992</v>
      </c>
      <c r="B9993" s="64">
        <v>30034281.372561734</v>
      </c>
    </row>
    <row r="9994" spans="1:2" x14ac:dyDescent="0.25">
      <c r="A9994" s="65">
        <v>9993</v>
      </c>
      <c r="B9994" s="64">
        <v>28881638.993746359</v>
      </c>
    </row>
    <row r="9995" spans="1:2" x14ac:dyDescent="0.25">
      <c r="A9995" s="65">
        <v>9994</v>
      </c>
      <c r="B9995" s="64">
        <v>29732137.238328923</v>
      </c>
    </row>
    <row r="9996" spans="1:2" x14ac:dyDescent="0.25">
      <c r="A9996" s="65">
        <v>9995</v>
      </c>
      <c r="B9996" s="64">
        <v>29376824.740400139</v>
      </c>
    </row>
    <row r="9997" spans="1:2" x14ac:dyDescent="0.25">
      <c r="A9997" s="65">
        <v>9996</v>
      </c>
      <c r="B9997" s="64">
        <v>28647103.759954512</v>
      </c>
    </row>
    <row r="9998" spans="1:2" x14ac:dyDescent="0.25">
      <c r="A9998" s="65">
        <v>9997</v>
      </c>
      <c r="B9998" s="64">
        <v>29052481.150272373</v>
      </c>
    </row>
    <row r="9999" spans="1:2" x14ac:dyDescent="0.25">
      <c r="A9999" s="65">
        <v>9998</v>
      </c>
      <c r="B9999" s="64">
        <v>28974051.08211302</v>
      </c>
    </row>
    <row r="10000" spans="1:2" x14ac:dyDescent="0.25">
      <c r="A10000" s="65">
        <v>9999</v>
      </c>
      <c r="B10000" s="64">
        <v>29476599.431460276</v>
      </c>
    </row>
    <row r="10001" spans="1:2" x14ac:dyDescent="0.25">
      <c r="A10001" s="65">
        <v>10000</v>
      </c>
      <c r="B10001" s="64">
        <v>29025708.243959088</v>
      </c>
    </row>
  </sheetData>
  <phoneticPr fontId="11" type="noConversion"/>
  <hyperlinks>
    <hyperlink ref="G5" r:id="rId1" xr:uid="{00000000-0004-0000-0900-000000000000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K639"/>
  <sheetViews>
    <sheetView topLeftCell="C27" zoomScaleNormal="160" workbookViewId="0">
      <selection activeCell="I44" sqref="I44"/>
    </sheetView>
  </sheetViews>
  <sheetFormatPr defaultColWidth="11.42578125" defaultRowHeight="15" x14ac:dyDescent="0.25"/>
  <cols>
    <col min="1" max="1" width="12.7109375" customWidth="1"/>
    <col min="2" max="2" width="20.85546875" style="139" customWidth="1"/>
    <col min="3" max="3" width="18.5703125" style="141" bestFit="1" customWidth="1"/>
    <col min="4" max="4" width="17.42578125" customWidth="1"/>
    <col min="5" max="5" width="12.5703125" customWidth="1"/>
    <col min="6" max="6" width="23.140625" customWidth="1"/>
    <col min="7" max="7" width="11.42578125" customWidth="1"/>
    <col min="8" max="8" width="15.140625" customWidth="1"/>
    <col min="9" max="9" width="20" customWidth="1"/>
    <col min="11" max="11" width="15.28515625" bestFit="1" customWidth="1"/>
  </cols>
  <sheetData>
    <row r="1" spans="1:6" x14ac:dyDescent="0.25">
      <c r="B1" s="139" t="str">
        <f>CreditMetrics!C431</f>
        <v>Saldo</v>
      </c>
      <c r="C1" s="141" t="str">
        <f>CreditMetrics!D431</f>
        <v>Proba Incumpliento</v>
      </c>
    </row>
    <row r="2" spans="1:6" ht="36.75" x14ac:dyDescent="0.35">
      <c r="B2" s="139" t="str">
        <f>CreditMetrics!C432</f>
        <v>EaD</v>
      </c>
      <c r="C2" s="141" t="str">
        <f>CreditMetrics!D432</f>
        <v>PD</v>
      </c>
      <c r="D2" t="s">
        <v>1337</v>
      </c>
      <c r="E2" s="142" t="s">
        <v>1351</v>
      </c>
    </row>
    <row r="3" spans="1:6" x14ac:dyDescent="0.25">
      <c r="A3">
        <f>CreditMetrics!B433</f>
        <v>22</v>
      </c>
      <c r="B3" s="139">
        <f>SUMIF(BDClientes!V:V,A3,BDClientes!W:W)</f>
        <v>60590712.525004372</v>
      </c>
      <c r="C3" s="194">
        <f>CreditMetrics!D433</f>
        <v>1</v>
      </c>
      <c r="D3">
        <f>COUNTIF(BDClientes!V:V,'CrediRisk+'!A3)</f>
        <v>94</v>
      </c>
      <c r="E3" s="138">
        <f>+D3*C3</f>
        <v>94</v>
      </c>
      <c r="F3" s="66">
        <f>B3*C3*0.45</f>
        <v>27265820.636251967</v>
      </c>
    </row>
    <row r="4" spans="1:6" x14ac:dyDescent="0.25">
      <c r="A4">
        <f>CreditMetrics!B434</f>
        <v>40</v>
      </c>
      <c r="B4" s="139">
        <f>SUMIF(BDClientes!V:V,A4,BDClientes!W:W)</f>
        <v>281055.47847860679</v>
      </c>
      <c r="C4" s="194">
        <f>CreditMetrics!D434</f>
        <v>0.1526853354978355</v>
      </c>
      <c r="D4">
        <f>COUNTIF(BDClientes!V:V,'CrediRisk+'!A4)</f>
        <v>2</v>
      </c>
      <c r="E4" s="138">
        <f>+D4*C4</f>
        <v>0.305370670995671</v>
      </c>
      <c r="F4" s="66">
        <f t="shared" ref="F4:F18" si="0">B4*C4*0.45</f>
        <v>19310.872511254845</v>
      </c>
    </row>
    <row r="5" spans="1:6" x14ac:dyDescent="0.25">
      <c r="A5">
        <f>CreditMetrics!B435</f>
        <v>60</v>
      </c>
      <c r="B5" s="139">
        <f>SUMIF(BDClientes!V:V,A5,BDClientes!W:W)</f>
        <v>169733.49963253518</v>
      </c>
      <c r="C5" s="194">
        <f>CreditMetrics!D435</f>
        <v>0.12160232402831087</v>
      </c>
      <c r="D5">
        <f>COUNTIF(BDClientes!V:V,'CrediRisk+'!A5)</f>
        <v>2</v>
      </c>
      <c r="E5" s="138">
        <f t="shared" ref="E5:E18" si="1">+D5*C5</f>
        <v>0.24320464805662173</v>
      </c>
      <c r="F5" s="66">
        <f t="shared" si="0"/>
        <v>9287.9946093486269</v>
      </c>
    </row>
    <row r="6" spans="1:6" x14ac:dyDescent="0.25">
      <c r="A6">
        <f>CreditMetrics!B436</f>
        <v>65</v>
      </c>
      <c r="B6" s="139">
        <f>SUMIF(BDClientes!V:V,A6,BDClientes!W:W)</f>
        <v>816224.21587029588</v>
      </c>
      <c r="C6" s="194">
        <f>CreditMetrics!D436</f>
        <v>9.051931255878623E-2</v>
      </c>
      <c r="D6">
        <f>COUNTIF(BDClientes!V:V,'CrediRisk+'!A6)</f>
        <v>4</v>
      </c>
      <c r="E6" s="138">
        <f t="shared" si="1"/>
        <v>0.36207725023514492</v>
      </c>
      <c r="F6" s="66">
        <f t="shared" si="0"/>
        <v>33247.824711486086</v>
      </c>
    </row>
    <row r="7" spans="1:6" x14ac:dyDescent="0.25">
      <c r="A7">
        <f>CreditMetrics!B437</f>
        <v>70</v>
      </c>
      <c r="B7" s="139">
        <f>SUMIF(BDClientes!V:V,A7,BDClientes!W:W)</f>
        <v>2261207.9731027749</v>
      </c>
      <c r="C7" s="194">
        <f>CreditMetrics!D437</f>
        <v>5.0353919521834101E-2</v>
      </c>
      <c r="D7">
        <f>COUNTIF(BDClientes!V:V,'CrediRisk+'!A7)</f>
        <v>3</v>
      </c>
      <c r="E7" s="138">
        <f t="shared" si="1"/>
        <v>0.1510617585655023</v>
      </c>
      <c r="F7" s="66">
        <f t="shared" si="0"/>
        <v>51237.307934886034</v>
      </c>
    </row>
    <row r="8" spans="1:6" x14ac:dyDescent="0.25">
      <c r="A8">
        <f>CreditMetrics!B438</f>
        <v>73</v>
      </c>
      <c r="B8" s="139">
        <f>SUMIF(BDClientes!V:V,A8,BDClientes!W:W)</f>
        <v>7806609.9379757084</v>
      </c>
      <c r="C8" s="194">
        <f>CreditMetrics!D438</f>
        <v>4.1293482127439413E-2</v>
      </c>
      <c r="D8">
        <f>COUNTIF(BDClientes!V:V,'CrediRisk+'!A8)</f>
        <v>24</v>
      </c>
      <c r="E8" s="138">
        <f t="shared" si="1"/>
        <v>0.9910435710585459</v>
      </c>
      <c r="F8" s="66">
        <f t="shared" si="0"/>
        <v>145062.94857736089</v>
      </c>
    </row>
    <row r="9" spans="1:6" x14ac:dyDescent="0.25">
      <c r="A9">
        <f>CreditMetrics!B439</f>
        <v>75</v>
      </c>
      <c r="B9" s="139">
        <f>SUMIF(BDClientes!V:V,A9,BDClientes!W:W)</f>
        <v>6934900.7041493636</v>
      </c>
      <c r="C9" s="194">
        <f>CreditMetrics!D439</f>
        <v>3.2233044733044731E-2</v>
      </c>
      <c r="D9">
        <f>COUNTIF(BDClientes!V:V,'CrediRisk+'!A9)</f>
        <v>15</v>
      </c>
      <c r="E9" s="138">
        <f t="shared" si="1"/>
        <v>0.48349567099567098</v>
      </c>
      <c r="F9" s="66">
        <f t="shared" si="0"/>
        <v>100589.83407723143</v>
      </c>
    </row>
    <row r="10" spans="1:6" x14ac:dyDescent="0.25">
      <c r="A10">
        <f>CreditMetrics!B440</f>
        <v>77</v>
      </c>
      <c r="B10" s="139">
        <f>SUMIF(BDClientes!V:V,A10,BDClientes!W:W)</f>
        <v>23533594.558884326</v>
      </c>
      <c r="C10" s="194">
        <f>CreditMetrics!D440</f>
        <v>1.9218641027000827E-2</v>
      </c>
      <c r="D10">
        <f>COUNTIF(BDClientes!V:V,'CrediRisk+'!A10)</f>
        <v>46</v>
      </c>
      <c r="E10" s="138">
        <f t="shared" si="1"/>
        <v>0.88405748724203803</v>
      </c>
      <c r="F10" s="66">
        <f t="shared" si="0"/>
        <v>203527.66765597998</v>
      </c>
    </row>
    <row r="11" spans="1:6" x14ac:dyDescent="0.25">
      <c r="A11">
        <f>CreditMetrics!B441</f>
        <v>80</v>
      </c>
      <c r="B11" s="139">
        <f>SUMIF(BDClientes!V:V,A11,BDClientes!W:W)</f>
        <v>34929740.846735984</v>
      </c>
      <c r="C11" s="194">
        <f>CreditMetrics!D441</f>
        <v>1.1786448515947887E-2</v>
      </c>
      <c r="D11">
        <f>COUNTIF(BDClientes!V:V,'CrediRisk+'!A11)</f>
        <v>60</v>
      </c>
      <c r="E11" s="138">
        <f t="shared" si="1"/>
        <v>0.70718691095687314</v>
      </c>
      <c r="F11" s="66">
        <f t="shared" si="0"/>
        <v>185263.91647445504</v>
      </c>
    </row>
    <row r="12" spans="1:6" x14ac:dyDescent="0.25">
      <c r="A12">
        <f>CreditMetrics!B442</f>
        <v>83</v>
      </c>
      <c r="B12" s="139">
        <f>SUMIF(BDClientes!V:V,A12,BDClientes!W:W)</f>
        <v>37032914.249727823</v>
      </c>
      <c r="C12" s="194">
        <f>CreditMetrics!D442</f>
        <v>4.3542560048949481E-3</v>
      </c>
      <c r="D12">
        <f>COUNTIF(BDClientes!V:V,'CrediRisk+'!A12)</f>
        <v>92</v>
      </c>
      <c r="E12" s="138">
        <f t="shared" si="1"/>
        <v>0.40059155245033523</v>
      </c>
      <c r="F12" s="66">
        <f t="shared" si="0"/>
        <v>72562.855162786684</v>
      </c>
    </row>
    <row r="13" spans="1:6" x14ac:dyDescent="0.25">
      <c r="A13">
        <f>CreditMetrics!B443</f>
        <v>85</v>
      </c>
      <c r="B13" s="139">
        <f>SUMIF(BDClientes!V:V,A13,BDClientes!W:W)</f>
        <v>64529622.378504254</v>
      </c>
      <c r="C13" s="194">
        <f>CreditMetrics!D443</f>
        <v>4.1949127505925563E-3</v>
      </c>
      <c r="D13">
        <f>COUNTIF(BDClientes!V:V,'CrediRisk+'!A13)</f>
        <v>129</v>
      </c>
      <c r="E13" s="138">
        <f t="shared" si="1"/>
        <v>0.54114374482643979</v>
      </c>
      <c r="F13" s="66">
        <f t="shared" si="0"/>
        <v>121813.26106792963</v>
      </c>
    </row>
    <row r="14" spans="1:6" x14ac:dyDescent="0.25">
      <c r="A14">
        <f>CreditMetrics!B444</f>
        <v>87</v>
      </c>
      <c r="B14" s="139">
        <f>SUMIF(BDClientes!V:V,A14,BDClientes!W:W)</f>
        <v>24381892.309420925</v>
      </c>
      <c r="C14" s="194">
        <f>CreditMetrics!D444</f>
        <v>3.4159302004740451E-3</v>
      </c>
      <c r="D14">
        <f>COUNTIF(BDClientes!V:V,'CrediRisk+'!A14)</f>
        <v>62</v>
      </c>
      <c r="E14" s="138">
        <f t="shared" si="1"/>
        <v>0.21178767242939078</v>
      </c>
      <c r="F14" s="66">
        <f t="shared" si="0"/>
        <v>37479.079028005559</v>
      </c>
    </row>
    <row r="15" spans="1:6" x14ac:dyDescent="0.25">
      <c r="A15">
        <f>CreditMetrics!B445</f>
        <v>90</v>
      </c>
      <c r="B15" s="139">
        <f>SUMIF(BDClientes!V:V,A15,BDClientes!W:W)</f>
        <v>1113086.6980133154</v>
      </c>
      <c r="C15" s="194">
        <f>CreditMetrics!D445</f>
        <v>2.6369476503555339E-3</v>
      </c>
      <c r="D15">
        <f>COUNTIF(BDClientes!V:V,'CrediRisk+'!A15)</f>
        <v>5</v>
      </c>
      <c r="E15" s="138">
        <f t="shared" si="1"/>
        <v>1.318473825177767E-2</v>
      </c>
      <c r="F15" s="66">
        <f t="shared" si="0"/>
        <v>1320.8181088356955</v>
      </c>
    </row>
    <row r="16" spans="1:6" x14ac:dyDescent="0.25">
      <c r="A16">
        <f>CreditMetrics!B446</f>
        <v>93</v>
      </c>
      <c r="B16" s="139">
        <f>SUMIF(BDClientes!V:V,A16,BDClientes!W:W)</f>
        <v>0</v>
      </c>
      <c r="C16" s="194">
        <f>CreditMetrics!D446</f>
        <v>1.8579651002370227E-3</v>
      </c>
      <c r="D16">
        <f>COUNTIF(BDClientes!V:V,'CrediRisk+'!A16)</f>
        <v>1</v>
      </c>
      <c r="E16" s="138">
        <f t="shared" si="1"/>
        <v>1.8579651002370227E-3</v>
      </c>
      <c r="F16" s="66">
        <f t="shared" si="0"/>
        <v>0</v>
      </c>
    </row>
    <row r="17" spans="1:10" x14ac:dyDescent="0.25">
      <c r="A17">
        <f>CreditMetrics!B447</f>
        <v>95</v>
      </c>
      <c r="B17" s="139">
        <f>SUMIF(BDClientes!V:V,A17,BDClientes!W:W)</f>
        <v>2900803.7503954438</v>
      </c>
      <c r="C17" s="194">
        <f>CreditMetrics!D447</f>
        <v>1.0789825501185115E-3</v>
      </c>
      <c r="D17">
        <f>COUNTIF(BDClientes!V:V,'CrediRisk+'!A17)</f>
        <v>2</v>
      </c>
      <c r="E17" s="138">
        <f t="shared" si="1"/>
        <v>2.1579651002370231E-3</v>
      </c>
      <c r="F17" s="66">
        <f t="shared" si="0"/>
        <v>1408.4624825977583</v>
      </c>
    </row>
    <row r="18" spans="1:10" x14ac:dyDescent="0.25">
      <c r="A18">
        <f>CreditMetrics!B448</f>
        <v>99</v>
      </c>
      <c r="B18" s="139">
        <f>SUMIF(BDClientes!V:V,A18,BDClientes!W:W)</f>
        <v>0</v>
      </c>
      <c r="C18" s="194">
        <f>CreditMetrics!D448</f>
        <v>2.9999999999999997E-4</v>
      </c>
      <c r="D18">
        <f>COUNTIF(BDClientes!V:V,'CrediRisk+'!A18)</f>
        <v>1</v>
      </c>
      <c r="E18" s="138">
        <f t="shared" si="1"/>
        <v>2.9999999999999997E-4</v>
      </c>
      <c r="F18" s="66">
        <f t="shared" si="0"/>
        <v>0</v>
      </c>
    </row>
    <row r="20" spans="1:10" x14ac:dyDescent="0.25">
      <c r="B20" s="139">
        <f>+SUM(B3:B18)</f>
        <v>267282099.12589571</v>
      </c>
      <c r="C20" s="141">
        <f>SUMPRODUCT(C3:C18,B3:B18)/B20</f>
        <v>0.23485742484592179</v>
      </c>
      <c r="D20">
        <f>SUM(D3:D18)</f>
        <v>542</v>
      </c>
      <c r="E20" s="140">
        <f>+D20*C20</f>
        <v>127.29272426648961</v>
      </c>
      <c r="F20" s="66">
        <f>SUM(F3:F18)</f>
        <v>28247933.478654128</v>
      </c>
    </row>
    <row r="21" spans="1:10" x14ac:dyDescent="0.25">
      <c r="B21" s="139">
        <f>+B20/D20</f>
        <v>493140.40429132048</v>
      </c>
      <c r="D21" t="s">
        <v>1338</v>
      </c>
    </row>
    <row r="28" spans="1:10" x14ac:dyDescent="0.25">
      <c r="C28" s="143">
        <f>POISSON(B38,1,0)</f>
        <v>0.18393972058572114</v>
      </c>
      <c r="D28" s="144">
        <f>1/50</f>
        <v>0.02</v>
      </c>
    </row>
    <row r="31" spans="1:10" ht="21" x14ac:dyDescent="0.35">
      <c r="B31" s="145" t="s">
        <v>1339</v>
      </c>
      <c r="F31" s="193">
        <f>C32*C33*0.45</f>
        <v>39944372.747596964</v>
      </c>
      <c r="I31" s="66" t="str">
        <f>+B31</f>
        <v>CREDIT RISK PLUS +</v>
      </c>
      <c r="J31" s="65" t="s">
        <v>1347</v>
      </c>
    </row>
    <row r="32" spans="1:10" x14ac:dyDescent="0.25">
      <c r="B32" s="139" t="s">
        <v>1340</v>
      </c>
      <c r="C32" s="139">
        <f>+B21</f>
        <v>493140.40429132048</v>
      </c>
      <c r="H32" s="50" t="s">
        <v>1346</v>
      </c>
      <c r="I32" s="66">
        <f>+F34</f>
        <v>39944372.747596897</v>
      </c>
      <c r="J32" s="144">
        <f>+I32/$B$20</f>
        <v>0.1494464944649444</v>
      </c>
    </row>
    <row r="33" spans="1:10" x14ac:dyDescent="0.25">
      <c r="B33" s="139" t="s">
        <v>1341</v>
      </c>
      <c r="C33" s="140">
        <v>180</v>
      </c>
      <c r="D33" t="s">
        <v>1352</v>
      </c>
      <c r="E33" t="s">
        <v>1220</v>
      </c>
      <c r="H33" s="50" t="s">
        <v>1345</v>
      </c>
      <c r="I33" s="66">
        <f>+I34-I32</f>
        <v>-5769742.7302083969</v>
      </c>
      <c r="J33" s="144">
        <f>+I33/$B$20</f>
        <v>-2.1586715867158473E-2</v>
      </c>
    </row>
    <row r="34" spans="1:10" x14ac:dyDescent="0.25">
      <c r="E34" s="89">
        <v>0.55000000000000004</v>
      </c>
      <c r="F34" s="139">
        <f>SUM(F36:F639)</f>
        <v>39944372.747596897</v>
      </c>
      <c r="G34" t="s">
        <v>1350</v>
      </c>
      <c r="H34" s="80" t="s">
        <v>1387</v>
      </c>
      <c r="I34" s="79">
        <f>+I190</f>
        <v>34174630.0173885</v>
      </c>
      <c r="J34" s="144">
        <f>+I34/$B$20</f>
        <v>0.12785977859778594</v>
      </c>
    </row>
    <row r="35" spans="1:10" x14ac:dyDescent="0.25">
      <c r="B35" s="139" t="s">
        <v>1342</v>
      </c>
      <c r="C35" s="141" t="s">
        <v>1348</v>
      </c>
      <c r="D35" t="s">
        <v>1343</v>
      </c>
      <c r="E35" t="s">
        <v>1219</v>
      </c>
      <c r="F35" t="s">
        <v>1239</v>
      </c>
      <c r="G35" t="s">
        <v>1349</v>
      </c>
      <c r="H35" s="80" t="s">
        <v>1344</v>
      </c>
      <c r="I35" s="66">
        <f>K191</f>
        <v>40127238.428736217</v>
      </c>
    </row>
    <row r="36" spans="1:10" x14ac:dyDescent="0.25">
      <c r="A36" s="66">
        <f>D36*E36</f>
        <v>0</v>
      </c>
      <c r="B36" s="146">
        <v>0</v>
      </c>
      <c r="C36" s="141">
        <f>POISSON(B36,$C$33,0)</f>
        <v>6.7141842882115936E-79</v>
      </c>
      <c r="D36" s="66">
        <f>+B36*$C$32</f>
        <v>0</v>
      </c>
      <c r="E36" s="89">
        <f t="shared" ref="E36:E99" si="2">1-$E$34</f>
        <v>0.44999999999999996</v>
      </c>
      <c r="F36" s="147">
        <f t="shared" ref="F36:F99" si="3">+D36*E36*C36</f>
        <v>0</v>
      </c>
      <c r="G36" s="141">
        <f>POISSON(B36,$C$33,1)</f>
        <v>6.7141842882115936E-79</v>
      </c>
      <c r="H36" s="49">
        <f>+C36</f>
        <v>6.7141842882115936E-79</v>
      </c>
    </row>
    <row r="37" spans="1:10" x14ac:dyDescent="0.25">
      <c r="A37" s="66">
        <f>D37*E37/1000000</f>
        <v>0.22191318193109419</v>
      </c>
      <c r="B37" s="146">
        <f t="shared" ref="B37:B100" si="4">+B36+1</f>
        <v>1</v>
      </c>
      <c r="C37" s="141">
        <f>POISSON(B37,$C$33,0)</f>
        <v>1.2085531718780868E-76</v>
      </c>
      <c r="D37" s="66">
        <f>+B37*$C$32</f>
        <v>493140.40429132048</v>
      </c>
      <c r="E37" s="89">
        <f t="shared" si="2"/>
        <v>0.44999999999999996</v>
      </c>
      <c r="F37" s="147">
        <f t="shared" si="3"/>
        <v>2.6819387990438281E-71</v>
      </c>
      <c r="G37" s="141">
        <f t="shared" ref="G37:G99" si="5">POISSON(B37,$C$33,1)</f>
        <v>1.2152673561663119E-76</v>
      </c>
      <c r="H37" s="49">
        <f t="shared" ref="H37:H68" si="6">+H36+C37</f>
        <v>1.2152673561662984E-76</v>
      </c>
    </row>
    <row r="38" spans="1:10" x14ac:dyDescent="0.25">
      <c r="A38" s="66">
        <f t="shared" ref="A38:A101" si="7">D38*E38/1000000</f>
        <v>0.44382636386218838</v>
      </c>
      <c r="B38" s="146">
        <f t="shared" si="4"/>
        <v>2</v>
      </c>
      <c r="C38" s="141">
        <f t="shared" ref="C38:C99" si="8">POISSON(B38,$C$33,0)</f>
        <v>1.0876978546902904E-74</v>
      </c>
      <c r="D38" s="66">
        <f>+B38*$C$32</f>
        <v>986280.80858264095</v>
      </c>
      <c r="E38" s="89">
        <f t="shared" si="2"/>
        <v>0.44999999999999996</v>
      </c>
      <c r="F38" s="147">
        <f t="shared" si="3"/>
        <v>4.827489838278945E-69</v>
      </c>
      <c r="G38" s="141">
        <f t="shared" si="5"/>
        <v>1.0998505282519402E-74</v>
      </c>
      <c r="H38" s="49">
        <f t="shared" si="6"/>
        <v>1.0998505282519533E-74</v>
      </c>
    </row>
    <row r="39" spans="1:10" x14ac:dyDescent="0.25">
      <c r="A39" s="66">
        <f t="shared" si="7"/>
        <v>0.66573954579328254</v>
      </c>
      <c r="B39" s="146">
        <f t="shared" si="4"/>
        <v>3</v>
      </c>
      <c r="C39" s="141">
        <f t="shared" si="8"/>
        <v>6.5261871281416624E-73</v>
      </c>
      <c r="D39" s="66">
        <f>+B39*$C$32</f>
        <v>1479421.2128739613</v>
      </c>
      <c r="E39" s="89">
        <f t="shared" si="2"/>
        <v>0.44999999999999996</v>
      </c>
      <c r="F39" s="147">
        <f t="shared" si="3"/>
        <v>4.3447408544509975E-67</v>
      </c>
      <c r="G39" s="141">
        <f t="shared" si="5"/>
        <v>6.6361721809667672E-73</v>
      </c>
      <c r="H39" s="49">
        <f t="shared" si="6"/>
        <v>6.6361721809668577E-73</v>
      </c>
    </row>
    <row r="40" spans="1:10" x14ac:dyDescent="0.25">
      <c r="A40" s="66">
        <f t="shared" si="7"/>
        <v>0.88765272772437676</v>
      </c>
      <c r="B40" s="146">
        <f t="shared" si="4"/>
        <v>4</v>
      </c>
      <c r="C40" s="141">
        <f t="shared" si="8"/>
        <v>2.9367842076637096E-71</v>
      </c>
      <c r="D40" s="66">
        <f>+B40*$C$32</f>
        <v>1972561.6171652819</v>
      </c>
      <c r="E40" s="89">
        <f t="shared" si="2"/>
        <v>0.44999999999999996</v>
      </c>
      <c r="F40" s="147">
        <f>+D40*E40*C40</f>
        <v>2.6068445126705641E-65</v>
      </c>
      <c r="G40" s="141">
        <f t="shared" si="5"/>
        <v>3.0031459294734363E-71</v>
      </c>
      <c r="H40" s="49">
        <f t="shared" si="6"/>
        <v>3.003145929473378E-71</v>
      </c>
    </row>
    <row r="41" spans="1:10" x14ac:dyDescent="0.25">
      <c r="A41" s="66">
        <f t="shared" si="7"/>
        <v>1.1095659096554711</v>
      </c>
      <c r="B41" s="146">
        <f t="shared" si="4"/>
        <v>5</v>
      </c>
      <c r="C41" s="141">
        <f t="shared" si="8"/>
        <v>1.0572423147589563E-69</v>
      </c>
      <c r="D41" s="66">
        <f t="shared" ref="D41:D99" si="9">+B41*$C$32</f>
        <v>2465702.0214566025</v>
      </c>
      <c r="E41" s="89">
        <f t="shared" si="2"/>
        <v>0.44999999999999996</v>
      </c>
      <c r="F41" s="147">
        <f t="shared" si="3"/>
        <v>1.1730800307017772E-63</v>
      </c>
      <c r="G41" s="141">
        <f>POISSON(B41,$C$33,1)</f>
        <v>1.0872737740536833E-69</v>
      </c>
      <c r="H41" s="49">
        <f t="shared" si="6"/>
        <v>1.0872737740536901E-69</v>
      </c>
    </row>
    <row r="42" spans="1:10" x14ac:dyDescent="0.25">
      <c r="A42" s="66">
        <f t="shared" si="7"/>
        <v>1.3314790915865651</v>
      </c>
      <c r="B42" s="146">
        <f t="shared" si="4"/>
        <v>6</v>
      </c>
      <c r="C42" s="141">
        <f t="shared" si="8"/>
        <v>3.1717269442768483E-68</v>
      </c>
      <c r="D42" s="66">
        <f t="shared" si="9"/>
        <v>2958842.4257479226</v>
      </c>
      <c r="E42" s="89">
        <f t="shared" si="2"/>
        <v>0.44999999999999996</v>
      </c>
      <c r="F42" s="147">
        <f t="shared" si="3"/>
        <v>4.2230881105263702E-62</v>
      </c>
      <c r="G42" s="141">
        <f t="shared" si="5"/>
        <v>3.280454321682209E-68</v>
      </c>
      <c r="H42" s="49">
        <f t="shared" si="6"/>
        <v>3.2804543216822172E-68</v>
      </c>
    </row>
    <row r="43" spans="1:10" x14ac:dyDescent="0.25">
      <c r="A43" s="66">
        <f t="shared" si="7"/>
        <v>1.5533922735176593</v>
      </c>
      <c r="B43" s="146">
        <f t="shared" si="4"/>
        <v>7</v>
      </c>
      <c r="C43" s="141">
        <f t="shared" si="8"/>
        <v>8.1558692852833063E-67</v>
      </c>
      <c r="D43" s="66">
        <f t="shared" si="9"/>
        <v>3451982.8300392432</v>
      </c>
      <c r="E43" s="89">
        <f t="shared" si="2"/>
        <v>0.44999999999999996</v>
      </c>
      <c r="F43" s="147">
        <f t="shared" si="3"/>
        <v>1.2669264331579083E-60</v>
      </c>
      <c r="G43" s="141">
        <f t="shared" si="5"/>
        <v>8.4839147174514724E-67</v>
      </c>
      <c r="H43" s="49">
        <f t="shared" si="6"/>
        <v>8.4839147174515278E-67</v>
      </c>
    </row>
    <row r="44" spans="1:10" x14ac:dyDescent="0.25">
      <c r="A44" s="66">
        <f t="shared" si="7"/>
        <v>1.7753054554487535</v>
      </c>
      <c r="B44" s="146">
        <f t="shared" si="4"/>
        <v>8</v>
      </c>
      <c r="C44" s="141">
        <f t="shared" si="8"/>
        <v>1.8350705891887337E-65</v>
      </c>
      <c r="D44" s="66">
        <f t="shared" si="9"/>
        <v>3945123.2343305638</v>
      </c>
      <c r="E44" s="89">
        <f t="shared" si="2"/>
        <v>0.44999999999999996</v>
      </c>
      <c r="F44" s="147">
        <f t="shared" si="3"/>
        <v>3.2578108281203174E-59</v>
      </c>
      <c r="G44" s="141">
        <f t="shared" si="5"/>
        <v>1.9199097363632236E-65</v>
      </c>
      <c r="H44" s="49">
        <f t="shared" si="6"/>
        <v>1.9199097363632489E-65</v>
      </c>
    </row>
    <row r="45" spans="1:10" x14ac:dyDescent="0.25">
      <c r="A45" s="66">
        <f t="shared" si="7"/>
        <v>1.9972186373798477</v>
      </c>
      <c r="B45" s="146">
        <f t="shared" si="4"/>
        <v>9</v>
      </c>
      <c r="C45" s="141">
        <f t="shared" si="8"/>
        <v>3.67014117837742E-64</v>
      </c>
      <c r="D45" s="66">
        <f t="shared" si="9"/>
        <v>4438263.6386218844</v>
      </c>
      <c r="E45" s="89">
        <f t="shared" si="2"/>
        <v>0.44999999999999996</v>
      </c>
      <c r="F45" s="147">
        <f t="shared" si="3"/>
        <v>7.3300743632706189E-58</v>
      </c>
      <c r="G45" s="141">
        <f t="shared" si="5"/>
        <v>3.8621321520138347E-64</v>
      </c>
      <c r="H45" s="49">
        <f t="shared" si="6"/>
        <v>3.862132152013745E-64</v>
      </c>
    </row>
    <row r="46" spans="1:10" x14ac:dyDescent="0.25">
      <c r="A46" s="66">
        <f t="shared" si="7"/>
        <v>2.2191318193109422</v>
      </c>
      <c r="B46" s="146">
        <f t="shared" si="4"/>
        <v>10</v>
      </c>
      <c r="C46" s="141">
        <f t="shared" si="8"/>
        <v>6.606254121079509E-63</v>
      </c>
      <c r="D46" s="66">
        <f t="shared" si="9"/>
        <v>4931404.042913205</v>
      </c>
      <c r="E46" s="89">
        <f t="shared" si="2"/>
        <v>0.44999999999999996</v>
      </c>
      <c r="F46" s="147">
        <f t="shared" si="3"/>
        <v>1.466014872654158E-56</v>
      </c>
      <c r="G46" s="141">
        <f t="shared" si="5"/>
        <v>6.992467336280957E-63</v>
      </c>
      <c r="H46" s="49">
        <f t="shared" si="6"/>
        <v>6.9924673362808836E-63</v>
      </c>
    </row>
    <row r="47" spans="1:10" x14ac:dyDescent="0.25">
      <c r="A47" s="66">
        <f t="shared" si="7"/>
        <v>2.4410450012420366</v>
      </c>
      <c r="B47" s="146">
        <f t="shared" si="4"/>
        <v>11</v>
      </c>
      <c r="C47" s="141">
        <f t="shared" si="8"/>
        <v>1.0810234016312023E-61</v>
      </c>
      <c r="D47" s="66">
        <f t="shared" si="9"/>
        <v>5424544.4472045256</v>
      </c>
      <c r="E47" s="89">
        <f t="shared" si="2"/>
        <v>0.44999999999999996</v>
      </c>
      <c r="F47" s="147">
        <f t="shared" si="3"/>
        <v>2.6388267707775085E-55</v>
      </c>
      <c r="G47" s="141">
        <f t="shared" si="5"/>
        <v>1.1509480749940166E-61</v>
      </c>
      <c r="H47" s="49">
        <f t="shared" si="6"/>
        <v>1.150948074994011E-61</v>
      </c>
    </row>
    <row r="48" spans="1:10" x14ac:dyDescent="0.25">
      <c r="A48" s="66">
        <f t="shared" si="7"/>
        <v>2.6629581831731302</v>
      </c>
      <c r="B48" s="146">
        <f t="shared" si="4"/>
        <v>12</v>
      </c>
      <c r="C48" s="141">
        <f t="shared" si="8"/>
        <v>1.6215351024468096E-60</v>
      </c>
      <c r="D48" s="66">
        <f t="shared" si="9"/>
        <v>5917684.8514958452</v>
      </c>
      <c r="E48" s="89">
        <f t="shared" si="2"/>
        <v>0.44999999999999996</v>
      </c>
      <c r="F48" s="147">
        <f t="shared" si="3"/>
        <v>4.3180801703632117E-54</v>
      </c>
      <c r="G48" s="141">
        <f t="shared" si="5"/>
        <v>1.7366299099461696E-60</v>
      </c>
      <c r="H48" s="49">
        <f t="shared" si="6"/>
        <v>1.7366299099462105E-60</v>
      </c>
    </row>
    <row r="49" spans="1:8" x14ac:dyDescent="0.25">
      <c r="A49" s="66">
        <f t="shared" si="7"/>
        <v>2.8848713651042246</v>
      </c>
      <c r="B49" s="146">
        <f t="shared" si="4"/>
        <v>13</v>
      </c>
      <c r="C49" s="141">
        <f t="shared" si="8"/>
        <v>2.2452024495416833E-59</v>
      </c>
      <c r="D49" s="66">
        <f t="shared" si="9"/>
        <v>6410825.2557871658</v>
      </c>
      <c r="E49" s="89">
        <f t="shared" si="2"/>
        <v>0.44999999999999996</v>
      </c>
      <c r="F49" s="147">
        <f t="shared" si="3"/>
        <v>6.4771202555446644E-53</v>
      </c>
      <c r="G49" s="141">
        <f t="shared" si="5"/>
        <v>2.4188654405363349E-59</v>
      </c>
      <c r="H49" s="49">
        <f t="shared" si="6"/>
        <v>2.4188654405363044E-59</v>
      </c>
    </row>
    <row r="50" spans="1:8" x14ac:dyDescent="0.25">
      <c r="A50" s="66">
        <f t="shared" si="7"/>
        <v>3.1067845470353186</v>
      </c>
      <c r="B50" s="146">
        <f t="shared" si="4"/>
        <v>14</v>
      </c>
      <c r="C50" s="141">
        <f t="shared" si="8"/>
        <v>2.8866888636964919E-58</v>
      </c>
      <c r="D50" s="66">
        <f t="shared" si="9"/>
        <v>6903965.6600784864</v>
      </c>
      <c r="E50" s="89">
        <f t="shared" si="2"/>
        <v>0.44999999999999996</v>
      </c>
      <c r="F50" s="147">
        <f t="shared" si="3"/>
        <v>8.9683203538312049E-52</v>
      </c>
      <c r="G50" s="141">
        <f t="shared" si="5"/>
        <v>3.1285754077500909E-58</v>
      </c>
      <c r="H50" s="49">
        <f t="shared" si="6"/>
        <v>3.1285754077501224E-58</v>
      </c>
    </row>
    <row r="51" spans="1:8" x14ac:dyDescent="0.25">
      <c r="A51" s="66">
        <f t="shared" si="7"/>
        <v>3.3286977289664126</v>
      </c>
      <c r="B51" s="146">
        <f t="shared" si="4"/>
        <v>15</v>
      </c>
      <c r="C51" s="141">
        <f t="shared" si="8"/>
        <v>3.4640266364357526E-57</v>
      </c>
      <c r="D51" s="66">
        <f t="shared" si="9"/>
        <v>7397106.064369807</v>
      </c>
      <c r="E51" s="89">
        <f t="shared" si="2"/>
        <v>0.44999999999999996</v>
      </c>
      <c r="F51" s="147">
        <f t="shared" si="3"/>
        <v>1.153069759778285E-50</v>
      </c>
      <c r="G51" s="141">
        <f t="shared" si="5"/>
        <v>3.7768841772107795E-57</v>
      </c>
      <c r="H51" s="49">
        <f t="shared" si="6"/>
        <v>3.7768841772107648E-57</v>
      </c>
    </row>
    <row r="52" spans="1:8" x14ac:dyDescent="0.25">
      <c r="A52" s="66">
        <f t="shared" si="7"/>
        <v>3.550610910897507</v>
      </c>
      <c r="B52" s="146">
        <f t="shared" si="4"/>
        <v>16</v>
      </c>
      <c r="C52" s="141">
        <f t="shared" si="8"/>
        <v>3.8970299659902404E-56</v>
      </c>
      <c r="D52" s="66">
        <f t="shared" si="9"/>
        <v>7890246.4686611276</v>
      </c>
      <c r="E52" s="89">
        <f t="shared" si="2"/>
        <v>0.44999999999999996</v>
      </c>
      <c r="F52" s="147">
        <f t="shared" si="3"/>
        <v>1.3836837117339488E-49</v>
      </c>
      <c r="G52" s="141">
        <f t="shared" si="5"/>
        <v>4.2747183837113022E-56</v>
      </c>
      <c r="H52" s="49">
        <f t="shared" si="6"/>
        <v>4.2747183837113167E-56</v>
      </c>
    </row>
    <row r="53" spans="1:8" x14ac:dyDescent="0.25">
      <c r="A53" s="66">
        <f t="shared" si="7"/>
        <v>3.772524092828601</v>
      </c>
      <c r="B53" s="146">
        <f t="shared" si="4"/>
        <v>17</v>
      </c>
      <c r="C53" s="141">
        <f t="shared" si="8"/>
        <v>4.126267022813182E-55</v>
      </c>
      <c r="D53" s="66">
        <f t="shared" si="9"/>
        <v>8383386.8729524482</v>
      </c>
      <c r="E53" s="89">
        <f t="shared" si="2"/>
        <v>0.44999999999999996</v>
      </c>
      <c r="F53" s="147">
        <f t="shared" si="3"/>
        <v>1.5566441757006872E-48</v>
      </c>
      <c r="G53" s="141">
        <f t="shared" si="5"/>
        <v>4.5537388611843203E-55</v>
      </c>
      <c r="H53" s="49">
        <f t="shared" si="6"/>
        <v>4.5537388611843138E-55</v>
      </c>
    </row>
    <row r="54" spans="1:8" x14ac:dyDescent="0.25">
      <c r="A54" s="66">
        <f t="shared" si="7"/>
        <v>3.9944372747596955</v>
      </c>
      <c r="B54" s="146">
        <f t="shared" si="4"/>
        <v>18</v>
      </c>
      <c r="C54" s="141">
        <f t="shared" si="8"/>
        <v>4.1262670228131897E-54</v>
      </c>
      <c r="D54" s="66">
        <f t="shared" si="9"/>
        <v>8876527.2772437688</v>
      </c>
      <c r="E54" s="89">
        <f t="shared" si="2"/>
        <v>0.44999999999999996</v>
      </c>
      <c r="F54" s="147">
        <f t="shared" si="3"/>
        <v>1.6482114801536719E-47</v>
      </c>
      <c r="G54" s="141">
        <f t="shared" si="5"/>
        <v>4.5816409089316179E-54</v>
      </c>
      <c r="H54" s="49">
        <f t="shared" si="6"/>
        <v>4.5816409089316214E-54</v>
      </c>
    </row>
    <row r="55" spans="1:8" x14ac:dyDescent="0.25">
      <c r="A55" s="66">
        <f t="shared" si="7"/>
        <v>4.2163504566907903</v>
      </c>
      <c r="B55" s="146">
        <f t="shared" si="4"/>
        <v>19</v>
      </c>
      <c r="C55" s="141">
        <f t="shared" si="8"/>
        <v>3.9090950742440701E-53</v>
      </c>
      <c r="D55" s="66">
        <f t="shared" si="9"/>
        <v>9369667.6815350894</v>
      </c>
      <c r="E55" s="89">
        <f t="shared" si="2"/>
        <v>0.44999999999999996</v>
      </c>
      <c r="F55" s="147">
        <f t="shared" si="3"/>
        <v>1.6482114801536702E-46</v>
      </c>
      <c r="G55" s="141">
        <f t="shared" si="5"/>
        <v>4.3672591651373042E-53</v>
      </c>
      <c r="H55" s="49">
        <f t="shared" si="6"/>
        <v>4.3672591651372319E-53</v>
      </c>
    </row>
    <row r="56" spans="1:8" x14ac:dyDescent="0.25">
      <c r="A56" s="66">
        <f t="shared" si="7"/>
        <v>4.4382636386218843</v>
      </c>
      <c r="B56" s="146">
        <f t="shared" si="4"/>
        <v>20</v>
      </c>
      <c r="C56" s="141">
        <f t="shared" si="8"/>
        <v>3.518185566819718E-52</v>
      </c>
      <c r="D56" s="66">
        <f t="shared" si="9"/>
        <v>9862808.08582641</v>
      </c>
      <c r="E56" s="89">
        <f t="shared" si="2"/>
        <v>0.44999999999999996</v>
      </c>
      <c r="F56" s="147">
        <f t="shared" si="3"/>
        <v>1.5614635075140278E-45</v>
      </c>
      <c r="G56" s="141">
        <f t="shared" si="5"/>
        <v>3.9549114833334004E-52</v>
      </c>
      <c r="H56" s="49">
        <f t="shared" si="6"/>
        <v>3.9549114833334412E-52</v>
      </c>
    </row>
    <row r="57" spans="1:8" x14ac:dyDescent="0.25">
      <c r="A57" s="66">
        <f t="shared" si="7"/>
        <v>4.6601768205529783</v>
      </c>
      <c r="B57" s="146">
        <f t="shared" si="4"/>
        <v>21</v>
      </c>
      <c r="C57" s="141">
        <f t="shared" si="8"/>
        <v>3.0155876287025798E-51</v>
      </c>
      <c r="D57" s="66">
        <f t="shared" si="9"/>
        <v>10355948.490117731</v>
      </c>
      <c r="E57" s="89">
        <f t="shared" si="2"/>
        <v>0.44999999999999996</v>
      </c>
      <c r="F57" s="147">
        <f t="shared" si="3"/>
        <v>1.4053171567626084E-44</v>
      </c>
      <c r="G57" s="141">
        <f t="shared" si="5"/>
        <v>3.4110787770359197E-51</v>
      </c>
      <c r="H57" s="49">
        <f t="shared" si="6"/>
        <v>3.4110787770359239E-51</v>
      </c>
    </row>
    <row r="58" spans="1:8" x14ac:dyDescent="0.25">
      <c r="A58" s="66">
        <f t="shared" si="7"/>
        <v>4.8820900024840732</v>
      </c>
      <c r="B58" s="146">
        <f t="shared" si="4"/>
        <v>22</v>
      </c>
      <c r="C58" s="141">
        <f t="shared" si="8"/>
        <v>2.4672989689384745E-50</v>
      </c>
      <c r="D58" s="66">
        <f t="shared" si="9"/>
        <v>10849088.894409051</v>
      </c>
      <c r="E58" s="89">
        <f t="shared" si="2"/>
        <v>0.44999999999999996</v>
      </c>
      <c r="F58" s="147">
        <f t="shared" si="3"/>
        <v>1.2045575629393787E-43</v>
      </c>
      <c r="G58" s="141">
        <f t="shared" si="5"/>
        <v>2.8084068466420654E-50</v>
      </c>
      <c r="H58" s="49">
        <f t="shared" si="6"/>
        <v>2.8084068466420669E-50</v>
      </c>
    </row>
    <row r="59" spans="1:8" x14ac:dyDescent="0.25">
      <c r="A59" s="66">
        <f t="shared" si="7"/>
        <v>5.1040031844151672</v>
      </c>
      <c r="B59" s="146">
        <f t="shared" si="4"/>
        <v>23</v>
      </c>
      <c r="C59" s="141">
        <f t="shared" si="8"/>
        <v>1.930929627864893E-49</v>
      </c>
      <c r="D59" s="66">
        <f t="shared" si="9"/>
        <v>11342229.298700372</v>
      </c>
      <c r="E59" s="89">
        <f t="shared" si="2"/>
        <v>0.44999999999999996</v>
      </c>
      <c r="F59" s="147">
        <f t="shared" si="3"/>
        <v>9.8554709695040077E-43</v>
      </c>
      <c r="G59" s="141">
        <f t="shared" si="5"/>
        <v>2.2117703125290922E-49</v>
      </c>
      <c r="H59" s="49">
        <f t="shared" si="6"/>
        <v>2.2117703125290998E-49</v>
      </c>
    </row>
    <row r="60" spans="1:8" x14ac:dyDescent="0.25">
      <c r="A60" s="66">
        <f t="shared" si="7"/>
        <v>5.3259163663462603</v>
      </c>
      <c r="B60" s="146">
        <f t="shared" si="4"/>
        <v>24</v>
      </c>
      <c r="C60" s="141">
        <f t="shared" si="8"/>
        <v>1.4481972208986649E-48</v>
      </c>
      <c r="D60" s="66">
        <f t="shared" si="9"/>
        <v>11835369.70299169</v>
      </c>
      <c r="E60" s="89">
        <f t="shared" si="2"/>
        <v>0.44999999999999996</v>
      </c>
      <c r="F60" s="147">
        <f t="shared" si="3"/>
        <v>7.7129772804813698E-42</v>
      </c>
      <c r="G60" s="141">
        <f t="shared" si="5"/>
        <v>1.6693742521515936E-48</v>
      </c>
      <c r="H60" s="49">
        <f t="shared" si="6"/>
        <v>1.6693742521515748E-48</v>
      </c>
    </row>
    <row r="61" spans="1:8" x14ac:dyDescent="0.25">
      <c r="A61" s="66">
        <f t="shared" si="7"/>
        <v>5.5478295482773552</v>
      </c>
      <c r="B61" s="146">
        <f t="shared" si="4"/>
        <v>25</v>
      </c>
      <c r="C61" s="141">
        <f t="shared" si="8"/>
        <v>1.0427019990470508E-47</v>
      </c>
      <c r="D61" s="66">
        <f t="shared" si="9"/>
        <v>12328510.107283011</v>
      </c>
      <c r="E61" s="89">
        <f t="shared" si="2"/>
        <v>0.44999999999999996</v>
      </c>
      <c r="F61" s="147">
        <f t="shared" si="3"/>
        <v>5.7847329603610952E-41</v>
      </c>
      <c r="G61" s="141">
        <f t="shared" si="5"/>
        <v>1.2096394242621952E-47</v>
      </c>
      <c r="H61" s="49">
        <f t="shared" si="6"/>
        <v>1.2096394242622083E-47</v>
      </c>
    </row>
    <row r="62" spans="1:8" x14ac:dyDescent="0.25">
      <c r="A62" s="66">
        <f t="shared" si="7"/>
        <v>5.7697427302084492</v>
      </c>
      <c r="B62" s="146">
        <f t="shared" si="4"/>
        <v>26</v>
      </c>
      <c r="C62" s="141">
        <f t="shared" si="8"/>
        <v>7.2187061472487243E-47</v>
      </c>
      <c r="D62" s="66">
        <f t="shared" si="9"/>
        <v>12821650.511574332</v>
      </c>
      <c r="E62" s="89">
        <f t="shared" si="2"/>
        <v>0.44999999999999996</v>
      </c>
      <c r="F62" s="147">
        <f t="shared" si="3"/>
        <v>4.165007731459937E-40</v>
      </c>
      <c r="G62" s="141">
        <f t="shared" si="5"/>
        <v>8.4283455715109853E-47</v>
      </c>
      <c r="H62" s="49">
        <f t="shared" si="6"/>
        <v>8.4283455715109328E-47</v>
      </c>
    </row>
    <row r="63" spans="1:8" x14ac:dyDescent="0.25">
      <c r="A63" s="66">
        <f t="shared" si="7"/>
        <v>5.9916559121395432</v>
      </c>
      <c r="B63" s="146">
        <f t="shared" si="4"/>
        <v>27</v>
      </c>
      <c r="C63" s="141">
        <f t="shared" si="8"/>
        <v>4.8124707648325228E-46</v>
      </c>
      <c r="D63" s="66">
        <f t="shared" si="9"/>
        <v>13314790.915865652</v>
      </c>
      <c r="E63" s="89">
        <f t="shared" si="2"/>
        <v>0.44999999999999996</v>
      </c>
      <c r="F63" s="147">
        <f t="shared" si="3"/>
        <v>2.8834668910107495E-39</v>
      </c>
      <c r="G63" s="141">
        <f t="shared" si="5"/>
        <v>5.6553053219836129E-46</v>
      </c>
      <c r="H63" s="49">
        <f t="shared" si="6"/>
        <v>5.655305321983616E-46</v>
      </c>
    </row>
    <row r="64" spans="1:8" x14ac:dyDescent="0.25">
      <c r="A64" s="66">
        <f t="shared" si="7"/>
        <v>6.2135690940706372</v>
      </c>
      <c r="B64" s="146">
        <f t="shared" si="4"/>
        <v>28</v>
      </c>
      <c r="C64" s="141">
        <f t="shared" si="8"/>
        <v>3.0937312059637613E-45</v>
      </c>
      <c r="D64" s="66">
        <f t="shared" si="9"/>
        <v>13807931.320156973</v>
      </c>
      <c r="E64" s="89">
        <f t="shared" si="2"/>
        <v>0.44999999999999996</v>
      </c>
      <c r="F64" s="147">
        <f t="shared" si="3"/>
        <v>1.9223112606738309E-38</v>
      </c>
      <c r="G64" s="141">
        <f t="shared" si="5"/>
        <v>3.6592617381621303E-45</v>
      </c>
      <c r="H64" s="49">
        <f t="shared" si="6"/>
        <v>3.6592617381621228E-45</v>
      </c>
    </row>
    <row r="65" spans="1:8" x14ac:dyDescent="0.25">
      <c r="A65" s="66">
        <f t="shared" si="7"/>
        <v>6.4354822760017321</v>
      </c>
      <c r="B65" s="146">
        <f t="shared" si="4"/>
        <v>29</v>
      </c>
      <c r="C65" s="141">
        <f t="shared" si="8"/>
        <v>1.9202469554257871E-44</v>
      </c>
      <c r="D65" s="66">
        <f t="shared" si="9"/>
        <v>14301071.724448293</v>
      </c>
      <c r="E65" s="89">
        <f t="shared" si="2"/>
        <v>0.44999999999999996</v>
      </c>
      <c r="F65" s="147">
        <f t="shared" si="3"/>
        <v>1.235771524718894E-37</v>
      </c>
      <c r="G65" s="141">
        <f t="shared" si="5"/>
        <v>2.2861731292420009E-44</v>
      </c>
      <c r="H65" s="49">
        <f t="shared" si="6"/>
        <v>2.2861731292419994E-44</v>
      </c>
    </row>
    <row r="66" spans="1:8" x14ac:dyDescent="0.25">
      <c r="A66" s="66">
        <f t="shared" si="7"/>
        <v>6.6573954579328252</v>
      </c>
      <c r="B66" s="146">
        <f t="shared" si="4"/>
        <v>30</v>
      </c>
      <c r="C66" s="141">
        <f t="shared" si="8"/>
        <v>1.1521481732554728E-43</v>
      </c>
      <c r="D66" s="66">
        <f t="shared" si="9"/>
        <v>14794212.128739614</v>
      </c>
      <c r="E66" s="89">
        <f t="shared" si="2"/>
        <v>0.44999999999999996</v>
      </c>
      <c r="F66" s="147">
        <f t="shared" si="3"/>
        <v>7.6703060154965857E-37</v>
      </c>
      <c r="G66" s="141">
        <f t="shared" si="5"/>
        <v>1.3807654861796723E-43</v>
      </c>
      <c r="H66" s="49">
        <f t="shared" si="6"/>
        <v>1.3807654861796727E-43</v>
      </c>
    </row>
    <row r="67" spans="1:8" x14ac:dyDescent="0.25">
      <c r="A67" s="66">
        <f t="shared" si="7"/>
        <v>6.8793086398639192</v>
      </c>
      <c r="B67" s="146">
        <f t="shared" si="4"/>
        <v>31</v>
      </c>
      <c r="C67" s="141">
        <f t="shared" si="8"/>
        <v>6.6898926189027407E-43</v>
      </c>
      <c r="D67" s="66">
        <f t="shared" si="9"/>
        <v>15287352.533030935</v>
      </c>
      <c r="E67" s="89">
        <f t="shared" si="2"/>
        <v>0.44999999999999996</v>
      </c>
      <c r="F67" s="147">
        <f t="shared" si="3"/>
        <v>4.6021836092979487E-36</v>
      </c>
      <c r="G67" s="141">
        <f t="shared" si="5"/>
        <v>8.0706581050824361E-43</v>
      </c>
      <c r="H67" s="49">
        <f t="shared" si="6"/>
        <v>8.0706581050824138E-43</v>
      </c>
    </row>
    <row r="68" spans="1:8" x14ac:dyDescent="0.25">
      <c r="A68" s="66">
        <f t="shared" si="7"/>
        <v>7.101221821795014</v>
      </c>
      <c r="B68" s="146">
        <f t="shared" si="4"/>
        <v>32</v>
      </c>
      <c r="C68" s="141">
        <f t="shared" si="8"/>
        <v>3.7630645981328023E-42</v>
      </c>
      <c r="D68" s="66">
        <f t="shared" si="9"/>
        <v>15780492.937322255</v>
      </c>
      <c r="E68" s="89">
        <f t="shared" si="2"/>
        <v>0.44999999999999996</v>
      </c>
      <c r="F68" s="147">
        <f t="shared" si="3"/>
        <v>2.6722356441084941E-35</v>
      </c>
      <c r="G68" s="141">
        <f t="shared" si="5"/>
        <v>4.5701304086410488E-42</v>
      </c>
      <c r="H68" s="49">
        <f t="shared" si="6"/>
        <v>4.5701304086410437E-42</v>
      </c>
    </row>
    <row r="69" spans="1:8" x14ac:dyDescent="0.25">
      <c r="A69" s="66">
        <f t="shared" si="7"/>
        <v>7.323135003726108</v>
      </c>
      <c r="B69" s="146">
        <f t="shared" si="4"/>
        <v>33</v>
      </c>
      <c r="C69" s="141">
        <f t="shared" si="8"/>
        <v>2.0525806898906213E-41</v>
      </c>
      <c r="D69" s="66">
        <f t="shared" si="9"/>
        <v>16273633.341613576</v>
      </c>
      <c r="E69" s="89">
        <f t="shared" si="2"/>
        <v>0.44999999999999996</v>
      </c>
      <c r="F69" s="147">
        <f t="shared" si="3"/>
        <v>1.5031325498110293E-34</v>
      </c>
      <c r="G69" s="141">
        <f t="shared" si="5"/>
        <v>2.5095937307546996E-41</v>
      </c>
      <c r="H69" s="49">
        <f t="shared" ref="H69:H100" si="10">+H68+C69</f>
        <v>2.5095937307547256E-41</v>
      </c>
    </row>
    <row r="70" spans="1:8" x14ac:dyDescent="0.25">
      <c r="A70" s="66">
        <f t="shared" si="7"/>
        <v>7.545048185657202</v>
      </c>
      <c r="B70" s="146">
        <f t="shared" si="4"/>
        <v>34</v>
      </c>
      <c r="C70" s="141">
        <f t="shared" si="8"/>
        <v>1.0866603652361996E-40</v>
      </c>
      <c r="D70" s="66">
        <f t="shared" si="9"/>
        <v>16766773.745904896</v>
      </c>
      <c r="E70" s="89">
        <f t="shared" si="2"/>
        <v>0.44999999999999996</v>
      </c>
      <c r="F70" s="147">
        <f t="shared" si="3"/>
        <v>8.1989048171509804E-34</v>
      </c>
      <c r="G70" s="141">
        <f t="shared" si="5"/>
        <v>1.3376197383116509E-40</v>
      </c>
      <c r="H70" s="49">
        <f t="shared" si="10"/>
        <v>1.3376197383116721E-40</v>
      </c>
    </row>
    <row r="71" spans="1:8" x14ac:dyDescent="0.25">
      <c r="A71" s="66">
        <f t="shared" si="7"/>
        <v>7.7669613675882969</v>
      </c>
      <c r="B71" s="146">
        <f t="shared" si="4"/>
        <v>35</v>
      </c>
      <c r="C71" s="141">
        <f t="shared" si="8"/>
        <v>5.5885390212146646E-40</v>
      </c>
      <c r="D71" s="66">
        <f t="shared" si="9"/>
        <v>17259914.150196217</v>
      </c>
      <c r="E71" s="89">
        <f t="shared" si="2"/>
        <v>0.44999999999999996</v>
      </c>
      <c r="F71" s="147">
        <f t="shared" si="3"/>
        <v>4.340596667903401E-33</v>
      </c>
      <c r="G71" s="141">
        <f t="shared" si="5"/>
        <v>6.9261587595263402E-40</v>
      </c>
      <c r="H71" s="49">
        <f t="shared" si="10"/>
        <v>6.9261587595263369E-40</v>
      </c>
    </row>
    <row r="72" spans="1:8" x14ac:dyDescent="0.25">
      <c r="A72" s="66">
        <f t="shared" si="7"/>
        <v>7.9888745495193909</v>
      </c>
      <c r="B72" s="146">
        <f t="shared" si="4"/>
        <v>36</v>
      </c>
      <c r="C72" s="141">
        <f t="shared" si="8"/>
        <v>2.7942695106073422E-39</v>
      </c>
      <c r="D72" s="66">
        <f t="shared" si="9"/>
        <v>17753054.554487538</v>
      </c>
      <c r="E72" s="89">
        <f t="shared" si="2"/>
        <v>0.44999999999999996</v>
      </c>
      <c r="F72" s="147">
        <f t="shared" si="3"/>
        <v>2.2323068577788999E-32</v>
      </c>
      <c r="G72" s="141">
        <f t="shared" si="5"/>
        <v>3.4868853865600319E-39</v>
      </c>
      <c r="H72" s="49">
        <f t="shared" si="10"/>
        <v>3.4868853865599758E-39</v>
      </c>
    </row>
    <row r="73" spans="1:8" x14ac:dyDescent="0.25">
      <c r="A73" s="66">
        <f t="shared" si="7"/>
        <v>8.2107877314504858</v>
      </c>
      <c r="B73" s="146">
        <f t="shared" si="4"/>
        <v>37</v>
      </c>
      <c r="C73" s="141">
        <f t="shared" si="8"/>
        <v>1.3593743565117018E-38</v>
      </c>
      <c r="D73" s="66">
        <f t="shared" si="9"/>
        <v>18246194.958778858</v>
      </c>
      <c r="E73" s="89">
        <f t="shared" si="2"/>
        <v>0.44999999999999996</v>
      </c>
      <c r="F73" s="147">
        <f t="shared" si="3"/>
        <v>1.1161534288894679E-31</v>
      </c>
      <c r="G73" s="141">
        <f t="shared" si="5"/>
        <v>1.7080628951676979E-38</v>
      </c>
      <c r="H73" s="49">
        <f t="shared" si="10"/>
        <v>1.7080628951676992E-38</v>
      </c>
    </row>
    <row r="74" spans="1:8" x14ac:dyDescent="0.25">
      <c r="A74" s="66">
        <f t="shared" si="7"/>
        <v>8.4327009133815807</v>
      </c>
      <c r="B74" s="146">
        <f t="shared" si="4"/>
        <v>38</v>
      </c>
      <c r="C74" s="141">
        <f t="shared" si="8"/>
        <v>6.4391416887396137E-38</v>
      </c>
      <c r="D74" s="66">
        <f t="shared" si="9"/>
        <v>18739335.363070179</v>
      </c>
      <c r="E74" s="89">
        <f t="shared" si="2"/>
        <v>0.44999999999999996</v>
      </c>
      <c r="F74" s="147">
        <f t="shared" si="3"/>
        <v>5.4299356000027951E-31</v>
      </c>
      <c r="G74" s="141">
        <f t="shared" si="5"/>
        <v>8.1472045839072064E-38</v>
      </c>
      <c r="H74" s="49">
        <f t="shared" si="10"/>
        <v>8.1472045839073129E-38</v>
      </c>
    </row>
    <row r="75" spans="1:8" x14ac:dyDescent="0.25">
      <c r="A75" s="66">
        <f t="shared" si="7"/>
        <v>8.6546140953126738</v>
      </c>
      <c r="B75" s="146">
        <f t="shared" si="4"/>
        <v>39</v>
      </c>
      <c r="C75" s="141">
        <f t="shared" si="8"/>
        <v>2.9719115486490143E-37</v>
      </c>
      <c r="D75" s="66">
        <f t="shared" si="9"/>
        <v>19232475.767361499</v>
      </c>
      <c r="E75" s="89">
        <f t="shared" si="2"/>
        <v>0.44999999999999996</v>
      </c>
      <c r="F75" s="147">
        <f t="shared" si="3"/>
        <v>2.5720747578960274E-30</v>
      </c>
      <c r="G75" s="141">
        <f t="shared" si="5"/>
        <v>3.7866320070398264E-37</v>
      </c>
      <c r="H75" s="49">
        <f t="shared" si="10"/>
        <v>3.7866320070397453E-37</v>
      </c>
    </row>
    <row r="76" spans="1:8" x14ac:dyDescent="0.25">
      <c r="A76" s="66">
        <f t="shared" si="7"/>
        <v>8.8765272772437687</v>
      </c>
      <c r="B76" s="146">
        <f t="shared" si="4"/>
        <v>40</v>
      </c>
      <c r="C76" s="141">
        <f t="shared" si="8"/>
        <v>1.3373601968920883E-36</v>
      </c>
      <c r="D76" s="66">
        <f t="shared" si="9"/>
        <v>19725616.17165282</v>
      </c>
      <c r="E76" s="89">
        <f t="shared" si="2"/>
        <v>0.44999999999999996</v>
      </c>
      <c r="F76" s="147">
        <f t="shared" si="3"/>
        <v>1.187111426721272E-29</v>
      </c>
      <c r="G76" s="141">
        <f t="shared" si="5"/>
        <v>1.716023397596035E-36</v>
      </c>
      <c r="H76" s="49">
        <f t="shared" si="10"/>
        <v>1.716023397596063E-36</v>
      </c>
    </row>
    <row r="77" spans="1:8" x14ac:dyDescent="0.25">
      <c r="A77" s="66">
        <f t="shared" si="7"/>
        <v>9.0984404591748618</v>
      </c>
      <c r="B77" s="146">
        <f t="shared" si="4"/>
        <v>41</v>
      </c>
      <c r="C77" s="141">
        <f t="shared" si="8"/>
        <v>5.8713374497700224E-36</v>
      </c>
      <c r="D77" s="66">
        <f t="shared" si="9"/>
        <v>20218756.575944141</v>
      </c>
      <c r="E77" s="89">
        <f t="shared" si="2"/>
        <v>0.44999999999999996</v>
      </c>
      <c r="F77" s="147">
        <f t="shared" si="3"/>
        <v>5.3420014202456131E-29</v>
      </c>
      <c r="G77" s="141">
        <f t="shared" si="5"/>
        <v>7.587360847366169E-36</v>
      </c>
      <c r="H77" s="49">
        <f t="shared" si="10"/>
        <v>7.5873608473660861E-36</v>
      </c>
    </row>
    <row r="78" spans="1:8" x14ac:dyDescent="0.25">
      <c r="A78" s="66">
        <f t="shared" si="7"/>
        <v>9.3203536411059567</v>
      </c>
      <c r="B78" s="146">
        <f t="shared" si="4"/>
        <v>42</v>
      </c>
      <c r="C78" s="141">
        <f t="shared" si="8"/>
        <v>2.5162874784729041E-35</v>
      </c>
      <c r="D78" s="66">
        <f t="shared" si="9"/>
        <v>20711896.980235461</v>
      </c>
      <c r="E78" s="89">
        <f t="shared" si="2"/>
        <v>0.44999999999999996</v>
      </c>
      <c r="F78" s="147">
        <f t="shared" si="3"/>
        <v>2.3452689162054259E-28</v>
      </c>
      <c r="G78" s="141">
        <f t="shared" si="5"/>
        <v>3.2750235632094795E-35</v>
      </c>
      <c r="H78" s="49">
        <f t="shared" si="10"/>
        <v>3.2750235632095127E-35</v>
      </c>
    </row>
    <row r="79" spans="1:8" x14ac:dyDescent="0.25">
      <c r="A79" s="66">
        <f t="shared" si="7"/>
        <v>9.5422668230370515</v>
      </c>
      <c r="B79" s="146">
        <f t="shared" si="4"/>
        <v>43</v>
      </c>
      <c r="C79" s="141">
        <f t="shared" si="8"/>
        <v>1.0533296421514345E-34</v>
      </c>
      <c r="D79" s="66">
        <f t="shared" si="9"/>
        <v>21205037.384526782</v>
      </c>
      <c r="E79" s="89">
        <f t="shared" si="2"/>
        <v>0.44999999999999996</v>
      </c>
      <c r="F79" s="147">
        <f t="shared" si="3"/>
        <v>1.0051152498023123E-27</v>
      </c>
      <c r="G79" s="141">
        <f t="shared" si="5"/>
        <v>1.3808319984723911E-34</v>
      </c>
      <c r="H79" s="49">
        <f t="shared" si="10"/>
        <v>1.3808319984723858E-34</v>
      </c>
    </row>
    <row r="80" spans="1:8" x14ac:dyDescent="0.25">
      <c r="A80" s="66">
        <f t="shared" si="7"/>
        <v>9.7641800049681464</v>
      </c>
      <c r="B80" s="146">
        <f t="shared" si="4"/>
        <v>44</v>
      </c>
      <c r="C80" s="141">
        <f t="shared" si="8"/>
        <v>4.3090758088013507E-34</v>
      </c>
      <c r="D80" s="66">
        <f t="shared" si="9"/>
        <v>21698177.788818102</v>
      </c>
      <c r="E80" s="89">
        <f t="shared" si="2"/>
        <v>0.44999999999999996</v>
      </c>
      <c r="F80" s="147">
        <f t="shared" si="3"/>
        <v>4.2074591852190091E-27</v>
      </c>
      <c r="G80" s="141">
        <f t="shared" si="5"/>
        <v>5.6899078072737196E-34</v>
      </c>
      <c r="H80" s="49">
        <f t="shared" si="10"/>
        <v>5.6899078072737367E-34</v>
      </c>
    </row>
    <row r="81" spans="1:8" x14ac:dyDescent="0.25">
      <c r="A81" s="66">
        <f t="shared" si="7"/>
        <v>9.9860931868992395</v>
      </c>
      <c r="B81" s="146">
        <f t="shared" si="4"/>
        <v>45</v>
      </c>
      <c r="C81" s="141">
        <f t="shared" si="8"/>
        <v>1.7236303235205341E-33</v>
      </c>
      <c r="D81" s="66">
        <f t="shared" si="9"/>
        <v>22191318.193109423</v>
      </c>
      <c r="E81" s="89">
        <f t="shared" si="2"/>
        <v>0.44999999999999996</v>
      </c>
      <c r="F81" s="147">
        <f t="shared" si="3"/>
        <v>1.7212333030441336E-26</v>
      </c>
      <c r="G81" s="141">
        <f t="shared" si="5"/>
        <v>2.2926211042479181E-33</v>
      </c>
      <c r="H81" s="49">
        <f t="shared" si="10"/>
        <v>2.2926211042479079E-33</v>
      </c>
    </row>
    <row r="82" spans="1:8" x14ac:dyDescent="0.25">
      <c r="A82" s="66">
        <f t="shared" si="7"/>
        <v>10.208006368830334</v>
      </c>
      <c r="B82" s="146">
        <f t="shared" si="4"/>
        <v>46</v>
      </c>
      <c r="C82" s="141">
        <f t="shared" si="8"/>
        <v>6.7446403963847348E-33</v>
      </c>
      <c r="D82" s="66">
        <f t="shared" si="9"/>
        <v>22684458.597400744</v>
      </c>
      <c r="E82" s="89">
        <f t="shared" si="2"/>
        <v>0.44999999999999996</v>
      </c>
      <c r="F82" s="147">
        <f t="shared" si="3"/>
        <v>6.8849332121765722E-26</v>
      </c>
      <c r="G82" s="141">
        <f t="shared" si="5"/>
        <v>9.0372615006326098E-33</v>
      </c>
      <c r="H82" s="49">
        <f t="shared" si="10"/>
        <v>9.0372615006326427E-33</v>
      </c>
    </row>
    <row r="83" spans="1:8" x14ac:dyDescent="0.25">
      <c r="A83" s="66">
        <f t="shared" si="7"/>
        <v>10.429919550761428</v>
      </c>
      <c r="B83" s="146">
        <f t="shared" si="4"/>
        <v>47</v>
      </c>
      <c r="C83" s="141">
        <f t="shared" si="8"/>
        <v>2.5830537688281839E-32</v>
      </c>
      <c r="D83" s="66">
        <f t="shared" si="9"/>
        <v>23177599.001692064</v>
      </c>
      <c r="E83" s="89">
        <f t="shared" si="2"/>
        <v>0.44999999999999996</v>
      </c>
      <c r="F83" s="147">
        <f t="shared" si="3"/>
        <v>2.6941043004169067E-25</v>
      </c>
      <c r="G83" s="141">
        <f t="shared" si="5"/>
        <v>3.4867799188914353E-32</v>
      </c>
      <c r="H83" s="49">
        <f t="shared" si="10"/>
        <v>3.4867799188914485E-32</v>
      </c>
    </row>
    <row r="84" spans="1:8" x14ac:dyDescent="0.25">
      <c r="A84" s="66">
        <f t="shared" si="7"/>
        <v>10.651832732692521</v>
      </c>
      <c r="B84" s="146">
        <f t="shared" si="4"/>
        <v>48</v>
      </c>
      <c r="C84" s="141">
        <f t="shared" si="8"/>
        <v>9.686451633105664E-32</v>
      </c>
      <c r="D84" s="66">
        <f t="shared" si="9"/>
        <v>23670739.405983381</v>
      </c>
      <c r="E84" s="89">
        <f t="shared" si="2"/>
        <v>0.44999999999999996</v>
      </c>
      <c r="F84" s="147">
        <f t="shared" si="3"/>
        <v>1.0317846256915783E-24</v>
      </c>
      <c r="G84" s="141">
        <f t="shared" si="5"/>
        <v>1.3173231551997346E-31</v>
      </c>
      <c r="H84" s="49">
        <f t="shared" si="10"/>
        <v>1.3173231551997114E-31</v>
      </c>
    </row>
    <row r="85" spans="1:8" x14ac:dyDescent="0.25">
      <c r="A85" s="66">
        <f t="shared" si="7"/>
        <v>10.873745914623614</v>
      </c>
      <c r="B85" s="146">
        <f t="shared" si="4"/>
        <v>49</v>
      </c>
      <c r="C85" s="141">
        <f t="shared" si="8"/>
        <v>3.5582883550184732E-31</v>
      </c>
      <c r="D85" s="66">
        <f t="shared" si="9"/>
        <v>24163879.810274702</v>
      </c>
      <c r="E85" s="89">
        <f t="shared" si="2"/>
        <v>0.44999999999999996</v>
      </c>
      <c r="F85" s="147">
        <f t="shared" si="3"/>
        <v>3.8691923463434906E-24</v>
      </c>
      <c r="G85" s="141">
        <f t="shared" si="5"/>
        <v>4.8756115102181534E-31</v>
      </c>
      <c r="H85" s="49">
        <f t="shared" si="10"/>
        <v>4.8756115102181849E-31</v>
      </c>
    </row>
    <row r="86" spans="1:8" x14ac:dyDescent="0.25">
      <c r="A86" s="66">
        <f t="shared" si="7"/>
        <v>11.09565909655471</v>
      </c>
      <c r="B86" s="146">
        <f t="shared" si="4"/>
        <v>50</v>
      </c>
      <c r="C86" s="141">
        <f t="shared" si="8"/>
        <v>1.2809838078066362E-30</v>
      </c>
      <c r="D86" s="66">
        <f t="shared" si="9"/>
        <v>24657020.214566022</v>
      </c>
      <c r="E86" s="89">
        <f t="shared" si="2"/>
        <v>0.44999999999999996</v>
      </c>
      <c r="F86" s="147">
        <f t="shared" si="3"/>
        <v>1.4213359639628994E-23</v>
      </c>
      <c r="G86" s="141">
        <f t="shared" si="5"/>
        <v>1.7685449588284478E-30</v>
      </c>
      <c r="H86" s="49">
        <f t="shared" si="10"/>
        <v>1.7685449588284549E-30</v>
      </c>
    </row>
    <row r="87" spans="1:8" x14ac:dyDescent="0.25">
      <c r="A87" s="66">
        <f t="shared" si="7"/>
        <v>11.317572278485803</v>
      </c>
      <c r="B87" s="146">
        <f t="shared" si="4"/>
        <v>51</v>
      </c>
      <c r="C87" s="141">
        <f t="shared" si="8"/>
        <v>4.5211193216704709E-30</v>
      </c>
      <c r="D87" s="66">
        <f t="shared" si="9"/>
        <v>25150160.618857343</v>
      </c>
      <c r="E87" s="89">
        <f t="shared" si="2"/>
        <v>0.44999999999999996</v>
      </c>
      <c r="F87" s="147">
        <f t="shared" si="3"/>
        <v>5.1168094702664262E-23</v>
      </c>
      <c r="G87" s="141">
        <f t="shared" si="5"/>
        <v>6.2896642804989846E-30</v>
      </c>
      <c r="H87" s="49">
        <f t="shared" si="10"/>
        <v>6.2896642804989257E-30</v>
      </c>
    </row>
    <row r="88" spans="1:8" x14ac:dyDescent="0.25">
      <c r="A88" s="66">
        <f t="shared" si="7"/>
        <v>11.539485460416898</v>
      </c>
      <c r="B88" s="146">
        <f t="shared" si="4"/>
        <v>52</v>
      </c>
      <c r="C88" s="141">
        <f t="shared" si="8"/>
        <v>1.5650028421167184E-29</v>
      </c>
      <c r="D88" s="66">
        <f t="shared" si="9"/>
        <v>25643301.023148663</v>
      </c>
      <c r="E88" s="89">
        <f t="shared" si="2"/>
        <v>0.44999999999999996</v>
      </c>
      <c r="F88" s="147">
        <f t="shared" si="3"/>
        <v>1.8059327542116994E-22</v>
      </c>
      <c r="G88" s="141">
        <f t="shared" si="5"/>
        <v>2.1939692701665842E-29</v>
      </c>
      <c r="H88" s="49">
        <f t="shared" si="10"/>
        <v>2.1939692701666111E-29</v>
      </c>
    </row>
    <row r="89" spans="1:8" x14ac:dyDescent="0.25">
      <c r="A89" s="66">
        <f t="shared" si="7"/>
        <v>11.761398642347991</v>
      </c>
      <c r="B89" s="146">
        <f t="shared" si="4"/>
        <v>53</v>
      </c>
      <c r="C89" s="141">
        <f t="shared" si="8"/>
        <v>5.3151039920944342E-29</v>
      </c>
      <c r="D89" s="66">
        <f t="shared" si="9"/>
        <v>26136441.427439984</v>
      </c>
      <c r="E89" s="89">
        <f t="shared" si="2"/>
        <v>0.44999999999999996</v>
      </c>
      <c r="F89" s="147">
        <f t="shared" si="3"/>
        <v>6.2513056876557864E-22</v>
      </c>
      <c r="G89" s="141">
        <f t="shared" si="5"/>
        <v>7.5090732622611232E-29</v>
      </c>
      <c r="H89" s="49">
        <f t="shared" si="10"/>
        <v>7.5090732622610458E-29</v>
      </c>
    </row>
    <row r="90" spans="1:8" x14ac:dyDescent="0.25">
      <c r="A90" s="66">
        <f t="shared" si="7"/>
        <v>11.983311824279086</v>
      </c>
      <c r="B90" s="146">
        <f t="shared" si="4"/>
        <v>54</v>
      </c>
      <c r="C90" s="141">
        <f t="shared" si="8"/>
        <v>1.7717013306981693E-28</v>
      </c>
      <c r="D90" s="66">
        <f t="shared" si="9"/>
        <v>26629581.831731305</v>
      </c>
      <c r="E90" s="89">
        <f t="shared" si="2"/>
        <v>0.44999999999999996</v>
      </c>
      <c r="F90" s="147">
        <f t="shared" si="3"/>
        <v>2.1230849505246366E-21</v>
      </c>
      <c r="G90" s="141">
        <f t="shared" si="5"/>
        <v>2.5226086569242782E-28</v>
      </c>
      <c r="H90" s="49">
        <f t="shared" si="10"/>
        <v>2.5226086569242737E-28</v>
      </c>
    </row>
    <row r="91" spans="1:8" x14ac:dyDescent="0.25">
      <c r="A91" s="66">
        <f t="shared" si="7"/>
        <v>12.205225006210179</v>
      </c>
      <c r="B91" s="146">
        <f t="shared" si="4"/>
        <v>55</v>
      </c>
      <c r="C91" s="141">
        <f t="shared" si="8"/>
        <v>5.7982952641030911E-28</v>
      </c>
      <c r="D91" s="66">
        <f t="shared" si="9"/>
        <v>27122722.236022625</v>
      </c>
      <c r="E91" s="89">
        <f t="shared" si="2"/>
        <v>0.44999999999999996</v>
      </c>
      <c r="F91" s="147">
        <f t="shared" si="3"/>
        <v>7.07694983508211E-21</v>
      </c>
      <c r="G91" s="141">
        <f t="shared" si="5"/>
        <v>8.3209039210273917E-28</v>
      </c>
      <c r="H91" s="49">
        <f t="shared" si="10"/>
        <v>8.3209039210273648E-28</v>
      </c>
    </row>
    <row r="92" spans="1:8" x14ac:dyDescent="0.25">
      <c r="A92" s="66">
        <f t="shared" si="7"/>
        <v>12.427138188141274</v>
      </c>
      <c r="B92" s="146">
        <f t="shared" si="4"/>
        <v>56</v>
      </c>
      <c r="C92" s="141">
        <f t="shared" si="8"/>
        <v>1.8637377634617131E-27</v>
      </c>
      <c r="D92" s="66">
        <f t="shared" si="9"/>
        <v>27615862.640313946</v>
      </c>
      <c r="E92" s="89">
        <f t="shared" si="2"/>
        <v>0.44999999999999996</v>
      </c>
      <c r="F92" s="147">
        <f t="shared" si="3"/>
        <v>2.3160926732996066E-20</v>
      </c>
      <c r="G92" s="141">
        <f t="shared" si="5"/>
        <v>2.6958281555644666E-27</v>
      </c>
      <c r="H92" s="49">
        <f t="shared" si="10"/>
        <v>2.6958281555644497E-27</v>
      </c>
    </row>
    <row r="93" spans="1:8" x14ac:dyDescent="0.25">
      <c r="A93" s="66">
        <f t="shared" si="7"/>
        <v>12.649051370072369</v>
      </c>
      <c r="B93" s="146">
        <f t="shared" si="4"/>
        <v>57</v>
      </c>
      <c r="C93" s="141">
        <f t="shared" si="8"/>
        <v>5.8854876740896525E-27</v>
      </c>
      <c r="D93" s="66">
        <f t="shared" si="9"/>
        <v>28109003.044605266</v>
      </c>
      <c r="E93" s="89">
        <f t="shared" si="2"/>
        <v>0.44999999999999996</v>
      </c>
      <c r="F93" s="147">
        <f t="shared" si="3"/>
        <v>7.4445835927487755E-20</v>
      </c>
      <c r="G93" s="141">
        <f t="shared" si="5"/>
        <v>8.5813158296539179E-27</v>
      </c>
      <c r="H93" s="49">
        <f t="shared" si="10"/>
        <v>8.5813158296541016E-27</v>
      </c>
    </row>
    <row r="94" spans="1:8" x14ac:dyDescent="0.25">
      <c r="A94" s="66">
        <f t="shared" si="7"/>
        <v>12.870964552003464</v>
      </c>
      <c r="B94" s="146">
        <f t="shared" si="4"/>
        <v>58</v>
      </c>
      <c r="C94" s="141">
        <f t="shared" si="8"/>
        <v>1.8265306574760554E-26</v>
      </c>
      <c r="D94" s="66">
        <f t="shared" si="9"/>
        <v>28602143.448896587</v>
      </c>
      <c r="E94" s="89">
        <f t="shared" si="2"/>
        <v>0.44999999999999996</v>
      </c>
      <c r="F94" s="147">
        <f t="shared" si="3"/>
        <v>2.3509211345521888E-19</v>
      </c>
      <c r="G94" s="141">
        <f t="shared" si="5"/>
        <v>2.684662240441459E-26</v>
      </c>
      <c r="H94" s="49">
        <f t="shared" si="10"/>
        <v>2.6846622404414653E-26</v>
      </c>
    </row>
    <row r="95" spans="1:8" x14ac:dyDescent="0.25">
      <c r="A95" s="66">
        <f t="shared" si="7"/>
        <v>13.092877733934557</v>
      </c>
      <c r="B95" s="146">
        <f t="shared" si="4"/>
        <v>59</v>
      </c>
      <c r="C95" s="141">
        <f t="shared" si="8"/>
        <v>5.5724664126388387E-26</v>
      </c>
      <c r="D95" s="66">
        <f t="shared" si="9"/>
        <v>29095283.853187907</v>
      </c>
      <c r="E95" s="89">
        <f t="shared" si="2"/>
        <v>0.44999999999999996</v>
      </c>
      <c r="F95" s="147">
        <f t="shared" si="3"/>
        <v>7.2959621417137227E-19</v>
      </c>
      <c r="G95" s="141">
        <f t="shared" si="5"/>
        <v>8.2571286530803281E-26</v>
      </c>
      <c r="H95" s="49">
        <f t="shared" si="10"/>
        <v>8.257128653080304E-26</v>
      </c>
    </row>
    <row r="96" spans="1:8" x14ac:dyDescent="0.25">
      <c r="A96" s="66">
        <f t="shared" si="7"/>
        <v>13.31479091586565</v>
      </c>
      <c r="B96" s="146">
        <f t="shared" si="4"/>
        <v>60</v>
      </c>
      <c r="C96" s="141">
        <f t="shared" si="8"/>
        <v>1.6717399237916578E-25</v>
      </c>
      <c r="D96" s="66">
        <f t="shared" si="9"/>
        <v>29588424.257479228</v>
      </c>
      <c r="E96" s="89">
        <f t="shared" si="2"/>
        <v>0.44999999999999996</v>
      </c>
      <c r="F96" s="147">
        <f t="shared" si="3"/>
        <v>2.22588675509911E-18</v>
      </c>
      <c r="G96" s="141">
        <f t="shared" si="5"/>
        <v>2.4974527890996864E-25</v>
      </c>
      <c r="H96" s="49">
        <f t="shared" si="10"/>
        <v>2.4974527890996882E-25</v>
      </c>
    </row>
    <row r="97" spans="1:8" x14ac:dyDescent="0.25">
      <c r="A97" s="66">
        <f t="shared" si="7"/>
        <v>13.536704097796745</v>
      </c>
      <c r="B97" s="146">
        <f t="shared" si="4"/>
        <v>61</v>
      </c>
      <c r="C97" s="141">
        <f t="shared" si="8"/>
        <v>4.9330030538114409E-25</v>
      </c>
      <c r="D97" s="66">
        <f t="shared" si="9"/>
        <v>30081564.661770549</v>
      </c>
      <c r="E97" s="89">
        <f t="shared" si="2"/>
        <v>0.44999999999999996</v>
      </c>
      <c r="F97" s="147">
        <f t="shared" si="3"/>
        <v>6.6776602652973196E-18</v>
      </c>
      <c r="G97" s="141">
        <f t="shared" si="5"/>
        <v>7.4304558429111686E-25</v>
      </c>
      <c r="H97" s="49">
        <f t="shared" si="10"/>
        <v>7.4304558429111291E-25</v>
      </c>
    </row>
    <row r="98" spans="1:8" x14ac:dyDescent="0.25">
      <c r="A98" s="66">
        <f t="shared" si="7"/>
        <v>13.758617279727838</v>
      </c>
      <c r="B98" s="146">
        <f t="shared" si="4"/>
        <v>62</v>
      </c>
      <c r="C98" s="141">
        <f t="shared" si="8"/>
        <v>1.4321621769130068E-24</v>
      </c>
      <c r="D98" s="66">
        <f t="shared" si="9"/>
        <v>30574705.066061869</v>
      </c>
      <c r="E98" s="89">
        <f t="shared" si="2"/>
        <v>0.44999999999999996</v>
      </c>
      <c r="F98" s="147">
        <f t="shared" si="3"/>
        <v>1.9704571274647932E-17</v>
      </c>
      <c r="G98" s="141">
        <f t="shared" si="5"/>
        <v>2.1752077612041484E-24</v>
      </c>
      <c r="H98" s="49">
        <f t="shared" si="10"/>
        <v>2.1752077612041198E-24</v>
      </c>
    </row>
    <row r="99" spans="1:8" x14ac:dyDescent="0.25">
      <c r="A99" s="66">
        <f t="shared" si="7"/>
        <v>13.980530461658935</v>
      </c>
      <c r="B99" s="146">
        <f t="shared" si="4"/>
        <v>63</v>
      </c>
      <c r="C99" s="141">
        <f t="shared" si="8"/>
        <v>4.091891934037208E-24</v>
      </c>
      <c r="D99" s="66">
        <f t="shared" si="9"/>
        <v>31067845.47035319</v>
      </c>
      <c r="E99" s="89">
        <f t="shared" si="2"/>
        <v>0.44999999999999996</v>
      </c>
      <c r="F99" s="147">
        <f t="shared" si="3"/>
        <v>5.7206819829623673E-17</v>
      </c>
      <c r="G99" s="141">
        <f t="shared" si="5"/>
        <v>6.2670996952412341E-24</v>
      </c>
      <c r="H99" s="49">
        <f t="shared" si="10"/>
        <v>6.2670996952413274E-24</v>
      </c>
    </row>
    <row r="100" spans="1:8" x14ac:dyDescent="0.25">
      <c r="A100" s="66">
        <f t="shared" si="7"/>
        <v>14.202443643590028</v>
      </c>
      <c r="B100" s="146">
        <f t="shared" si="4"/>
        <v>64</v>
      </c>
      <c r="C100" s="141">
        <f t="shared" ref="C100:C163" si="11">POISSON(B100,$C$33,0)</f>
        <v>1.1508446064479418E-23</v>
      </c>
      <c r="D100" s="66">
        <f t="shared" ref="D100:D163" si="12">+B100*$C$32</f>
        <v>31560985.87464451</v>
      </c>
      <c r="E100" s="89">
        <f t="shared" ref="E100:E163" si="13">1-$E$34</f>
        <v>0.44999999999999996</v>
      </c>
      <c r="F100" s="147">
        <f t="shared" ref="F100:F162" si="14">+D100*E100*C100</f>
        <v>1.6344805665606438E-16</v>
      </c>
      <c r="G100" s="141">
        <f t="shared" ref="G100:G163" si="15">POISSON(B100,$C$33,1)</f>
        <v>1.7775545759720747E-23</v>
      </c>
      <c r="H100" s="49">
        <f t="shared" si="10"/>
        <v>1.7775545759720744E-23</v>
      </c>
    </row>
    <row r="101" spans="1:8" x14ac:dyDescent="0.25">
      <c r="A101" s="66">
        <f t="shared" si="7"/>
        <v>14.424356825521123</v>
      </c>
      <c r="B101" s="146">
        <f t="shared" ref="B101:B164" si="16">+B100+1</f>
        <v>65</v>
      </c>
      <c r="C101" s="141">
        <f t="shared" si="11"/>
        <v>3.1869542947789337E-23</v>
      </c>
      <c r="D101" s="66">
        <f t="shared" si="12"/>
        <v>32054126.278935831</v>
      </c>
      <c r="E101" s="89">
        <f t="shared" si="13"/>
        <v>0.44999999999999996</v>
      </c>
      <c r="F101" s="147">
        <f t="shared" si="14"/>
        <v>4.596976593451837E-16</v>
      </c>
      <c r="G101" s="141">
        <f t="shared" si="15"/>
        <v>4.9645088707510075E-23</v>
      </c>
      <c r="H101" s="49">
        <f t="shared" ref="H101:H132" si="17">+H100+C101</f>
        <v>4.9645088707510081E-23</v>
      </c>
    </row>
    <row r="102" spans="1:8" x14ac:dyDescent="0.25">
      <c r="A102" s="66">
        <f t="shared" ref="A102:A165" si="18">D102*E102/1000000</f>
        <v>14.646270007452216</v>
      </c>
      <c r="B102" s="146">
        <f t="shared" si="16"/>
        <v>66</v>
      </c>
      <c r="C102" s="141">
        <f t="shared" si="11"/>
        <v>8.6916935312152729E-23</v>
      </c>
      <c r="D102" s="66">
        <f t="shared" si="12"/>
        <v>32547266.683227152</v>
      </c>
      <c r="E102" s="89">
        <f t="shared" si="13"/>
        <v>0.44999999999999996</v>
      </c>
      <c r="F102" s="147">
        <f t="shared" si="14"/>
        <v>1.2730089028020469E-15</v>
      </c>
      <c r="G102" s="141">
        <f t="shared" si="15"/>
        <v>1.3656202401966229E-22</v>
      </c>
      <c r="H102" s="49">
        <f t="shared" si="17"/>
        <v>1.3656202401966281E-22</v>
      </c>
    </row>
    <row r="103" spans="1:8" x14ac:dyDescent="0.25">
      <c r="A103" s="66">
        <f t="shared" si="18"/>
        <v>14.868183189383311</v>
      </c>
      <c r="B103" s="146">
        <f t="shared" si="16"/>
        <v>67</v>
      </c>
      <c r="C103" s="141">
        <f t="shared" si="11"/>
        <v>2.3350818442070803E-22</v>
      </c>
      <c r="D103" s="66">
        <f t="shared" si="12"/>
        <v>33040407.087518472</v>
      </c>
      <c r="E103" s="89">
        <f t="shared" si="13"/>
        <v>0.44999999999999996</v>
      </c>
      <c r="F103" s="147">
        <f t="shared" si="14"/>
        <v>3.471842462187389E-15</v>
      </c>
      <c r="G103" s="141">
        <f t="shared" si="15"/>
        <v>3.7007020844036933E-22</v>
      </c>
      <c r="H103" s="49">
        <f t="shared" si="17"/>
        <v>3.7007020844037084E-22</v>
      </c>
    </row>
    <row r="104" spans="1:8" x14ac:dyDescent="0.25">
      <c r="A104" s="66">
        <f t="shared" si="18"/>
        <v>15.090096371314404</v>
      </c>
      <c r="B104" s="146">
        <f t="shared" si="16"/>
        <v>68</v>
      </c>
      <c r="C104" s="141">
        <f t="shared" si="11"/>
        <v>6.1810989993716661E-22</v>
      </c>
      <c r="D104" s="66">
        <f t="shared" si="12"/>
        <v>33533547.491809793</v>
      </c>
      <c r="E104" s="89">
        <f t="shared" si="13"/>
        <v>0.44999999999999996</v>
      </c>
      <c r="F104" s="147">
        <f t="shared" si="14"/>
        <v>9.3273379581153476E-15</v>
      </c>
      <c r="G104" s="141">
        <f t="shared" si="15"/>
        <v>9.8818010837753947E-22</v>
      </c>
      <c r="H104" s="49">
        <f t="shared" si="17"/>
        <v>9.881801083775374E-22</v>
      </c>
    </row>
    <row r="105" spans="1:8" x14ac:dyDescent="0.25">
      <c r="A105" s="66">
        <f t="shared" si="18"/>
        <v>15.312009553245497</v>
      </c>
      <c r="B105" s="146">
        <f t="shared" si="16"/>
        <v>69</v>
      </c>
      <c r="C105" s="141">
        <f t="shared" si="11"/>
        <v>1.6124606085317445E-21</v>
      </c>
      <c r="D105" s="66">
        <f t="shared" si="12"/>
        <v>34026687.89610111</v>
      </c>
      <c r="E105" s="89">
        <f t="shared" si="13"/>
        <v>0.44999999999999996</v>
      </c>
      <c r="F105" s="147">
        <f t="shared" si="14"/>
        <v>2.469001224207012E-14</v>
      </c>
      <c r="G105" s="141">
        <f t="shared" si="15"/>
        <v>2.600640716909301E-21</v>
      </c>
      <c r="H105" s="49">
        <f t="shared" si="17"/>
        <v>2.6006407169092819E-21</v>
      </c>
    </row>
    <row r="106" spans="1:8" x14ac:dyDescent="0.25">
      <c r="A106" s="66">
        <f t="shared" si="18"/>
        <v>15.533922735176594</v>
      </c>
      <c r="B106" s="146">
        <f t="shared" si="16"/>
        <v>70</v>
      </c>
      <c r="C106" s="141">
        <f t="shared" si="11"/>
        <v>4.1463272790816566E-21</v>
      </c>
      <c r="D106" s="66">
        <f t="shared" si="12"/>
        <v>34519828.300392434</v>
      </c>
      <c r="E106" s="89">
        <f t="shared" si="13"/>
        <v>0.44999999999999996</v>
      </c>
      <c r="F106" s="147">
        <f t="shared" si="14"/>
        <v>6.4408727588009443E-14</v>
      </c>
      <c r="G106" s="141">
        <f t="shared" si="15"/>
        <v>6.7469679959908983E-21</v>
      </c>
      <c r="H106" s="49">
        <f t="shared" si="17"/>
        <v>6.7469679959909389E-21</v>
      </c>
    </row>
    <row r="107" spans="1:8" x14ac:dyDescent="0.25">
      <c r="A107" s="66">
        <f t="shared" si="18"/>
        <v>15.755835917107687</v>
      </c>
      <c r="B107" s="146">
        <f t="shared" si="16"/>
        <v>71</v>
      </c>
      <c r="C107" s="141">
        <f t="shared" si="11"/>
        <v>1.0511815637108339E-20</v>
      </c>
      <c r="D107" s="66">
        <f t="shared" si="12"/>
        <v>35012968.704683751</v>
      </c>
      <c r="E107" s="89">
        <f t="shared" si="13"/>
        <v>0.44999999999999996</v>
      </c>
      <c r="F107" s="147">
        <f t="shared" si="14"/>
        <v>1.6562244236916578E-13</v>
      </c>
      <c r="G107" s="141">
        <f t="shared" si="15"/>
        <v>1.7258783633099219E-20</v>
      </c>
      <c r="H107" s="49">
        <f t="shared" si="17"/>
        <v>1.7258783633099279E-20</v>
      </c>
    </row>
    <row r="108" spans="1:8" x14ac:dyDescent="0.25">
      <c r="A108" s="66">
        <f t="shared" si="18"/>
        <v>15.977749099038782</v>
      </c>
      <c r="B108" s="146">
        <f t="shared" si="16"/>
        <v>72</v>
      </c>
      <c r="C108" s="141">
        <f t="shared" si="11"/>
        <v>2.6279539092770802E-20</v>
      </c>
      <c r="D108" s="66">
        <f t="shared" si="12"/>
        <v>35506109.108975075</v>
      </c>
      <c r="E108" s="89">
        <f t="shared" si="13"/>
        <v>0.44999999999999996</v>
      </c>
      <c r="F108" s="147">
        <f t="shared" si="14"/>
        <v>4.1988788206267312E-13</v>
      </c>
      <c r="G108" s="141">
        <f t="shared" si="15"/>
        <v>4.3538322725870172E-20</v>
      </c>
      <c r="H108" s="49">
        <f t="shared" si="17"/>
        <v>4.3538322725870082E-20</v>
      </c>
    </row>
    <row r="109" spans="1:8" x14ac:dyDescent="0.25">
      <c r="A109" s="66">
        <f t="shared" si="18"/>
        <v>16.199662280969875</v>
      </c>
      <c r="B109" s="146">
        <f t="shared" si="16"/>
        <v>73</v>
      </c>
      <c r="C109" s="141">
        <f t="shared" si="11"/>
        <v>6.4798863516421421E-20</v>
      </c>
      <c r="D109" s="66">
        <f t="shared" si="12"/>
        <v>35999249.513266392</v>
      </c>
      <c r="E109" s="89">
        <f t="shared" si="13"/>
        <v>0.44999999999999996</v>
      </c>
      <c r="F109" s="147">
        <f t="shared" si="14"/>
        <v>1.0497197051566871E-12</v>
      </c>
      <c r="G109" s="141">
        <f t="shared" si="15"/>
        <v>1.0833718624229192E-19</v>
      </c>
      <c r="H109" s="49">
        <f t="shared" si="17"/>
        <v>1.0833718624229151E-19</v>
      </c>
    </row>
    <row r="110" spans="1:8" x14ac:dyDescent="0.25">
      <c r="A110" s="66">
        <f t="shared" si="18"/>
        <v>16.421575462900972</v>
      </c>
      <c r="B110" s="146">
        <f t="shared" si="16"/>
        <v>74</v>
      </c>
      <c r="C110" s="141">
        <f t="shared" si="11"/>
        <v>1.5761885720210664E-19</v>
      </c>
      <c r="D110" s="66">
        <f t="shared" si="12"/>
        <v>36492389.917557716</v>
      </c>
      <c r="E110" s="89">
        <f t="shared" si="13"/>
        <v>0.44999999999999996</v>
      </c>
      <c r="F110" s="147">
        <f t="shared" si="14"/>
        <v>2.5883499579206061E-12</v>
      </c>
      <c r="G110" s="141">
        <f t="shared" si="15"/>
        <v>2.6595604344439644E-19</v>
      </c>
      <c r="H110" s="49">
        <f t="shared" si="17"/>
        <v>2.6595604344439812E-19</v>
      </c>
    </row>
    <row r="111" spans="1:8" x14ac:dyDescent="0.25">
      <c r="A111" s="66">
        <f t="shared" si="18"/>
        <v>16.643488644832065</v>
      </c>
      <c r="B111" s="146">
        <f t="shared" si="16"/>
        <v>75</v>
      </c>
      <c r="C111" s="141">
        <f t="shared" si="11"/>
        <v>3.7828525728505282E-19</v>
      </c>
      <c r="D111" s="66">
        <f t="shared" si="12"/>
        <v>36985530.321849033</v>
      </c>
      <c r="E111" s="89">
        <f t="shared" si="13"/>
        <v>0.44999999999999996</v>
      </c>
      <c r="F111" s="147">
        <f t="shared" si="14"/>
        <v>6.2959863841311523E-12</v>
      </c>
      <c r="G111" s="141">
        <f t="shared" si="15"/>
        <v>6.4424130072944964E-19</v>
      </c>
      <c r="H111" s="49">
        <f t="shared" si="17"/>
        <v>6.4424130072945089E-19</v>
      </c>
    </row>
    <row r="112" spans="1:8" x14ac:dyDescent="0.25">
      <c r="A112" s="66">
        <f t="shared" si="18"/>
        <v>16.865401826763161</v>
      </c>
      <c r="B112" s="146">
        <f t="shared" si="16"/>
        <v>76</v>
      </c>
      <c r="C112" s="141">
        <f t="shared" si="11"/>
        <v>8.9593876725407332E-19</v>
      </c>
      <c r="D112" s="66">
        <f t="shared" si="12"/>
        <v>37478670.726140358</v>
      </c>
      <c r="E112" s="89">
        <f t="shared" si="13"/>
        <v>0.44999999999999996</v>
      </c>
      <c r="F112" s="147">
        <f t="shared" si="14"/>
        <v>1.5110367321914782E-11</v>
      </c>
      <c r="G112" s="141">
        <f t="shared" si="15"/>
        <v>1.5401800679835354E-18</v>
      </c>
      <c r="H112" s="49">
        <f t="shared" si="17"/>
        <v>1.5401800679835242E-18</v>
      </c>
    </row>
    <row r="113" spans="1:8" x14ac:dyDescent="0.25">
      <c r="A113" s="66">
        <f t="shared" si="18"/>
        <v>17.087315008694251</v>
      </c>
      <c r="B113" s="146">
        <f t="shared" si="16"/>
        <v>77</v>
      </c>
      <c r="C113" s="141">
        <f t="shared" si="11"/>
        <v>2.0944023130614867E-18</v>
      </c>
      <c r="D113" s="66">
        <f t="shared" si="12"/>
        <v>37971811.130431674</v>
      </c>
      <c r="E113" s="89">
        <f t="shared" si="13"/>
        <v>0.44999999999999996</v>
      </c>
      <c r="F113" s="147">
        <f t="shared" si="14"/>
        <v>3.5787712078219495E-11</v>
      </c>
      <c r="G113" s="141">
        <f t="shared" si="15"/>
        <v>3.6345823810450109E-18</v>
      </c>
      <c r="H113" s="49">
        <f t="shared" si="17"/>
        <v>3.6345823810450109E-18</v>
      </c>
    </row>
    <row r="114" spans="1:8" x14ac:dyDescent="0.25">
      <c r="A114" s="66">
        <f t="shared" si="18"/>
        <v>17.309228190625348</v>
      </c>
      <c r="B114" s="146">
        <f t="shared" si="16"/>
        <v>78</v>
      </c>
      <c r="C114" s="141">
        <f t="shared" si="11"/>
        <v>4.8332361070649539E-18</v>
      </c>
      <c r="D114" s="66">
        <f t="shared" si="12"/>
        <v>38464951.534722999</v>
      </c>
      <c r="E114" s="89">
        <f t="shared" si="13"/>
        <v>0.44999999999999996</v>
      </c>
      <c r="F114" s="147">
        <f t="shared" si="14"/>
        <v>8.3659586676357016E-11</v>
      </c>
      <c r="G114" s="141">
        <f t="shared" si="15"/>
        <v>8.4678184881099679E-18</v>
      </c>
      <c r="H114" s="49">
        <f t="shared" si="17"/>
        <v>8.4678184881099648E-18</v>
      </c>
    </row>
    <row r="115" spans="1:8" x14ac:dyDescent="0.25">
      <c r="A115" s="66">
        <f t="shared" si="18"/>
        <v>17.531141372556441</v>
      </c>
      <c r="B115" s="146">
        <f t="shared" si="16"/>
        <v>79</v>
      </c>
      <c r="C115" s="141">
        <f t="shared" si="11"/>
        <v>1.1012436699641667E-17</v>
      </c>
      <c r="D115" s="66">
        <f t="shared" si="12"/>
        <v>38958091.939014316</v>
      </c>
      <c r="E115" s="89">
        <f t="shared" si="13"/>
        <v>0.44999999999999996</v>
      </c>
      <c r="F115" s="147">
        <f t="shared" si="14"/>
        <v>1.9306058463774693E-10</v>
      </c>
      <c r="G115" s="141">
        <f t="shared" si="15"/>
        <v>1.9480255187751871E-17</v>
      </c>
      <c r="H115" s="49">
        <f t="shared" si="17"/>
        <v>1.9480255187751633E-17</v>
      </c>
    </row>
    <row r="116" spans="1:8" x14ac:dyDescent="0.25">
      <c r="A116" s="66">
        <f t="shared" si="18"/>
        <v>17.753054554487537</v>
      </c>
      <c r="B116" s="146">
        <f t="shared" si="16"/>
        <v>80</v>
      </c>
      <c r="C116" s="141">
        <f t="shared" si="11"/>
        <v>2.4777982574194052E-17</v>
      </c>
      <c r="D116" s="66">
        <f t="shared" si="12"/>
        <v>39451232.34330564</v>
      </c>
      <c r="E116" s="89">
        <f t="shared" si="13"/>
        <v>0.44999999999999996</v>
      </c>
      <c r="F116" s="147">
        <f t="shared" si="14"/>
        <v>4.3988487638980859E-10</v>
      </c>
      <c r="G116" s="141">
        <f t="shared" si="15"/>
        <v>4.4258237761945362E-17</v>
      </c>
      <c r="H116" s="49">
        <f t="shared" si="17"/>
        <v>4.4258237761945689E-17</v>
      </c>
    </row>
    <row r="117" spans="1:8" x14ac:dyDescent="0.25">
      <c r="A117" s="66">
        <f t="shared" si="18"/>
        <v>17.974967736418627</v>
      </c>
      <c r="B117" s="146">
        <f t="shared" si="16"/>
        <v>81</v>
      </c>
      <c r="C117" s="141">
        <f t="shared" si="11"/>
        <v>5.506218349820831E-17</v>
      </c>
      <c r="D117" s="66">
        <f t="shared" si="12"/>
        <v>39944372.747596957</v>
      </c>
      <c r="E117" s="89">
        <f t="shared" si="13"/>
        <v>0.44999999999999996</v>
      </c>
      <c r="F117" s="147">
        <f t="shared" si="14"/>
        <v>9.8974097187705656E-10</v>
      </c>
      <c r="G117" s="141">
        <f t="shared" si="15"/>
        <v>9.9320421260153851E-17</v>
      </c>
      <c r="H117" s="49">
        <f t="shared" si="17"/>
        <v>9.9320421260153998E-17</v>
      </c>
    </row>
    <row r="118" spans="1:8" x14ac:dyDescent="0.25">
      <c r="A118" s="66">
        <f t="shared" si="18"/>
        <v>18.196880918349724</v>
      </c>
      <c r="B118" s="146">
        <f t="shared" si="16"/>
        <v>82</v>
      </c>
      <c r="C118" s="141">
        <f t="shared" si="11"/>
        <v>1.2086820767899405E-16</v>
      </c>
      <c r="D118" s="66">
        <f t="shared" si="12"/>
        <v>40437513.151888281</v>
      </c>
      <c r="E118" s="89">
        <f t="shared" si="13"/>
        <v>0.44999999999999996</v>
      </c>
      <c r="F118" s="147">
        <f t="shared" si="14"/>
        <v>2.1994243819490186E-9</v>
      </c>
      <c r="G118" s="141">
        <f t="shared" si="15"/>
        <v>2.2018862893914726E-16</v>
      </c>
      <c r="H118" s="49">
        <f t="shared" si="17"/>
        <v>2.2018862893914805E-16</v>
      </c>
    </row>
    <row r="119" spans="1:8" x14ac:dyDescent="0.25">
      <c r="A119" s="66">
        <f t="shared" si="18"/>
        <v>18.418794100280817</v>
      </c>
      <c r="B119" s="146">
        <f t="shared" si="16"/>
        <v>83</v>
      </c>
      <c r="C119" s="141">
        <f t="shared" si="11"/>
        <v>2.6212382388215507E-16</v>
      </c>
      <c r="D119" s="66">
        <f t="shared" si="12"/>
        <v>40930653.556179598</v>
      </c>
      <c r="E119" s="89">
        <f t="shared" si="13"/>
        <v>0.44999999999999996</v>
      </c>
      <c r="F119" s="147">
        <f t="shared" si="14"/>
        <v>4.8280047408636861E-9</v>
      </c>
      <c r="G119" s="141">
        <f t="shared" si="15"/>
        <v>4.8231245282130452E-16</v>
      </c>
      <c r="H119" s="49">
        <f t="shared" si="17"/>
        <v>4.8231245282130314E-16</v>
      </c>
    </row>
    <row r="120" spans="1:8" x14ac:dyDescent="0.25">
      <c r="A120" s="66">
        <f t="shared" si="18"/>
        <v>18.640707282211913</v>
      </c>
      <c r="B120" s="146">
        <f t="shared" si="16"/>
        <v>84</v>
      </c>
      <c r="C120" s="141">
        <f t="shared" si="11"/>
        <v>5.616939083189062E-16</v>
      </c>
      <c r="D120" s="66">
        <f t="shared" si="12"/>
        <v>41423793.960470922</v>
      </c>
      <c r="E120" s="89">
        <f t="shared" si="13"/>
        <v>0.44999999999999996</v>
      </c>
      <c r="F120" s="147">
        <f t="shared" si="14"/>
        <v>1.0470371727174306E-8</v>
      </c>
      <c r="G120" s="141">
        <f t="shared" si="15"/>
        <v>1.0440063611402117E-15</v>
      </c>
      <c r="H120" s="49">
        <f t="shared" si="17"/>
        <v>1.0440063611402093E-15</v>
      </c>
    </row>
    <row r="121" spans="1:8" x14ac:dyDescent="0.25">
      <c r="A121" s="66">
        <f t="shared" si="18"/>
        <v>18.862620464143003</v>
      </c>
      <c r="B121" s="146">
        <f t="shared" si="16"/>
        <v>85</v>
      </c>
      <c r="C121" s="141">
        <f t="shared" si="11"/>
        <v>1.189469452910626E-15</v>
      </c>
      <c r="D121" s="66">
        <f t="shared" si="12"/>
        <v>41916934.364762239</v>
      </c>
      <c r="E121" s="89">
        <f t="shared" si="13"/>
        <v>0.44999999999999996</v>
      </c>
      <c r="F121" s="147">
        <f t="shared" si="14"/>
        <v>2.243651084394496E-8</v>
      </c>
      <c r="G121" s="141">
        <f t="shared" si="15"/>
        <v>2.233475814050834E-15</v>
      </c>
      <c r="H121" s="49">
        <f t="shared" si="17"/>
        <v>2.2334758140508356E-15</v>
      </c>
    </row>
    <row r="122" spans="1:8" x14ac:dyDescent="0.25">
      <c r="A122" s="66">
        <f t="shared" si="18"/>
        <v>19.084533646074103</v>
      </c>
      <c r="B122" s="146">
        <f t="shared" si="16"/>
        <v>86</v>
      </c>
      <c r="C122" s="141">
        <f t="shared" si="11"/>
        <v>2.4895872270222363E-15</v>
      </c>
      <c r="D122" s="66">
        <f t="shared" si="12"/>
        <v>42410074.769053563</v>
      </c>
      <c r="E122" s="89">
        <f t="shared" si="13"/>
        <v>0.44999999999999996</v>
      </c>
      <c r="F122" s="147">
        <f t="shared" si="14"/>
        <v>4.7512611198942187E-8</v>
      </c>
      <c r="G122" s="141">
        <f t="shared" si="15"/>
        <v>4.7230630410730458E-15</v>
      </c>
      <c r="H122" s="49">
        <f t="shared" si="17"/>
        <v>4.7230630410730718E-15</v>
      </c>
    </row>
    <row r="123" spans="1:8" x14ac:dyDescent="0.25">
      <c r="A123" s="66">
        <f t="shared" si="18"/>
        <v>19.306446828005196</v>
      </c>
      <c r="B123" s="146">
        <f t="shared" si="16"/>
        <v>87</v>
      </c>
      <c r="C123" s="141">
        <f t="shared" si="11"/>
        <v>5.1508701248735677E-15</v>
      </c>
      <c r="D123" s="66">
        <f t="shared" si="12"/>
        <v>42903215.17334488</v>
      </c>
      <c r="E123" s="89">
        <f t="shared" si="13"/>
        <v>0.44999999999999996</v>
      </c>
      <c r="F123" s="147">
        <f t="shared" si="14"/>
        <v>9.9445000183832012E-8</v>
      </c>
      <c r="G123" s="141">
        <f t="shared" si="15"/>
        <v>9.8739331659466403E-15</v>
      </c>
      <c r="H123" s="49">
        <f t="shared" si="17"/>
        <v>9.8739331659466403E-15</v>
      </c>
    </row>
    <row r="124" spans="1:8" x14ac:dyDescent="0.25">
      <c r="A124" s="66">
        <f t="shared" si="18"/>
        <v>19.528360009936293</v>
      </c>
      <c r="B124" s="146">
        <f t="shared" si="16"/>
        <v>88</v>
      </c>
      <c r="C124" s="141">
        <f t="shared" si="11"/>
        <v>1.0535870709968686E-14</v>
      </c>
      <c r="D124" s="66">
        <f t="shared" si="12"/>
        <v>43396355.577636205</v>
      </c>
      <c r="E124" s="89">
        <f t="shared" si="13"/>
        <v>0.44999999999999996</v>
      </c>
      <c r="F124" s="147">
        <f t="shared" si="14"/>
        <v>2.0574827624241156E-7</v>
      </c>
      <c r="G124" s="141">
        <f t="shared" si="15"/>
        <v>2.0409803875915195E-14</v>
      </c>
      <c r="H124" s="49">
        <f t="shared" si="17"/>
        <v>2.0409803875915325E-14</v>
      </c>
    </row>
    <row r="125" spans="1:8" x14ac:dyDescent="0.25">
      <c r="A125" s="66">
        <f t="shared" si="18"/>
        <v>19.750273191867382</v>
      </c>
      <c r="B125" s="146">
        <f t="shared" si="16"/>
        <v>89</v>
      </c>
      <c r="C125" s="141">
        <f t="shared" si="11"/>
        <v>2.1308502559487096E-14</v>
      </c>
      <c r="D125" s="66">
        <f t="shared" si="12"/>
        <v>43889495.981927522</v>
      </c>
      <c r="E125" s="89">
        <f t="shared" si="13"/>
        <v>0.44999999999999996</v>
      </c>
      <c r="F125" s="147">
        <f t="shared" si="14"/>
        <v>4.2084874685947545E-7</v>
      </c>
      <c r="G125" s="141">
        <f t="shared" si="15"/>
        <v>4.1718306435402481E-14</v>
      </c>
      <c r="H125" s="49">
        <f t="shared" si="17"/>
        <v>4.1718306435402424E-14</v>
      </c>
    </row>
    <row r="126" spans="1:8" x14ac:dyDescent="0.25">
      <c r="A126" s="66">
        <f t="shared" si="18"/>
        <v>19.972186373798479</v>
      </c>
      <c r="B126" s="146">
        <f t="shared" si="16"/>
        <v>90</v>
      </c>
      <c r="C126" s="141">
        <f t="shared" si="11"/>
        <v>4.2617005118974388E-14</v>
      </c>
      <c r="D126" s="66">
        <f t="shared" si="12"/>
        <v>44382636.386218846</v>
      </c>
      <c r="E126" s="89">
        <f t="shared" si="13"/>
        <v>0.44999999999999996</v>
      </c>
      <c r="F126" s="147">
        <f t="shared" si="14"/>
        <v>8.511547689292803E-7</v>
      </c>
      <c r="G126" s="141">
        <f t="shared" si="15"/>
        <v>8.4335311554377241E-14</v>
      </c>
      <c r="H126" s="49">
        <f t="shared" si="17"/>
        <v>8.4335311554376812E-14</v>
      </c>
    </row>
    <row r="127" spans="1:8" x14ac:dyDescent="0.25">
      <c r="A127" s="66">
        <f t="shared" si="18"/>
        <v>20.194099555729572</v>
      </c>
      <c r="B127" s="146">
        <f t="shared" si="16"/>
        <v>91</v>
      </c>
      <c r="C127" s="141">
        <f t="shared" si="11"/>
        <v>8.4297372762806872E-14</v>
      </c>
      <c r="D127" s="66">
        <f t="shared" si="12"/>
        <v>44875776.790510163</v>
      </c>
      <c r="E127" s="89">
        <f t="shared" si="13"/>
        <v>0.44999999999999996</v>
      </c>
      <c r="F127" s="147">
        <f t="shared" si="14"/>
        <v>1.7023095378585684E-6</v>
      </c>
      <c r="G127" s="141">
        <f t="shared" si="15"/>
        <v>1.6863268431718578E-13</v>
      </c>
      <c r="H127" s="49">
        <f t="shared" si="17"/>
        <v>1.6863268431718368E-13</v>
      </c>
    </row>
    <row r="128" spans="1:8" x14ac:dyDescent="0.25">
      <c r="A128" s="66">
        <f t="shared" si="18"/>
        <v>20.416012737660669</v>
      </c>
      <c r="B128" s="146">
        <f t="shared" si="16"/>
        <v>92</v>
      </c>
      <c r="C128" s="141">
        <f t="shared" si="11"/>
        <v>1.649296423620151E-13</v>
      </c>
      <c r="D128" s="66">
        <f t="shared" si="12"/>
        <v>45368917.194801487</v>
      </c>
      <c r="E128" s="89">
        <f t="shared" si="13"/>
        <v>0.44999999999999996</v>
      </c>
      <c r="F128" s="147">
        <f t="shared" si="14"/>
        <v>3.3672056792807187E-6</v>
      </c>
      <c r="G128" s="141">
        <f t="shared" si="15"/>
        <v>3.335623266791959E-13</v>
      </c>
      <c r="H128" s="49">
        <f t="shared" si="17"/>
        <v>3.3356232667919878E-13</v>
      </c>
    </row>
    <row r="129" spans="1:8" x14ac:dyDescent="0.25">
      <c r="A129" s="66">
        <f t="shared" si="18"/>
        <v>20.637925919591758</v>
      </c>
      <c r="B129" s="146">
        <f t="shared" si="16"/>
        <v>93</v>
      </c>
      <c r="C129" s="141">
        <f t="shared" si="11"/>
        <v>3.1921866263615362E-13</v>
      </c>
      <c r="D129" s="66">
        <f t="shared" si="12"/>
        <v>45862057.599092804</v>
      </c>
      <c r="E129" s="89">
        <f t="shared" si="13"/>
        <v>0.44999999999999996</v>
      </c>
      <c r="F129" s="147">
        <f t="shared" si="14"/>
        <v>6.5880111116360917E-6</v>
      </c>
      <c r="G129" s="141">
        <f t="shared" si="15"/>
        <v>6.5278098931534664E-13</v>
      </c>
      <c r="H129" s="49">
        <f t="shared" si="17"/>
        <v>6.527809893153524E-13</v>
      </c>
    </row>
    <row r="130" spans="1:8" x14ac:dyDescent="0.25">
      <c r="A130" s="66">
        <f t="shared" si="18"/>
        <v>20.859839101522855</v>
      </c>
      <c r="B130" s="146">
        <f t="shared" si="16"/>
        <v>94</v>
      </c>
      <c r="C130" s="141">
        <f t="shared" si="11"/>
        <v>6.1126977951603572E-13</v>
      </c>
      <c r="D130" s="66">
        <f t="shared" si="12"/>
        <v>46355198.003384128</v>
      </c>
      <c r="E130" s="89">
        <f t="shared" si="13"/>
        <v>0.44999999999999996</v>
      </c>
      <c r="F130" s="147">
        <f t="shared" si="14"/>
        <v>1.2750989248327856E-5</v>
      </c>
      <c r="G130" s="141">
        <f t="shared" si="15"/>
        <v>1.2640507688313911E-12</v>
      </c>
      <c r="H130" s="49">
        <f t="shared" si="17"/>
        <v>1.2640507688313881E-12</v>
      </c>
    </row>
    <row r="131" spans="1:8" x14ac:dyDescent="0.25">
      <c r="A131" s="66">
        <f t="shared" si="18"/>
        <v>21.081752283453948</v>
      </c>
      <c r="B131" s="146">
        <f t="shared" si="16"/>
        <v>95</v>
      </c>
      <c r="C131" s="141">
        <f t="shared" si="11"/>
        <v>1.1581953717146024E-12</v>
      </c>
      <c r="D131" s="66">
        <f t="shared" si="12"/>
        <v>46848338.407675445</v>
      </c>
      <c r="E131" s="89">
        <f t="shared" si="13"/>
        <v>0.44999999999999996</v>
      </c>
      <c r="F131" s="147">
        <f t="shared" si="14"/>
        <v>2.4416787922330115E-5</v>
      </c>
      <c r="G131" s="141">
        <f t="shared" si="15"/>
        <v>2.4222461405460004E-12</v>
      </c>
      <c r="H131" s="49">
        <f t="shared" si="17"/>
        <v>2.4222461405459903E-12</v>
      </c>
    </row>
    <row r="132" spans="1:8" x14ac:dyDescent="0.25">
      <c r="A132" s="66">
        <f t="shared" si="18"/>
        <v>21.303665465385041</v>
      </c>
      <c r="B132" s="146">
        <f t="shared" si="16"/>
        <v>96</v>
      </c>
      <c r="C132" s="141">
        <f t="shared" si="11"/>
        <v>2.1716163219648864E-12</v>
      </c>
      <c r="D132" s="66">
        <f t="shared" si="12"/>
        <v>47341478.811966762</v>
      </c>
      <c r="E132" s="89">
        <f t="shared" si="13"/>
        <v>0.44999999999999996</v>
      </c>
      <c r="F132" s="147">
        <f t="shared" si="14"/>
        <v>4.6263387642309833E-5</v>
      </c>
      <c r="G132" s="141">
        <f t="shared" si="15"/>
        <v>4.5938624625109151E-12</v>
      </c>
      <c r="H132" s="49">
        <f t="shared" si="17"/>
        <v>4.5938624625108763E-12</v>
      </c>
    </row>
    <row r="133" spans="1:8" x14ac:dyDescent="0.25">
      <c r="A133" s="66">
        <f t="shared" si="18"/>
        <v>21.525578647316134</v>
      </c>
      <c r="B133" s="146">
        <f t="shared" si="16"/>
        <v>97</v>
      </c>
      <c r="C133" s="141">
        <f t="shared" si="11"/>
        <v>4.0298034840585745E-12</v>
      </c>
      <c r="D133" s="66">
        <f t="shared" si="12"/>
        <v>47834619.216258086</v>
      </c>
      <c r="E133" s="89">
        <f t="shared" si="13"/>
        <v>0.44999999999999996</v>
      </c>
      <c r="F133" s="147">
        <f t="shared" si="14"/>
        <v>8.6743851829331416E-5</v>
      </c>
      <c r="G133" s="141">
        <f t="shared" si="15"/>
        <v>8.6236659465695025E-12</v>
      </c>
      <c r="H133" s="49">
        <f t="shared" ref="H133:H164" si="19">+H132+C133</f>
        <v>8.6236659465694508E-12</v>
      </c>
    </row>
    <row r="134" spans="1:8" x14ac:dyDescent="0.25">
      <c r="A134" s="66">
        <f t="shared" si="18"/>
        <v>21.747491829247227</v>
      </c>
      <c r="B134" s="146">
        <f t="shared" si="16"/>
        <v>98</v>
      </c>
      <c r="C134" s="141">
        <f t="shared" si="11"/>
        <v>7.4016798686790327E-12</v>
      </c>
      <c r="D134" s="66">
        <f t="shared" si="12"/>
        <v>48327759.620549403</v>
      </c>
      <c r="E134" s="89">
        <f t="shared" si="13"/>
        <v>0.44999999999999996</v>
      </c>
      <c r="F134" s="147">
        <f t="shared" si="14"/>
        <v>1.6096797246680097E-4</v>
      </c>
      <c r="G134" s="141">
        <f t="shared" si="15"/>
        <v>1.6025345815248328E-11</v>
      </c>
      <c r="H134" s="49">
        <f t="shared" si="19"/>
        <v>1.6025345815248483E-11</v>
      </c>
    </row>
    <row r="135" spans="1:8" x14ac:dyDescent="0.25">
      <c r="A135" s="66">
        <f t="shared" si="18"/>
        <v>21.969405011178324</v>
      </c>
      <c r="B135" s="146">
        <f t="shared" si="16"/>
        <v>99</v>
      </c>
      <c r="C135" s="141">
        <f t="shared" si="11"/>
        <v>1.3457599761234418E-11</v>
      </c>
      <c r="D135" s="66">
        <f t="shared" si="12"/>
        <v>48820900.024840727</v>
      </c>
      <c r="E135" s="89">
        <f t="shared" si="13"/>
        <v>0.44999999999999996</v>
      </c>
      <c r="F135" s="147">
        <f t="shared" si="14"/>
        <v>2.9565545963289568E-4</v>
      </c>
      <c r="G135" s="141">
        <f t="shared" si="15"/>
        <v>2.9482945576482705E-11</v>
      </c>
      <c r="H135" s="49">
        <f t="shared" si="19"/>
        <v>2.9482945576482899E-11</v>
      </c>
    </row>
    <row r="136" spans="1:8" x14ac:dyDescent="0.25">
      <c r="A136" s="66">
        <f t="shared" si="18"/>
        <v>22.191318193109421</v>
      </c>
      <c r="B136" s="146">
        <f t="shared" si="16"/>
        <v>100</v>
      </c>
      <c r="C136" s="141">
        <f t="shared" si="11"/>
        <v>2.4223679570221921E-11</v>
      </c>
      <c r="D136" s="66">
        <f t="shared" si="12"/>
        <v>49314040.429132044</v>
      </c>
      <c r="E136" s="89">
        <f t="shared" si="13"/>
        <v>0.44999999999999996</v>
      </c>
      <c r="F136" s="147">
        <f t="shared" si="14"/>
        <v>5.3755538115071862E-4</v>
      </c>
      <c r="G136" s="141">
        <f t="shared" si="15"/>
        <v>5.3706625146705068E-11</v>
      </c>
      <c r="H136" s="49">
        <f t="shared" si="19"/>
        <v>5.3706625146704822E-11</v>
      </c>
    </row>
    <row r="137" spans="1:8" x14ac:dyDescent="0.25">
      <c r="A137" s="66">
        <f t="shared" si="18"/>
        <v>22.413231375040514</v>
      </c>
      <c r="B137" s="146">
        <f t="shared" si="16"/>
        <v>101</v>
      </c>
      <c r="C137" s="141">
        <f t="shared" si="11"/>
        <v>4.3170914085544365E-11</v>
      </c>
      <c r="D137" s="66">
        <f t="shared" si="12"/>
        <v>49807180.833423369</v>
      </c>
      <c r="E137" s="89">
        <f t="shared" si="13"/>
        <v>0.44999999999999996</v>
      </c>
      <c r="F137" s="147">
        <f t="shared" si="14"/>
        <v>9.6759968607130131E-4</v>
      </c>
      <c r="G137" s="141">
        <f t="shared" si="15"/>
        <v>9.6877539232248897E-11</v>
      </c>
      <c r="H137" s="49">
        <f t="shared" si="19"/>
        <v>9.6877539232249194E-11</v>
      </c>
    </row>
    <row r="138" spans="1:8" x14ac:dyDescent="0.25">
      <c r="A138" s="66">
        <f t="shared" si="18"/>
        <v>22.635144556971607</v>
      </c>
      <c r="B138" s="146">
        <f t="shared" si="16"/>
        <v>102</v>
      </c>
      <c r="C138" s="141">
        <f t="shared" si="11"/>
        <v>7.6183966033313126E-11</v>
      </c>
      <c r="D138" s="66">
        <f t="shared" si="12"/>
        <v>50300321.237714685</v>
      </c>
      <c r="E138" s="89">
        <f t="shared" si="13"/>
        <v>0.44999999999999996</v>
      </c>
      <c r="F138" s="147">
        <f t="shared" si="14"/>
        <v>1.7244350840874573E-3</v>
      </c>
      <c r="G138" s="141">
        <f t="shared" si="15"/>
        <v>1.7306150526556298E-10</v>
      </c>
      <c r="H138" s="49">
        <f t="shared" si="19"/>
        <v>1.7306150526556231E-10</v>
      </c>
    </row>
    <row r="139" spans="1:8" x14ac:dyDescent="0.25">
      <c r="A139" s="66">
        <f t="shared" si="18"/>
        <v>22.857057738902704</v>
      </c>
      <c r="B139" s="146">
        <f t="shared" si="16"/>
        <v>103</v>
      </c>
      <c r="C139" s="141">
        <f t="shared" si="11"/>
        <v>1.3313702801938294E-10</v>
      </c>
      <c r="D139" s="66">
        <f t="shared" si="12"/>
        <v>50793461.64200601</v>
      </c>
      <c r="E139" s="89">
        <f t="shared" si="13"/>
        <v>0.44999999999999996</v>
      </c>
      <c r="F139" s="147">
        <f t="shared" si="14"/>
        <v>3.0431207366249428E-3</v>
      </c>
      <c r="G139" s="141">
        <f t="shared" si="15"/>
        <v>3.0619853328494711E-10</v>
      </c>
      <c r="H139" s="49">
        <f t="shared" si="19"/>
        <v>3.0619853328494525E-10</v>
      </c>
    </row>
    <row r="140" spans="1:8" x14ac:dyDescent="0.25">
      <c r="A140" s="66">
        <f t="shared" si="18"/>
        <v>23.078970920833797</v>
      </c>
      <c r="B140" s="146">
        <f t="shared" si="16"/>
        <v>104</v>
      </c>
      <c r="C140" s="141">
        <f t="shared" si="11"/>
        <v>2.3042947157201001E-10</v>
      </c>
      <c r="D140" s="66">
        <f t="shared" si="12"/>
        <v>51286602.046297327</v>
      </c>
      <c r="E140" s="89">
        <f t="shared" si="13"/>
        <v>0.44999999999999996</v>
      </c>
      <c r="F140" s="147">
        <f t="shared" si="14"/>
        <v>5.3180750737135173E-3</v>
      </c>
      <c r="G140" s="141">
        <f t="shared" si="15"/>
        <v>5.3662800485694857E-10</v>
      </c>
      <c r="H140" s="49">
        <f t="shared" si="19"/>
        <v>5.3662800485695529E-10</v>
      </c>
    </row>
    <row r="141" spans="1:8" x14ac:dyDescent="0.25">
      <c r="A141" s="66">
        <f t="shared" si="18"/>
        <v>23.30088410276489</v>
      </c>
      <c r="B141" s="146">
        <f t="shared" si="16"/>
        <v>105</v>
      </c>
      <c r="C141" s="141">
        <f t="shared" si="11"/>
        <v>3.9502195126629647E-10</v>
      </c>
      <c r="D141" s="66">
        <f t="shared" si="12"/>
        <v>51779742.450588651</v>
      </c>
      <c r="E141" s="89">
        <f t="shared" si="13"/>
        <v>0.44999999999999996</v>
      </c>
      <c r="F141" s="147">
        <f t="shared" si="14"/>
        <v>9.2043607045040141E-3</v>
      </c>
      <c r="G141" s="141">
        <f t="shared" si="15"/>
        <v>9.3164995612324643E-10</v>
      </c>
      <c r="H141" s="49">
        <f t="shared" si="19"/>
        <v>9.3164995612325181E-10</v>
      </c>
    </row>
    <row r="142" spans="1:8" x14ac:dyDescent="0.25">
      <c r="A142" s="66">
        <f t="shared" si="18"/>
        <v>23.522797284695983</v>
      </c>
      <c r="B142" s="146">
        <f t="shared" si="16"/>
        <v>106</v>
      </c>
      <c r="C142" s="141">
        <f t="shared" si="11"/>
        <v>6.707919927163539E-10</v>
      </c>
      <c r="D142" s="66">
        <f t="shared" si="12"/>
        <v>52272882.854879968</v>
      </c>
      <c r="E142" s="89">
        <f t="shared" si="13"/>
        <v>0.44999999999999996</v>
      </c>
      <c r="F142" s="147">
        <f t="shared" si="14"/>
        <v>1.5778904064864058E-2</v>
      </c>
      <c r="G142" s="141">
        <f t="shared" si="15"/>
        <v>1.6024419488396028E-9</v>
      </c>
      <c r="H142" s="49">
        <f t="shared" si="19"/>
        <v>1.6024419488396057E-9</v>
      </c>
    </row>
    <row r="143" spans="1:8" x14ac:dyDescent="0.25">
      <c r="A143" s="66">
        <f t="shared" si="18"/>
        <v>23.74471046662708</v>
      </c>
      <c r="B143" s="146">
        <f t="shared" si="16"/>
        <v>107</v>
      </c>
      <c r="C143" s="141">
        <f t="shared" si="11"/>
        <v>1.1284351279340547E-9</v>
      </c>
      <c r="D143" s="66">
        <f t="shared" si="12"/>
        <v>52766023.259171292</v>
      </c>
      <c r="E143" s="89">
        <f t="shared" si="13"/>
        <v>0.44999999999999996</v>
      </c>
      <c r="F143" s="147">
        <f t="shared" si="14"/>
        <v>2.6794365393165417E-2</v>
      </c>
      <c r="G143" s="141">
        <f t="shared" si="15"/>
        <v>2.7308770767736807E-9</v>
      </c>
      <c r="H143" s="49">
        <f t="shared" si="19"/>
        <v>2.7308770767736604E-9</v>
      </c>
    </row>
    <row r="144" spans="1:8" x14ac:dyDescent="0.25">
      <c r="A144" s="66">
        <f t="shared" si="18"/>
        <v>23.966623648558173</v>
      </c>
      <c r="B144" s="146">
        <f t="shared" si="16"/>
        <v>108</v>
      </c>
      <c r="C144" s="141">
        <f t="shared" si="11"/>
        <v>1.8807252132234409E-9</v>
      </c>
      <c r="D144" s="66">
        <f t="shared" si="12"/>
        <v>53259163.663462609</v>
      </c>
      <c r="E144" s="89">
        <f t="shared" si="13"/>
        <v>0.44999999999999996</v>
      </c>
      <c r="F144" s="147">
        <f t="shared" si="14"/>
        <v>4.5074633371680529E-2</v>
      </c>
      <c r="G144" s="141">
        <f t="shared" si="15"/>
        <v>4.6116022899971497E-9</v>
      </c>
      <c r="H144" s="49">
        <f t="shared" si="19"/>
        <v>4.6116022899971009E-9</v>
      </c>
    </row>
    <row r="145" spans="1:8" x14ac:dyDescent="0.25">
      <c r="A145" s="66">
        <f t="shared" si="18"/>
        <v>24.188536830489266</v>
      </c>
      <c r="B145" s="146">
        <f t="shared" si="16"/>
        <v>109</v>
      </c>
      <c r="C145" s="141">
        <f t="shared" si="11"/>
        <v>3.105784755781848E-9</v>
      </c>
      <c r="D145" s="66">
        <f t="shared" si="12"/>
        <v>53752304.067753933</v>
      </c>
      <c r="E145" s="89">
        <f t="shared" si="13"/>
        <v>0.44999999999999996</v>
      </c>
      <c r="F145" s="147">
        <f t="shared" si="14"/>
        <v>7.5124388952801338E-2</v>
      </c>
      <c r="G145" s="141">
        <f t="shared" si="15"/>
        <v>7.7173870457788434E-9</v>
      </c>
      <c r="H145" s="49">
        <f t="shared" si="19"/>
        <v>7.7173870457789493E-9</v>
      </c>
    </row>
    <row r="146" spans="1:8" x14ac:dyDescent="0.25">
      <c r="A146" s="66">
        <f t="shared" si="18"/>
        <v>24.410450012420359</v>
      </c>
      <c r="B146" s="146">
        <f t="shared" si="16"/>
        <v>110</v>
      </c>
      <c r="C146" s="141">
        <f t="shared" si="11"/>
        <v>5.082193236733832E-9</v>
      </c>
      <c r="D146" s="66">
        <f t="shared" si="12"/>
        <v>54245444.47204525</v>
      </c>
      <c r="E146" s="89">
        <f t="shared" si="13"/>
        <v>0.44999999999999996</v>
      </c>
      <c r="F146" s="147">
        <f t="shared" si="14"/>
        <v>0.12405862395875204</v>
      </c>
      <c r="G146" s="141">
        <f t="shared" si="15"/>
        <v>1.2799580282512709E-8</v>
      </c>
      <c r="H146" s="49">
        <f t="shared" si="19"/>
        <v>1.2799580282512782E-8</v>
      </c>
    </row>
    <row r="147" spans="1:8" x14ac:dyDescent="0.25">
      <c r="A147" s="66">
        <f t="shared" si="18"/>
        <v>24.632363194351456</v>
      </c>
      <c r="B147" s="146">
        <f t="shared" si="16"/>
        <v>111</v>
      </c>
      <c r="C147" s="141">
        <f t="shared" si="11"/>
        <v>8.2413944379467757E-9</v>
      </c>
      <c r="D147" s="66">
        <f t="shared" si="12"/>
        <v>54738584.876336575</v>
      </c>
      <c r="E147" s="89">
        <f t="shared" si="13"/>
        <v>0.44999999999999996</v>
      </c>
      <c r="F147" s="147">
        <f t="shared" si="14"/>
        <v>0.20300502102341297</v>
      </c>
      <c r="G147" s="141">
        <f t="shared" si="15"/>
        <v>2.1040974720459627E-8</v>
      </c>
      <c r="H147" s="49">
        <f t="shared" si="19"/>
        <v>2.1040974720459558E-8</v>
      </c>
    </row>
    <row r="148" spans="1:8" x14ac:dyDescent="0.25">
      <c r="A148" s="66">
        <f t="shared" si="18"/>
        <v>24.854276376282549</v>
      </c>
      <c r="B148" s="146">
        <f t="shared" si="16"/>
        <v>112</v>
      </c>
      <c r="C148" s="141">
        <f t="shared" si="11"/>
        <v>1.3245098203843121E-8</v>
      </c>
      <c r="D148" s="66">
        <f t="shared" si="12"/>
        <v>55231725.280627891</v>
      </c>
      <c r="E148" s="89">
        <f t="shared" si="13"/>
        <v>0.44999999999999996</v>
      </c>
      <c r="F148" s="147">
        <f t="shared" si="14"/>
        <v>0.3291973313893205</v>
      </c>
      <c r="G148" s="141">
        <f t="shared" si="15"/>
        <v>3.4286072924302896E-8</v>
      </c>
      <c r="H148" s="49">
        <f t="shared" si="19"/>
        <v>3.4286072924302677E-8</v>
      </c>
    </row>
    <row r="149" spans="1:8" x14ac:dyDescent="0.25">
      <c r="A149" s="66">
        <f t="shared" si="18"/>
        <v>25.076189558213645</v>
      </c>
      <c r="B149" s="146">
        <f t="shared" si="16"/>
        <v>113</v>
      </c>
      <c r="C149" s="141">
        <f t="shared" si="11"/>
        <v>2.1098386519396205E-8</v>
      </c>
      <c r="D149" s="66">
        <f t="shared" si="12"/>
        <v>55724865.684919216</v>
      </c>
      <c r="E149" s="89">
        <f t="shared" si="13"/>
        <v>0.44999999999999996</v>
      </c>
      <c r="F149" s="147">
        <f t="shared" si="14"/>
        <v>0.52906713973283859</v>
      </c>
      <c r="G149" s="141">
        <f t="shared" si="15"/>
        <v>5.5384459443699163E-8</v>
      </c>
      <c r="H149" s="49">
        <f t="shared" si="19"/>
        <v>5.5384459443698885E-8</v>
      </c>
    </row>
    <row r="150" spans="1:8" x14ac:dyDescent="0.25">
      <c r="A150" s="66">
        <f t="shared" si="18"/>
        <v>25.298102740144738</v>
      </c>
      <c r="B150" s="146">
        <f t="shared" si="16"/>
        <v>114</v>
      </c>
      <c r="C150" s="141">
        <f t="shared" si="11"/>
        <v>3.3313241872730891E-8</v>
      </c>
      <c r="D150" s="66">
        <f t="shared" si="12"/>
        <v>56218006.089210533</v>
      </c>
      <c r="E150" s="89">
        <f t="shared" si="13"/>
        <v>0.44999999999999996</v>
      </c>
      <c r="F150" s="147">
        <f t="shared" si="14"/>
        <v>0.84276181550363771</v>
      </c>
      <c r="G150" s="141">
        <f t="shared" si="15"/>
        <v>8.8697701316430669E-8</v>
      </c>
      <c r="H150" s="49">
        <f t="shared" si="19"/>
        <v>8.8697701316429769E-8</v>
      </c>
    </row>
    <row r="151" spans="1:8" x14ac:dyDescent="0.25">
      <c r="A151" s="66">
        <f t="shared" si="18"/>
        <v>25.520015922075835</v>
      </c>
      <c r="B151" s="146">
        <f t="shared" si="16"/>
        <v>115</v>
      </c>
      <c r="C151" s="141">
        <f t="shared" si="11"/>
        <v>5.2142465539926975E-8</v>
      </c>
      <c r="D151" s="66">
        <f t="shared" si="12"/>
        <v>56711146.493501857</v>
      </c>
      <c r="E151" s="89">
        <f t="shared" si="13"/>
        <v>0.44999999999999996</v>
      </c>
      <c r="F151" s="147">
        <f t="shared" si="14"/>
        <v>1.330676550795227</v>
      </c>
      <c r="G151" s="141">
        <f t="shared" si="15"/>
        <v>1.4084016685635489E-7</v>
      </c>
      <c r="H151" s="49">
        <f t="shared" si="19"/>
        <v>1.4084016685635674E-7</v>
      </c>
    </row>
    <row r="152" spans="1:8" x14ac:dyDescent="0.25">
      <c r="A152" s="66">
        <f t="shared" si="18"/>
        <v>25.741929104006928</v>
      </c>
      <c r="B152" s="146">
        <f t="shared" si="16"/>
        <v>116</v>
      </c>
      <c r="C152" s="141">
        <f t="shared" si="11"/>
        <v>8.0910722389540275E-8</v>
      </c>
      <c r="D152" s="66">
        <f t="shared" si="12"/>
        <v>57204286.897793174</v>
      </c>
      <c r="E152" s="89">
        <f t="shared" si="13"/>
        <v>0.44999999999999996</v>
      </c>
      <c r="F152" s="147">
        <f t="shared" si="14"/>
        <v>2.0827980795055319</v>
      </c>
      <c r="G152" s="141">
        <f t="shared" si="15"/>
        <v>2.2175088924589648E-7</v>
      </c>
      <c r="H152" s="49">
        <f t="shared" si="19"/>
        <v>2.2175088924589703E-7</v>
      </c>
    </row>
    <row r="153" spans="1:8" x14ac:dyDescent="0.25">
      <c r="A153" s="66">
        <f t="shared" si="18"/>
        <v>25.963842285938021</v>
      </c>
      <c r="B153" s="146">
        <f t="shared" si="16"/>
        <v>117</v>
      </c>
      <c r="C153" s="141">
        <f t="shared" si="11"/>
        <v>1.2447803444544732E-7</v>
      </c>
      <c r="D153" s="66">
        <f t="shared" si="12"/>
        <v>57697427.302084498</v>
      </c>
      <c r="E153" s="89">
        <f t="shared" si="13"/>
        <v>0.44999999999999996</v>
      </c>
      <c r="F153" s="147">
        <f t="shared" si="14"/>
        <v>3.2319280544051545</v>
      </c>
      <c r="G153" s="141">
        <f t="shared" si="15"/>
        <v>3.4622892369134375E-7</v>
      </c>
      <c r="H153" s="49">
        <f t="shared" si="19"/>
        <v>3.4622892369134433E-7</v>
      </c>
    </row>
    <row r="154" spans="1:8" x14ac:dyDescent="0.25">
      <c r="A154" s="66">
        <f t="shared" si="18"/>
        <v>26.185755467869114</v>
      </c>
      <c r="B154" s="146">
        <f t="shared" si="16"/>
        <v>118</v>
      </c>
      <c r="C154" s="141">
        <f t="shared" si="11"/>
        <v>1.8988174745915696E-7</v>
      </c>
      <c r="D154" s="66">
        <f t="shared" si="12"/>
        <v>58190567.706375815</v>
      </c>
      <c r="E154" s="89">
        <f t="shared" si="13"/>
        <v>0.44999999999999996</v>
      </c>
      <c r="F154" s="147">
        <f t="shared" si="14"/>
        <v>4.9721970067771615</v>
      </c>
      <c r="G154" s="141">
        <f t="shared" si="15"/>
        <v>5.3611067115050304E-7</v>
      </c>
      <c r="H154" s="49">
        <f t="shared" si="19"/>
        <v>5.3611067115050134E-7</v>
      </c>
    </row>
    <row r="155" spans="1:8" x14ac:dyDescent="0.25">
      <c r="A155" s="66">
        <f t="shared" si="18"/>
        <v>26.407668649800211</v>
      </c>
      <c r="B155" s="146">
        <f t="shared" si="16"/>
        <v>119</v>
      </c>
      <c r="C155" s="141">
        <f t="shared" si="11"/>
        <v>2.8721608859368401E-7</v>
      </c>
      <c r="D155" s="66">
        <f t="shared" si="12"/>
        <v>58683708.110667139</v>
      </c>
      <c r="E155" s="89">
        <f t="shared" si="13"/>
        <v>0.44999999999999996</v>
      </c>
      <c r="F155" s="147">
        <f t="shared" si="14"/>
        <v>7.5847072984736696</v>
      </c>
      <c r="G155" s="141">
        <f t="shared" si="15"/>
        <v>8.2332675974418398E-7</v>
      </c>
      <c r="H155" s="49">
        <f t="shared" si="19"/>
        <v>8.2332675974418536E-7</v>
      </c>
    </row>
    <row r="156" spans="1:8" x14ac:dyDescent="0.25">
      <c r="A156" s="66">
        <f t="shared" si="18"/>
        <v>26.629581831731301</v>
      </c>
      <c r="B156" s="146">
        <f t="shared" si="16"/>
        <v>120</v>
      </c>
      <c r="C156" s="141">
        <f t="shared" si="11"/>
        <v>4.3082413289052449E-7</v>
      </c>
      <c r="D156" s="66">
        <f t="shared" si="12"/>
        <v>59176848.514958456</v>
      </c>
      <c r="E156" s="89">
        <f t="shared" si="13"/>
        <v>0.44999999999999996</v>
      </c>
      <c r="F156" s="147">
        <f t="shared" si="14"/>
        <v>11.472666501892903</v>
      </c>
      <c r="G156" s="141">
        <f t="shared" si="15"/>
        <v>1.254150892634711E-6</v>
      </c>
      <c r="H156" s="49">
        <f t="shared" si="19"/>
        <v>1.2541508926347099E-6</v>
      </c>
    </row>
    <row r="157" spans="1:8" x14ac:dyDescent="0.25">
      <c r="A157" s="66">
        <f t="shared" si="18"/>
        <v>26.851495013662397</v>
      </c>
      <c r="B157" s="146">
        <f t="shared" si="16"/>
        <v>121</v>
      </c>
      <c r="C157" s="141">
        <f t="shared" si="11"/>
        <v>6.4089540429995515E-7</v>
      </c>
      <c r="D157" s="66">
        <f t="shared" si="12"/>
        <v>59669988.91924978</v>
      </c>
      <c r="E157" s="89">
        <f t="shared" si="13"/>
        <v>0.44999999999999996</v>
      </c>
      <c r="F157" s="147">
        <f t="shared" si="14"/>
        <v>17.208999752839393</v>
      </c>
      <c r="G157" s="141">
        <f t="shared" si="15"/>
        <v>1.8950462969346664E-6</v>
      </c>
      <c r="H157" s="49">
        <f t="shared" si="19"/>
        <v>1.8950462969346652E-6</v>
      </c>
    </row>
    <row r="158" spans="1:8" x14ac:dyDescent="0.25">
      <c r="A158" s="66">
        <f t="shared" si="18"/>
        <v>27.07340819559349</v>
      </c>
      <c r="B158" s="146">
        <f t="shared" si="16"/>
        <v>122</v>
      </c>
      <c r="C158" s="141">
        <f t="shared" si="11"/>
        <v>9.4558338339337594E-7</v>
      </c>
      <c r="D158" s="66">
        <f t="shared" si="12"/>
        <v>60163129.323541097</v>
      </c>
      <c r="E158" s="89">
        <f t="shared" si="13"/>
        <v>0.44999999999999996</v>
      </c>
      <c r="F158" s="147">
        <f t="shared" si="14"/>
        <v>25.600164921579246</v>
      </c>
      <c r="G158" s="141">
        <f t="shared" si="15"/>
        <v>2.8406296803280572E-6</v>
      </c>
      <c r="H158" s="49">
        <f t="shared" si="19"/>
        <v>2.8406296803280411E-6</v>
      </c>
    </row>
    <row r="159" spans="1:8" x14ac:dyDescent="0.25">
      <c r="A159" s="66">
        <f t="shared" si="18"/>
        <v>27.295321377524587</v>
      </c>
      <c r="B159" s="146">
        <f t="shared" si="16"/>
        <v>123</v>
      </c>
      <c r="C159" s="141">
        <f t="shared" si="11"/>
        <v>1.3837805610634846E-6</v>
      </c>
      <c r="D159" s="66">
        <f t="shared" si="12"/>
        <v>60656269.727832422</v>
      </c>
      <c r="E159" s="89">
        <f t="shared" si="13"/>
        <v>0.44999999999999996</v>
      </c>
      <c r="F159" s="147">
        <f t="shared" si="14"/>
        <v>37.7707351301991</v>
      </c>
      <c r="G159" s="141">
        <f t="shared" si="15"/>
        <v>4.2244102413914842E-6</v>
      </c>
      <c r="H159" s="49">
        <f t="shared" si="19"/>
        <v>4.2244102413915257E-6</v>
      </c>
    </row>
    <row r="160" spans="1:8" x14ac:dyDescent="0.25">
      <c r="A160" s="66">
        <f t="shared" si="18"/>
        <v>27.517234559455677</v>
      </c>
      <c r="B160" s="146">
        <f t="shared" si="16"/>
        <v>124</v>
      </c>
      <c r="C160" s="141">
        <f t="shared" si="11"/>
        <v>2.0087137176727737E-6</v>
      </c>
      <c r="D160" s="66">
        <f t="shared" si="12"/>
        <v>61149410.132123739</v>
      </c>
      <c r="E160" s="89">
        <f t="shared" si="13"/>
        <v>0.44999999999999996</v>
      </c>
      <c r="F160" s="147">
        <f t="shared" si="14"/>
        <v>55.274246531997946</v>
      </c>
      <c r="G160" s="141">
        <f t="shared" si="15"/>
        <v>6.2331239590642609E-6</v>
      </c>
      <c r="H160" s="49">
        <f t="shared" si="19"/>
        <v>6.233123959064299E-6</v>
      </c>
    </row>
    <row r="161" spans="1:8" x14ac:dyDescent="0.25">
      <c r="A161" s="66">
        <f t="shared" si="18"/>
        <v>27.739147741386773</v>
      </c>
      <c r="B161" s="146">
        <f t="shared" si="16"/>
        <v>125</v>
      </c>
      <c r="C161" s="141">
        <f t="shared" si="11"/>
        <v>2.8925477534487938E-6</v>
      </c>
      <c r="D161" s="66">
        <f t="shared" si="12"/>
        <v>61642550.536415063</v>
      </c>
      <c r="E161" s="89">
        <f t="shared" si="13"/>
        <v>0.44999999999999996</v>
      </c>
      <c r="F161" s="147">
        <f t="shared" si="14"/>
        <v>80.236809481932497</v>
      </c>
      <c r="G161" s="141">
        <f t="shared" si="15"/>
        <v>9.125671712513089E-6</v>
      </c>
      <c r="H161" s="49">
        <f t="shared" si="19"/>
        <v>9.1256717125130923E-6</v>
      </c>
    </row>
    <row r="162" spans="1:8" x14ac:dyDescent="0.25">
      <c r="A162" s="66">
        <f t="shared" si="18"/>
        <v>27.96106092331787</v>
      </c>
      <c r="B162" s="146">
        <f t="shared" si="16"/>
        <v>126</v>
      </c>
      <c r="C162" s="141">
        <f t="shared" si="11"/>
        <v>4.1322110763554404E-6</v>
      </c>
      <c r="D162" s="66">
        <f t="shared" si="12"/>
        <v>62135690.94070638</v>
      </c>
      <c r="E162" s="89">
        <f t="shared" si="13"/>
        <v>0.44999999999999996</v>
      </c>
      <c r="F162" s="147">
        <f t="shared" si="14"/>
        <v>115.54100565398338</v>
      </c>
      <c r="G162" s="141">
        <f t="shared" si="15"/>
        <v>1.325788278886867E-5</v>
      </c>
      <c r="H162" s="49">
        <f t="shared" si="19"/>
        <v>1.3257882788868533E-5</v>
      </c>
    </row>
    <row r="163" spans="1:8" x14ac:dyDescent="0.25">
      <c r="A163" s="66">
        <f t="shared" si="18"/>
        <v>28.182974105248967</v>
      </c>
      <c r="B163" s="146">
        <f t="shared" si="16"/>
        <v>127</v>
      </c>
      <c r="C163" s="141">
        <f t="shared" si="11"/>
        <v>5.8566771160943846E-6</v>
      </c>
      <c r="D163" s="66">
        <f t="shared" si="12"/>
        <v>62628831.344997704</v>
      </c>
      <c r="E163" s="89">
        <f t="shared" si="13"/>
        <v>0.44999999999999996</v>
      </c>
      <c r="F163" s="147">
        <f>+D163*E163*C163</f>
        <v>165.05857950569222</v>
      </c>
      <c r="G163" s="141">
        <f t="shared" si="15"/>
        <v>1.9114559904962892E-5</v>
      </c>
      <c r="H163" s="49">
        <f t="shared" si="19"/>
        <v>1.9114559904962916E-5</v>
      </c>
    </row>
    <row r="164" spans="1:8" x14ac:dyDescent="0.25">
      <c r="A164" s="66">
        <f t="shared" si="18"/>
        <v>28.404887287180056</v>
      </c>
      <c r="B164" s="146">
        <f t="shared" si="16"/>
        <v>128</v>
      </c>
      <c r="C164" s="141">
        <f t="shared" ref="C164:C227" si="20">POISSON(B164,$C$33,0)</f>
        <v>8.2359521945076561E-6</v>
      </c>
      <c r="D164" s="66">
        <f t="shared" ref="D164:D227" si="21">+B164*$C$32</f>
        <v>63121971.749289021</v>
      </c>
      <c r="E164" s="89">
        <f t="shared" ref="E164:E227" si="22">1-$E$34</f>
        <v>0.44999999999999996</v>
      </c>
      <c r="F164" s="147">
        <f t="shared" ref="F164:F227" si="23">+D164*E164*C164</f>
        <v>233.9412937875932</v>
      </c>
      <c r="G164" s="141">
        <f t="shared" ref="G164:G227" si="24">POISSON(B164,$C$33,1)</f>
        <v>2.7350512099470645E-5</v>
      </c>
      <c r="H164" s="49">
        <f t="shared" si="19"/>
        <v>2.735051209947057E-5</v>
      </c>
    </row>
    <row r="165" spans="1:8" x14ac:dyDescent="0.25">
      <c r="A165" s="66">
        <f t="shared" si="18"/>
        <v>28.626800469111149</v>
      </c>
      <c r="B165" s="146">
        <f t="shared" ref="B165:B228" si="25">+B164+1</f>
        <v>129</v>
      </c>
      <c r="C165" s="141">
        <f t="shared" si="20"/>
        <v>1.1492026317917703E-5</v>
      </c>
      <c r="D165" s="66">
        <f t="shared" si="21"/>
        <v>63615112.153580338</v>
      </c>
      <c r="E165" s="89">
        <f t="shared" si="22"/>
        <v>0.44999999999999996</v>
      </c>
      <c r="F165" s="147">
        <f t="shared" si="23"/>
        <v>328.9799443888042</v>
      </c>
      <c r="G165" s="141">
        <f t="shared" si="24"/>
        <v>3.8842538417388228E-5</v>
      </c>
      <c r="H165" s="49">
        <f t="shared" ref="H165:H189" si="26">+H164+C165</f>
        <v>3.8842538417388275E-5</v>
      </c>
    </row>
    <row r="166" spans="1:8" x14ac:dyDescent="0.25">
      <c r="A166" s="66">
        <f t="shared" ref="A166:A229" si="27">D166*E166/1000000</f>
        <v>28.848713651042246</v>
      </c>
      <c r="B166" s="146">
        <f t="shared" si="25"/>
        <v>130</v>
      </c>
      <c r="C166" s="141">
        <f t="shared" si="20"/>
        <v>1.591203644019369E-5</v>
      </c>
      <c r="D166" s="66">
        <f t="shared" si="21"/>
        <v>64108252.557871662</v>
      </c>
      <c r="E166" s="89">
        <f t="shared" si="22"/>
        <v>0.44999999999999996</v>
      </c>
      <c r="F166" s="147">
        <f t="shared" si="23"/>
        <v>459.04178286809736</v>
      </c>
      <c r="G166" s="141">
        <f t="shared" si="24"/>
        <v>5.4754574857581917E-5</v>
      </c>
      <c r="H166" s="49">
        <f t="shared" si="26"/>
        <v>5.4754574857581965E-5</v>
      </c>
    </row>
    <row r="167" spans="1:8" x14ac:dyDescent="0.25">
      <c r="A167" s="66">
        <f t="shared" si="27"/>
        <v>29.070626832973339</v>
      </c>
      <c r="B167" s="146">
        <f t="shared" si="25"/>
        <v>131</v>
      </c>
      <c r="C167" s="141">
        <f t="shared" si="20"/>
        <v>2.1863866864388289E-5</v>
      </c>
      <c r="D167" s="66">
        <f t="shared" si="21"/>
        <v>64601392.962162979</v>
      </c>
      <c r="E167" s="89">
        <f t="shared" si="22"/>
        <v>0.44999999999999996</v>
      </c>
      <c r="F167" s="147">
        <f t="shared" si="23"/>
        <v>635.59631474044284</v>
      </c>
      <c r="G167" s="141">
        <f t="shared" si="24"/>
        <v>7.6618441721970312E-5</v>
      </c>
      <c r="H167" s="49">
        <f t="shared" si="26"/>
        <v>7.6618441721970257E-5</v>
      </c>
    </row>
    <row r="168" spans="1:8" x14ac:dyDescent="0.25">
      <c r="A168" s="66">
        <f t="shared" si="27"/>
        <v>29.292540014904432</v>
      </c>
      <c r="B168" s="146">
        <f t="shared" si="25"/>
        <v>132</v>
      </c>
      <c r="C168" s="141">
        <f t="shared" si="20"/>
        <v>2.9814363905984068E-5</v>
      </c>
      <c r="D168" s="66">
        <f t="shared" si="21"/>
        <v>65094533.366454303</v>
      </c>
      <c r="E168" s="89">
        <f t="shared" si="22"/>
        <v>0.44999999999999996</v>
      </c>
      <c r="F168" s="147">
        <f t="shared" si="23"/>
        <v>873.33844773496071</v>
      </c>
      <c r="G168" s="141">
        <f t="shared" si="24"/>
        <v>1.0643280562795463E-4</v>
      </c>
      <c r="H168" s="49">
        <f t="shared" si="26"/>
        <v>1.0643280562795432E-4</v>
      </c>
    </row>
    <row r="169" spans="1:8" x14ac:dyDescent="0.25">
      <c r="A169" s="66">
        <f t="shared" si="27"/>
        <v>29.514453196835525</v>
      </c>
      <c r="B169" s="146">
        <f t="shared" si="25"/>
        <v>133</v>
      </c>
      <c r="C169" s="141">
        <f t="shared" si="20"/>
        <v>4.0350266940429652E-5</v>
      </c>
      <c r="D169" s="66">
        <f t="shared" si="21"/>
        <v>65587673.77074562</v>
      </c>
      <c r="E169" s="89">
        <f t="shared" si="22"/>
        <v>0.44999999999999996</v>
      </c>
      <c r="F169" s="147">
        <f t="shared" si="23"/>
        <v>1190.9160650931308</v>
      </c>
      <c r="G169" s="141">
        <f t="shared" si="24"/>
        <v>1.4678307256838418E-4</v>
      </c>
      <c r="H169" s="49">
        <f t="shared" si="26"/>
        <v>1.4678307256838397E-4</v>
      </c>
    </row>
    <row r="170" spans="1:8" x14ac:dyDescent="0.25">
      <c r="A170" s="66">
        <f t="shared" si="27"/>
        <v>29.736366378766622</v>
      </c>
      <c r="B170" s="146">
        <f t="shared" si="25"/>
        <v>134</v>
      </c>
      <c r="C170" s="141">
        <f t="shared" si="20"/>
        <v>5.4201851114009957E-5</v>
      </c>
      <c r="D170" s="66">
        <f t="shared" si="21"/>
        <v>66080814.175036944</v>
      </c>
      <c r="E170" s="89">
        <f t="shared" si="22"/>
        <v>0.44999999999999996</v>
      </c>
      <c r="F170" s="147">
        <f t="shared" si="23"/>
        <v>1611.7661031335599</v>
      </c>
      <c r="G170" s="141">
        <f t="shared" si="24"/>
        <v>2.0098492368239359E-4</v>
      </c>
      <c r="H170" s="49">
        <f t="shared" si="26"/>
        <v>2.0098492368239392E-4</v>
      </c>
    </row>
    <row r="171" spans="1:8" x14ac:dyDescent="0.25">
      <c r="A171" s="66">
        <f t="shared" si="27"/>
        <v>29.958279560697715</v>
      </c>
      <c r="B171" s="146">
        <f t="shared" si="25"/>
        <v>135</v>
      </c>
      <c r="C171" s="141">
        <f t="shared" si="20"/>
        <v>7.2269134818679707E-5</v>
      </c>
      <c r="D171" s="66">
        <f t="shared" si="21"/>
        <v>66573954.579328261</v>
      </c>
      <c r="E171" s="89">
        <f t="shared" si="22"/>
        <v>0.44999999999999996</v>
      </c>
      <c r="F171" s="147">
        <f t="shared" si="23"/>
        <v>2165.0589445077599</v>
      </c>
      <c r="G171" s="141">
        <f t="shared" si="24"/>
        <v>2.7325405850107292E-4</v>
      </c>
      <c r="H171" s="49">
        <f t="shared" si="26"/>
        <v>2.7325405850107362E-4</v>
      </c>
    </row>
    <row r="172" spans="1:8" x14ac:dyDescent="0.25">
      <c r="A172" s="66">
        <f t="shared" si="27"/>
        <v>30.180192742628808</v>
      </c>
      <c r="B172" s="146">
        <f t="shared" si="25"/>
        <v>136</v>
      </c>
      <c r="C172" s="141">
        <f t="shared" si="20"/>
        <v>9.5650325495311254E-5</v>
      </c>
      <c r="D172" s="66">
        <f t="shared" si="21"/>
        <v>67067094.983619586</v>
      </c>
      <c r="E172" s="89">
        <f t="shared" si="22"/>
        <v>0.44999999999999996</v>
      </c>
      <c r="F172" s="147">
        <f t="shared" si="23"/>
        <v>2886.745259343676</v>
      </c>
      <c r="G172" s="141">
        <f t="shared" si="24"/>
        <v>3.689043839963849E-4</v>
      </c>
      <c r="H172" s="49">
        <f t="shared" si="26"/>
        <v>3.689043839963849E-4</v>
      </c>
    </row>
    <row r="173" spans="1:8" x14ac:dyDescent="0.25">
      <c r="A173" s="66">
        <f t="shared" si="27"/>
        <v>30.402105924559901</v>
      </c>
      <c r="B173" s="146">
        <f t="shared" si="25"/>
        <v>137</v>
      </c>
      <c r="C173" s="141">
        <f t="shared" si="20"/>
        <v>1.2567196050478882E-4</v>
      </c>
      <c r="D173" s="66">
        <f t="shared" si="21"/>
        <v>67560235.387910903</v>
      </c>
      <c r="E173" s="89">
        <f t="shared" si="22"/>
        <v>0.44999999999999996</v>
      </c>
      <c r="F173" s="147">
        <f t="shared" si="23"/>
        <v>3820.6922550136983</v>
      </c>
      <c r="G173" s="141">
        <f t="shared" si="24"/>
        <v>4.9457634450117492E-4</v>
      </c>
      <c r="H173" s="49">
        <f t="shared" si="26"/>
        <v>4.9457634450117373E-4</v>
      </c>
    </row>
    <row r="174" spans="1:8" x14ac:dyDescent="0.25">
      <c r="A174" s="66">
        <f t="shared" si="27"/>
        <v>30.624019106490994</v>
      </c>
      <c r="B174" s="146">
        <f t="shared" si="25"/>
        <v>138</v>
      </c>
      <c r="C174" s="141">
        <f t="shared" si="20"/>
        <v>1.6391994848450757E-4</v>
      </c>
      <c r="D174" s="66">
        <f t="shared" si="21"/>
        <v>68053375.792202219</v>
      </c>
      <c r="E174" s="89">
        <f t="shared" si="22"/>
        <v>0.44999999999999996</v>
      </c>
      <c r="F174" s="147">
        <f t="shared" si="23"/>
        <v>5019.8876343245793</v>
      </c>
      <c r="G174" s="141">
        <f t="shared" si="24"/>
        <v>6.584962929856807E-4</v>
      </c>
      <c r="H174" s="49">
        <f t="shared" si="26"/>
        <v>6.5849629298568124E-4</v>
      </c>
    </row>
    <row r="175" spans="1:8" x14ac:dyDescent="0.25">
      <c r="A175" s="66">
        <f t="shared" si="27"/>
        <v>30.845932288422098</v>
      </c>
      <c r="B175" s="146">
        <f t="shared" si="25"/>
        <v>139</v>
      </c>
      <c r="C175" s="141">
        <f t="shared" si="20"/>
        <v>2.1227043688641181E-4</v>
      </c>
      <c r="D175" s="66">
        <f t="shared" si="21"/>
        <v>68546516.196493551</v>
      </c>
      <c r="E175" s="89">
        <f t="shared" si="22"/>
        <v>0.44999999999999996</v>
      </c>
      <c r="F175" s="147">
        <f t="shared" si="23"/>
        <v>6547.6795230320349</v>
      </c>
      <c r="G175" s="141">
        <f t="shared" si="24"/>
        <v>8.7076672987209346E-4</v>
      </c>
      <c r="H175" s="49">
        <f t="shared" si="26"/>
        <v>8.7076672987209303E-4</v>
      </c>
    </row>
    <row r="176" spans="1:8" x14ac:dyDescent="0.25">
      <c r="A176" s="66">
        <f t="shared" si="27"/>
        <v>31.067845470353188</v>
      </c>
      <c r="B176" s="146">
        <f t="shared" si="25"/>
        <v>140</v>
      </c>
      <c r="C176" s="141">
        <f t="shared" si="20"/>
        <v>2.7291913313967148E-4</v>
      </c>
      <c r="D176" s="66">
        <f t="shared" si="21"/>
        <v>69039656.600784868</v>
      </c>
      <c r="E176" s="89">
        <f t="shared" si="22"/>
        <v>0.44999999999999996</v>
      </c>
      <c r="F176" s="147">
        <f t="shared" si="23"/>
        <v>8479.0094542860606</v>
      </c>
      <c r="G176" s="141">
        <f t="shared" si="24"/>
        <v>1.1436858630117651E-3</v>
      </c>
      <c r="H176" s="49">
        <f t="shared" si="26"/>
        <v>1.1436858630117645E-3</v>
      </c>
    </row>
    <row r="177" spans="1:11" x14ac:dyDescent="0.25">
      <c r="A177" s="66">
        <f t="shared" si="27"/>
        <v>31.289758652284281</v>
      </c>
      <c r="B177" s="146">
        <f t="shared" si="25"/>
        <v>141</v>
      </c>
      <c r="C177" s="141">
        <f t="shared" si="20"/>
        <v>3.4840740400809256E-4</v>
      </c>
      <c r="D177" s="66">
        <f t="shared" si="21"/>
        <v>69532797.005076185</v>
      </c>
      <c r="E177" s="89">
        <f t="shared" si="22"/>
        <v>0.44999999999999996</v>
      </c>
      <c r="F177" s="147">
        <f t="shared" si="23"/>
        <v>10901.583584082118</v>
      </c>
      <c r="G177" s="141">
        <f t="shared" si="24"/>
        <v>1.492093267019859E-3</v>
      </c>
      <c r="H177" s="49">
        <f t="shared" si="26"/>
        <v>1.4920932670198571E-3</v>
      </c>
    </row>
    <row r="178" spans="1:11" x14ac:dyDescent="0.25">
      <c r="A178" s="66">
        <f t="shared" si="27"/>
        <v>31.511671834215374</v>
      </c>
      <c r="B178" s="146">
        <f t="shared" si="25"/>
        <v>142</v>
      </c>
      <c r="C178" s="141">
        <f t="shared" si="20"/>
        <v>4.4164318817927389E-4</v>
      </c>
      <c r="D178" s="66">
        <f t="shared" si="21"/>
        <v>70025937.409367502</v>
      </c>
      <c r="E178" s="89">
        <f t="shared" si="22"/>
        <v>0.44999999999999996</v>
      </c>
      <c r="F178" s="147">
        <f t="shared" si="23"/>
        <v>13916.915213721904</v>
      </c>
      <c r="G178" s="141">
        <f t="shared" si="24"/>
        <v>1.9337364551991322E-3</v>
      </c>
      <c r="H178" s="49">
        <f t="shared" si="26"/>
        <v>1.9337364551991309E-3</v>
      </c>
    </row>
    <row r="179" spans="1:11" x14ac:dyDescent="0.25">
      <c r="A179" s="66">
        <f t="shared" si="27"/>
        <v>31.733585016146474</v>
      </c>
      <c r="B179" s="146">
        <f t="shared" si="25"/>
        <v>143</v>
      </c>
      <c r="C179" s="141">
        <f t="shared" si="20"/>
        <v>5.5591450260328084E-4</v>
      </c>
      <c r="D179" s="66">
        <f t="shared" si="21"/>
        <v>70519077.813658834</v>
      </c>
      <c r="E179" s="89">
        <f t="shared" si="22"/>
        <v>0.44999999999999996</v>
      </c>
      <c r="F179" s="147">
        <f t="shared" si="23"/>
        <v>17641.160130069991</v>
      </c>
      <c r="G179" s="141">
        <f t="shared" si="24"/>
        <v>2.4896509578024115E-3</v>
      </c>
      <c r="H179" s="49">
        <f t="shared" si="26"/>
        <v>2.4896509578024115E-3</v>
      </c>
    </row>
    <row r="180" spans="1:11" x14ac:dyDescent="0.25">
      <c r="A180" s="66">
        <f t="shared" si="27"/>
        <v>31.955498198077564</v>
      </c>
      <c r="B180" s="146">
        <f t="shared" si="25"/>
        <v>144</v>
      </c>
      <c r="C180" s="141">
        <f t="shared" si="20"/>
        <v>6.948931282541004E-4</v>
      </c>
      <c r="D180" s="66">
        <f t="shared" si="21"/>
        <v>71012218.21795015</v>
      </c>
      <c r="E180" s="89">
        <f t="shared" si="22"/>
        <v>0.44999999999999996</v>
      </c>
      <c r="F180" s="147">
        <f t="shared" si="23"/>
        <v>22205.656107780385</v>
      </c>
      <c r="G180" s="141">
        <f t="shared" si="24"/>
        <v>3.1845440860565079E-3</v>
      </c>
      <c r="H180" s="49">
        <f t="shared" si="26"/>
        <v>3.1845440860565118E-3</v>
      </c>
    </row>
    <row r="181" spans="1:11" x14ac:dyDescent="0.25">
      <c r="A181" s="66">
        <f t="shared" si="27"/>
        <v>32.177411380008657</v>
      </c>
      <c r="B181" s="146">
        <f t="shared" si="25"/>
        <v>145</v>
      </c>
      <c r="C181" s="141">
        <f t="shared" si="20"/>
        <v>8.6262595231543322E-4</v>
      </c>
      <c r="D181" s="66">
        <f t="shared" si="21"/>
        <v>71505358.622241467</v>
      </c>
      <c r="E181" s="89">
        <f t="shared" si="22"/>
        <v>0.44999999999999996</v>
      </c>
      <c r="F181" s="147">
        <f t="shared" si="23"/>
        <v>27757.070134725425</v>
      </c>
      <c r="G181" s="141">
        <f t="shared" si="24"/>
        <v>4.0471700383719455E-3</v>
      </c>
      <c r="H181" s="49">
        <f t="shared" si="26"/>
        <v>4.0471700383719455E-3</v>
      </c>
    </row>
    <row r="182" spans="1:11" x14ac:dyDescent="0.25">
      <c r="A182" s="66">
        <f t="shared" si="27"/>
        <v>32.39932456193975</v>
      </c>
      <c r="B182" s="146">
        <f t="shared" si="25"/>
        <v>146</v>
      </c>
      <c r="C182" s="141">
        <f t="shared" si="20"/>
        <v>1.0635114480601229E-3</v>
      </c>
      <c r="D182" s="66">
        <f t="shared" si="21"/>
        <v>71998499.026532784</v>
      </c>
      <c r="E182" s="89">
        <f t="shared" si="22"/>
        <v>0.44999999999999996</v>
      </c>
      <c r="F182" s="147">
        <f t="shared" si="23"/>
        <v>34457.05258103845</v>
      </c>
      <c r="G182" s="141">
        <f t="shared" si="24"/>
        <v>5.1106814864320706E-3</v>
      </c>
      <c r="H182" s="49">
        <f t="shared" si="26"/>
        <v>5.1106814864320688E-3</v>
      </c>
    </row>
    <row r="183" spans="1:11" x14ac:dyDescent="0.25">
      <c r="A183" s="66">
        <f t="shared" si="27"/>
        <v>32.62123774387085</v>
      </c>
      <c r="B183" s="146">
        <f t="shared" si="25"/>
        <v>147</v>
      </c>
      <c r="C183" s="141">
        <f t="shared" si="20"/>
        <v>1.3022589159919868E-3</v>
      </c>
      <c r="D183" s="66">
        <f t="shared" si="21"/>
        <v>72491639.430824116</v>
      </c>
      <c r="E183" s="89">
        <f t="shared" si="22"/>
        <v>0.44999999999999996</v>
      </c>
      <c r="F183" s="147">
        <f t="shared" si="23"/>
        <v>42481.297702650139</v>
      </c>
      <c r="G183" s="141">
        <f t="shared" si="24"/>
        <v>6.4129404024240626E-3</v>
      </c>
      <c r="H183" s="49">
        <f t="shared" si="26"/>
        <v>6.4129404024240557E-3</v>
      </c>
    </row>
    <row r="184" spans="1:11" x14ac:dyDescent="0.25">
      <c r="A184" s="66">
        <f t="shared" si="27"/>
        <v>32.843150925801943</v>
      </c>
      <c r="B184" s="146">
        <f t="shared" si="25"/>
        <v>148</v>
      </c>
      <c r="C184" s="141">
        <f t="shared" si="20"/>
        <v>1.5838284113416133E-3</v>
      </c>
      <c r="D184" s="66">
        <f t="shared" si="21"/>
        <v>72984779.835115433</v>
      </c>
      <c r="E184" s="89">
        <f t="shared" si="22"/>
        <v>0.44999999999999996</v>
      </c>
      <c r="F184" s="147">
        <f t="shared" si="23"/>
        <v>52017.915554265724</v>
      </c>
      <c r="G184" s="141">
        <f t="shared" si="24"/>
        <v>7.996768813765669E-3</v>
      </c>
      <c r="H184" s="49">
        <f t="shared" si="26"/>
        <v>7.996768813765669E-3</v>
      </c>
    </row>
    <row r="185" spans="1:11" x14ac:dyDescent="0.25">
      <c r="A185" s="66">
        <f t="shared" si="27"/>
        <v>33.065064107733036</v>
      </c>
      <c r="B185" s="146">
        <f t="shared" si="25"/>
        <v>149</v>
      </c>
      <c r="C185" s="141">
        <f t="shared" si="20"/>
        <v>1.91334975866771E-3</v>
      </c>
      <c r="D185" s="66">
        <f t="shared" si="21"/>
        <v>73477920.23940675</v>
      </c>
      <c r="E185" s="89">
        <f t="shared" si="22"/>
        <v>0.44999999999999996</v>
      </c>
      <c r="F185" s="147">
        <f t="shared" si="23"/>
        <v>63265.032430863357</v>
      </c>
      <c r="G185" s="141">
        <f t="shared" si="24"/>
        <v>9.9101185724333775E-3</v>
      </c>
      <c r="H185" s="49">
        <f t="shared" si="26"/>
        <v>9.9101185724333792E-3</v>
      </c>
    </row>
    <row r="186" spans="1:11" x14ac:dyDescent="0.25">
      <c r="A186" s="66">
        <f t="shared" si="27"/>
        <v>33.286977289664129</v>
      </c>
      <c r="B186" s="146">
        <f t="shared" si="25"/>
        <v>150</v>
      </c>
      <c r="C186" s="141">
        <f t="shared" si="20"/>
        <v>2.2960197104012524E-3</v>
      </c>
      <c r="D186" s="66">
        <f t="shared" si="21"/>
        <v>73971060.643698066</v>
      </c>
      <c r="E186" s="89">
        <f t="shared" si="22"/>
        <v>0.44999999999999996</v>
      </c>
      <c r="F186" s="147">
        <f t="shared" si="23"/>
        <v>76427.555956747688</v>
      </c>
      <c r="G186" s="141">
        <f t="shared" si="24"/>
        <v>1.2206138282834643E-2</v>
      </c>
      <c r="H186" s="49">
        <f t="shared" si="26"/>
        <v>1.2206138282834633E-2</v>
      </c>
    </row>
    <row r="187" spans="1:11" x14ac:dyDescent="0.25">
      <c r="A187" s="66">
        <f t="shared" si="27"/>
        <v>33.50889047159523</v>
      </c>
      <c r="B187" s="146">
        <f t="shared" si="25"/>
        <v>151</v>
      </c>
      <c r="C187" s="141">
        <f t="shared" si="20"/>
        <v>2.7369771382266613E-3</v>
      </c>
      <c r="D187" s="66">
        <f t="shared" si="21"/>
        <v>74464201.047989398</v>
      </c>
      <c r="E187" s="89">
        <f t="shared" si="22"/>
        <v>0.44999999999999996</v>
      </c>
      <c r="F187" s="147">
        <f t="shared" si="23"/>
        <v>91713.06714809734</v>
      </c>
      <c r="G187" s="141">
        <f t="shared" si="24"/>
        <v>1.4943115421061321E-2</v>
      </c>
      <c r="H187" s="49">
        <f t="shared" si="26"/>
        <v>1.4943115421061293E-2</v>
      </c>
    </row>
    <row r="188" spans="1:11" x14ac:dyDescent="0.25">
      <c r="A188" s="66">
        <f t="shared" si="27"/>
        <v>33.730803653526323</v>
      </c>
      <c r="B188" s="146">
        <f t="shared" si="25"/>
        <v>152</v>
      </c>
      <c r="C188" s="141">
        <f t="shared" si="20"/>
        <v>3.2411571373736755E-3</v>
      </c>
      <c r="D188" s="66">
        <f t="shared" si="21"/>
        <v>74957341.452280715</v>
      </c>
      <c r="E188" s="89">
        <f t="shared" si="22"/>
        <v>0.44999999999999996</v>
      </c>
      <c r="F188" s="147">
        <f t="shared" si="23"/>
        <v>109326.83501097688</v>
      </c>
      <c r="G188" s="141">
        <f t="shared" si="24"/>
        <v>1.8184272558434977E-2</v>
      </c>
      <c r="H188" s="49">
        <f t="shared" si="26"/>
        <v>1.818427255843497E-2</v>
      </c>
    </row>
    <row r="189" spans="1:11" x14ac:dyDescent="0.25">
      <c r="A189" s="66">
        <f t="shared" si="27"/>
        <v>33.952716835457416</v>
      </c>
      <c r="B189" s="146">
        <f t="shared" si="25"/>
        <v>153</v>
      </c>
      <c r="C189" s="141">
        <f t="shared" si="20"/>
        <v>3.8131260439690311E-3</v>
      </c>
      <c r="D189" s="66">
        <f t="shared" si="21"/>
        <v>75450481.856572032</v>
      </c>
      <c r="E189" s="89">
        <f t="shared" si="22"/>
        <v>0.44999999999999996</v>
      </c>
      <c r="F189" s="147">
        <f t="shared" si="23"/>
        <v>129465.98882878845</v>
      </c>
      <c r="G189" s="141">
        <f t="shared" si="24"/>
        <v>2.1997398602404024E-2</v>
      </c>
      <c r="H189" s="49">
        <f t="shared" si="26"/>
        <v>2.1997398602404E-2</v>
      </c>
    </row>
    <row r="190" spans="1:11" x14ac:dyDescent="0.25">
      <c r="A190" s="66">
        <f t="shared" si="27"/>
        <v>34.174630017388502</v>
      </c>
      <c r="B190" s="146">
        <f t="shared" si="25"/>
        <v>154</v>
      </c>
      <c r="C190" s="141">
        <f t="shared" si="20"/>
        <v>4.4569005708729025E-3</v>
      </c>
      <c r="D190" s="66">
        <f t="shared" si="21"/>
        <v>75943622.260863349</v>
      </c>
      <c r="E190" s="89">
        <f t="shared" si="22"/>
        <v>0.44999999999999996</v>
      </c>
      <c r="F190" s="147">
        <f t="shared" si="23"/>
        <v>152312.92803386904</v>
      </c>
      <c r="G190" s="141">
        <f t="shared" si="24"/>
        <v>2.6454299173276942E-2</v>
      </c>
      <c r="H190" s="148" t="s">
        <v>1344</v>
      </c>
      <c r="I190" s="138">
        <f>+D190*E190</f>
        <v>34174630.0173885</v>
      </c>
      <c r="K190" s="66"/>
    </row>
    <row r="191" spans="1:11" x14ac:dyDescent="0.25">
      <c r="A191" s="66">
        <f t="shared" si="27"/>
        <v>34.396543199319602</v>
      </c>
      <c r="B191" s="146">
        <f t="shared" si="25"/>
        <v>155</v>
      </c>
      <c r="C191" s="141">
        <f t="shared" si="20"/>
        <v>5.1757555016588635E-3</v>
      </c>
      <c r="D191" s="66">
        <f t="shared" si="21"/>
        <v>76436762.665154681</v>
      </c>
      <c r="E191" s="89">
        <f t="shared" si="22"/>
        <v>0.44999999999999996</v>
      </c>
      <c r="F191" s="147">
        <f t="shared" si="23"/>
        <v>178028.0977019252</v>
      </c>
      <c r="G191" s="141">
        <f t="shared" si="24"/>
        <v>3.1630054674935765E-2</v>
      </c>
      <c r="I191" s="66">
        <f>D191*E191</f>
        <v>34396543.199319601</v>
      </c>
      <c r="J191" s="66">
        <f>I191*C191</f>
        <v>178028.0977019252</v>
      </c>
      <c r="K191" s="66">
        <f>SUM(J191:J578)/SUM(C191:C578)</f>
        <v>40127238.428736217</v>
      </c>
    </row>
    <row r="192" spans="1:11" x14ac:dyDescent="0.25">
      <c r="A192" s="66">
        <f t="shared" si="27"/>
        <v>34.618456381250695</v>
      </c>
      <c r="B192" s="146">
        <f t="shared" si="25"/>
        <v>156</v>
      </c>
      <c r="C192" s="141">
        <f t="shared" si="20"/>
        <v>5.9720255788371429E-3</v>
      </c>
      <c r="D192" s="66">
        <f t="shared" si="21"/>
        <v>76929903.069445997</v>
      </c>
      <c r="E192" s="89">
        <f t="shared" si="22"/>
        <v>0.44999999999999996</v>
      </c>
      <c r="F192" s="147">
        <f t="shared" si="23"/>
        <v>206742.30700868706</v>
      </c>
      <c r="G192" s="141">
        <f t="shared" si="24"/>
        <v>3.7602080253772922E-2</v>
      </c>
      <c r="I192" s="66">
        <f t="shared" ref="I192:I255" si="28">D192*E192</f>
        <v>34618456.381250694</v>
      </c>
      <c r="J192" s="66">
        <f t="shared" ref="J192:J255" si="29">I192*C192</f>
        <v>206742.30700868706</v>
      </c>
    </row>
    <row r="193" spans="1:10" x14ac:dyDescent="0.25">
      <c r="A193" s="66">
        <f t="shared" si="27"/>
        <v>34.840369563181788</v>
      </c>
      <c r="B193" s="146">
        <f t="shared" si="25"/>
        <v>157</v>
      </c>
      <c r="C193" s="141">
        <f t="shared" si="20"/>
        <v>6.846908306947036E-3</v>
      </c>
      <c r="D193" s="66">
        <f t="shared" si="21"/>
        <v>77423043.473737314</v>
      </c>
      <c r="E193" s="89">
        <f t="shared" si="22"/>
        <v>0.44999999999999996</v>
      </c>
      <c r="F193" s="147">
        <f t="shared" si="23"/>
        <v>238548.81577925404</v>
      </c>
      <c r="G193" s="141">
        <f t="shared" si="24"/>
        <v>4.4448988560719944E-2</v>
      </c>
      <c r="I193" s="66">
        <f t="shared" si="28"/>
        <v>34840369.563181788</v>
      </c>
      <c r="J193" s="66">
        <f t="shared" si="29"/>
        <v>238548.81577925404</v>
      </c>
    </row>
    <row r="194" spans="1:10" x14ac:dyDescent="0.25">
      <c r="A194" s="66">
        <f t="shared" si="27"/>
        <v>35.062282745112881</v>
      </c>
      <c r="B194" s="146">
        <f t="shared" si="25"/>
        <v>158</v>
      </c>
      <c r="C194" s="141">
        <f t="shared" si="20"/>
        <v>7.8002752863953759E-3</v>
      </c>
      <c r="D194" s="66">
        <f t="shared" si="21"/>
        <v>77916183.878028631</v>
      </c>
      <c r="E194" s="89">
        <f t="shared" si="22"/>
        <v>0.44999999999999996</v>
      </c>
      <c r="F194" s="147">
        <f t="shared" si="23"/>
        <v>273495.457581311</v>
      </c>
      <c r="G194" s="141">
        <f t="shared" si="24"/>
        <v>5.2249263847115326E-2</v>
      </c>
      <c r="I194" s="66">
        <f t="shared" si="28"/>
        <v>35062282.745112881</v>
      </c>
      <c r="J194" s="66">
        <f t="shared" si="29"/>
        <v>273495.457581311</v>
      </c>
    </row>
    <row r="195" spans="1:10" x14ac:dyDescent="0.25">
      <c r="A195" s="66">
        <f t="shared" si="27"/>
        <v>35.284195927043982</v>
      </c>
      <c r="B195" s="146">
        <f t="shared" si="25"/>
        <v>159</v>
      </c>
      <c r="C195" s="141">
        <f t="shared" si="20"/>
        <v>8.8305003242211844E-3</v>
      </c>
      <c r="D195" s="66">
        <f t="shared" si="21"/>
        <v>78409324.282319963</v>
      </c>
      <c r="E195" s="89">
        <f t="shared" si="22"/>
        <v>0.44999999999999996</v>
      </c>
      <c r="F195" s="147">
        <f t="shared" si="23"/>
        <v>311577.1035736457</v>
      </c>
      <c r="G195" s="141">
        <f t="shared" si="24"/>
        <v>6.1079764171336488E-2</v>
      </c>
      <c r="I195" s="66">
        <f t="shared" si="28"/>
        <v>35284195.927043982</v>
      </c>
      <c r="J195" s="66">
        <f t="shared" si="29"/>
        <v>311577.1035736457</v>
      </c>
    </row>
    <row r="196" spans="1:10" x14ac:dyDescent="0.25">
      <c r="A196" s="66">
        <f t="shared" si="27"/>
        <v>35.506109108975075</v>
      </c>
      <c r="B196" s="146">
        <f t="shared" si="25"/>
        <v>160</v>
      </c>
      <c r="C196" s="141">
        <f t="shared" si="20"/>
        <v>9.9343128647488149E-3</v>
      </c>
      <c r="D196" s="66">
        <f t="shared" si="21"/>
        <v>78902464.68661128</v>
      </c>
      <c r="E196" s="89">
        <f t="shared" si="22"/>
        <v>0.44999999999999996</v>
      </c>
      <c r="F196" s="147">
        <f t="shared" si="23"/>
        <v>352728.79649846617</v>
      </c>
      <c r="G196" s="141">
        <f t="shared" si="24"/>
        <v>7.101407703608531E-2</v>
      </c>
      <c r="I196" s="66">
        <f t="shared" si="28"/>
        <v>35506109.108975075</v>
      </c>
      <c r="J196" s="66">
        <f t="shared" si="29"/>
        <v>352728.79649846617</v>
      </c>
    </row>
    <row r="197" spans="1:10" x14ac:dyDescent="0.25">
      <c r="A197" s="66">
        <f t="shared" si="27"/>
        <v>35.728022290906168</v>
      </c>
      <c r="B197" s="146">
        <f t="shared" si="25"/>
        <v>161</v>
      </c>
      <c r="C197" s="141">
        <f t="shared" si="20"/>
        <v>1.1106685190402392E-2</v>
      </c>
      <c r="D197" s="66">
        <f t="shared" si="21"/>
        <v>79395605.090902597</v>
      </c>
      <c r="E197" s="89">
        <f t="shared" si="22"/>
        <v>0.44999999999999996</v>
      </c>
      <c r="F197" s="147">
        <f t="shared" si="23"/>
        <v>396819.89606077404</v>
      </c>
      <c r="G197" s="141">
        <f t="shared" si="24"/>
        <v>8.212076222648769E-2</v>
      </c>
      <c r="I197" s="66">
        <f t="shared" si="28"/>
        <v>35728022.290906169</v>
      </c>
      <c r="J197" s="66">
        <f t="shared" si="29"/>
        <v>396819.89606077404</v>
      </c>
    </row>
    <row r="198" spans="1:10" x14ac:dyDescent="0.25">
      <c r="A198" s="66">
        <f t="shared" si="27"/>
        <v>35.949935472837254</v>
      </c>
      <c r="B198" s="146">
        <f t="shared" si="25"/>
        <v>162</v>
      </c>
      <c r="C198" s="141">
        <f t="shared" si="20"/>
        <v>1.234076132266935E-2</v>
      </c>
      <c r="D198" s="66">
        <f t="shared" si="21"/>
        <v>79888745.495193914</v>
      </c>
      <c r="E198" s="89">
        <f t="shared" si="22"/>
        <v>0.44999999999999996</v>
      </c>
      <c r="F198" s="147">
        <f t="shared" si="23"/>
        <v>443649.57323564886</v>
      </c>
      <c r="G198" s="141">
        <f t="shared" si="24"/>
        <v>9.4461523549157017E-2</v>
      </c>
      <c r="I198" s="66">
        <f t="shared" si="28"/>
        <v>35949935.472837254</v>
      </c>
      <c r="J198" s="66">
        <f t="shared" si="29"/>
        <v>443649.57323564886</v>
      </c>
    </row>
    <row r="199" spans="1:10" x14ac:dyDescent="0.25">
      <c r="A199" s="66">
        <f t="shared" si="27"/>
        <v>36.171848654768347</v>
      </c>
      <c r="B199" s="146">
        <f t="shared" si="25"/>
        <v>163</v>
      </c>
      <c r="C199" s="141">
        <f t="shared" si="20"/>
        <v>1.3627834589450764E-2</v>
      </c>
      <c r="D199" s="66">
        <f t="shared" si="21"/>
        <v>80381885.89948523</v>
      </c>
      <c r="E199" s="89">
        <f t="shared" si="22"/>
        <v>0.44999999999999996</v>
      </c>
      <c r="F199" s="147">
        <f t="shared" si="23"/>
        <v>492943.9702618302</v>
      </c>
      <c r="G199" s="141">
        <f t="shared" si="24"/>
        <v>0.1080893581386078</v>
      </c>
      <c r="I199" s="66">
        <f t="shared" si="28"/>
        <v>36171848.654768348</v>
      </c>
      <c r="J199" s="66">
        <f t="shared" si="29"/>
        <v>492943.9702618302</v>
      </c>
    </row>
    <row r="200" spans="1:10" x14ac:dyDescent="0.25">
      <c r="A200" s="66">
        <f t="shared" si="27"/>
        <v>36.393761836699447</v>
      </c>
      <c r="B200" s="146">
        <f t="shared" si="25"/>
        <v>164</v>
      </c>
      <c r="C200" s="141">
        <f t="shared" si="20"/>
        <v>1.495737942744599E-2</v>
      </c>
      <c r="D200" s="66">
        <f t="shared" si="21"/>
        <v>80875026.303776562</v>
      </c>
      <c r="E200" s="89">
        <f t="shared" si="22"/>
        <v>0.44999999999999996</v>
      </c>
      <c r="F200" s="147">
        <f t="shared" si="23"/>
        <v>544355.30458361737</v>
      </c>
      <c r="G200" s="141">
        <f t="shared" si="24"/>
        <v>0.12304673756605379</v>
      </c>
      <c r="I200" s="66">
        <f t="shared" si="28"/>
        <v>36393761.836699449</v>
      </c>
      <c r="J200" s="66">
        <f t="shared" si="29"/>
        <v>544355.30458361737</v>
      </c>
    </row>
    <row r="201" spans="1:10" x14ac:dyDescent="0.25">
      <c r="A201" s="66">
        <f t="shared" si="27"/>
        <v>36.61567501863054</v>
      </c>
      <c r="B201" s="146">
        <f t="shared" si="25"/>
        <v>165</v>
      </c>
      <c r="C201" s="141">
        <f t="shared" si="20"/>
        <v>1.6317141193577456E-2</v>
      </c>
      <c r="D201" s="66">
        <f t="shared" si="21"/>
        <v>81368166.708067879</v>
      </c>
      <c r="E201" s="89">
        <f t="shared" si="22"/>
        <v>0.44999999999999996</v>
      </c>
      <c r="F201" s="147">
        <f t="shared" si="23"/>
        <v>597463.13917714136</v>
      </c>
      <c r="G201" s="141">
        <f t="shared" si="24"/>
        <v>0.1393638787596313</v>
      </c>
      <c r="I201" s="66">
        <f t="shared" si="28"/>
        <v>36615675.018630542</v>
      </c>
      <c r="J201" s="66">
        <f t="shared" si="29"/>
        <v>597463.13917714136</v>
      </c>
    </row>
    <row r="202" spans="1:10" x14ac:dyDescent="0.25">
      <c r="A202" s="66">
        <f t="shared" si="27"/>
        <v>36.837588200561633</v>
      </c>
      <c r="B202" s="146">
        <f t="shared" si="25"/>
        <v>166</v>
      </c>
      <c r="C202" s="141">
        <f t="shared" si="20"/>
        <v>1.7693285631589988E-2</v>
      </c>
      <c r="D202" s="66">
        <f t="shared" si="21"/>
        <v>81861307.112359196</v>
      </c>
      <c r="E202" s="89">
        <f t="shared" si="22"/>
        <v>0.44999999999999996</v>
      </c>
      <c r="F202" s="147">
        <f t="shared" si="23"/>
        <v>651777.97001142602</v>
      </c>
      <c r="G202" s="141">
        <f t="shared" si="24"/>
        <v>0.1570571643912213</v>
      </c>
      <c r="I202" s="66">
        <f t="shared" si="28"/>
        <v>36837588.200561635</v>
      </c>
      <c r="J202" s="66">
        <f t="shared" si="29"/>
        <v>651777.97001142602</v>
      </c>
    </row>
    <row r="203" spans="1:10" x14ac:dyDescent="0.25">
      <c r="A203" s="66">
        <f t="shared" si="27"/>
        <v>37.059501382492726</v>
      </c>
      <c r="B203" s="146">
        <f t="shared" si="25"/>
        <v>167</v>
      </c>
      <c r="C203" s="141">
        <f t="shared" si="20"/>
        <v>1.9070607267582054E-2</v>
      </c>
      <c r="D203" s="66">
        <f t="shared" si="21"/>
        <v>82354447.516650513</v>
      </c>
      <c r="E203" s="89">
        <f t="shared" si="22"/>
        <v>0.44999999999999996</v>
      </c>
      <c r="F203" s="147">
        <f t="shared" si="23"/>
        <v>706747.19639793294</v>
      </c>
      <c r="G203" s="141">
        <f t="shared" si="24"/>
        <v>0.17612777165880342</v>
      </c>
      <c r="I203" s="66">
        <f t="shared" si="28"/>
        <v>37059501.382492729</v>
      </c>
      <c r="J203" s="66">
        <f t="shared" si="29"/>
        <v>706747.19639793294</v>
      </c>
    </row>
    <row r="204" spans="1:10" x14ac:dyDescent="0.25">
      <c r="A204" s="66">
        <f t="shared" si="27"/>
        <v>37.281414564423827</v>
      </c>
      <c r="B204" s="146">
        <f t="shared" si="25"/>
        <v>168</v>
      </c>
      <c r="C204" s="141">
        <f t="shared" si="20"/>
        <v>2.0432793500980734E-2</v>
      </c>
      <c r="D204" s="66">
        <f t="shared" si="21"/>
        <v>82847587.920941845</v>
      </c>
      <c r="E204" s="89">
        <f t="shared" si="22"/>
        <v>0.44999999999999996</v>
      </c>
      <c r="F204" s="147">
        <f t="shared" si="23"/>
        <v>761763.4452193277</v>
      </c>
      <c r="G204" s="141">
        <f t="shared" si="24"/>
        <v>0.19656056515978404</v>
      </c>
      <c r="I204" s="66">
        <f t="shared" si="28"/>
        <v>37281414.564423829</v>
      </c>
      <c r="J204" s="66">
        <f t="shared" si="29"/>
        <v>761763.4452193277</v>
      </c>
    </row>
    <row r="205" spans="1:10" x14ac:dyDescent="0.25">
      <c r="A205" s="66">
        <f t="shared" si="27"/>
        <v>37.50332774635492</v>
      </c>
      <c r="B205" s="146">
        <f t="shared" si="25"/>
        <v>169</v>
      </c>
      <c r="C205" s="141">
        <f t="shared" si="20"/>
        <v>2.1762738640097857E-2</v>
      </c>
      <c r="D205" s="66">
        <f t="shared" si="21"/>
        <v>83340728.325233161</v>
      </c>
      <c r="E205" s="89">
        <f t="shared" si="22"/>
        <v>0.44999999999999996</v>
      </c>
      <c r="F205" s="147">
        <f t="shared" si="23"/>
        <v>816175.11987785238</v>
      </c>
      <c r="G205" s="141">
        <f t="shared" si="24"/>
        <v>0.21832330379988191</v>
      </c>
      <c r="I205" s="66">
        <f t="shared" si="28"/>
        <v>37503327.746354923</v>
      </c>
      <c r="J205" s="66">
        <f t="shared" si="29"/>
        <v>816175.11987785238</v>
      </c>
    </row>
    <row r="206" spans="1:10" x14ac:dyDescent="0.25">
      <c r="A206" s="66">
        <f t="shared" si="27"/>
        <v>37.725240928286006</v>
      </c>
      <c r="B206" s="146">
        <f t="shared" si="25"/>
        <v>170</v>
      </c>
      <c r="C206" s="141">
        <f t="shared" si="20"/>
        <v>2.304289973657421E-2</v>
      </c>
      <c r="D206" s="66">
        <f t="shared" si="21"/>
        <v>83833868.729524478</v>
      </c>
      <c r="E206" s="89">
        <f t="shared" si="22"/>
        <v>0.44999999999999996</v>
      </c>
      <c r="F206" s="147">
        <f t="shared" si="23"/>
        <v>869298.94424860028</v>
      </c>
      <c r="G206" s="141">
        <f t="shared" si="24"/>
        <v>0.24136620353645613</v>
      </c>
      <c r="I206" s="66">
        <f t="shared" si="28"/>
        <v>37725240.928286009</v>
      </c>
      <c r="J206" s="66">
        <f t="shared" si="29"/>
        <v>869298.94424860028</v>
      </c>
    </row>
    <row r="207" spans="1:10" x14ac:dyDescent="0.25">
      <c r="A207" s="66">
        <f t="shared" si="27"/>
        <v>37.947154110217099</v>
      </c>
      <c r="B207" s="146">
        <f t="shared" si="25"/>
        <v>171</v>
      </c>
      <c r="C207" s="141">
        <f t="shared" si="20"/>
        <v>2.4255683933236009E-2</v>
      </c>
      <c r="D207" s="66">
        <f t="shared" si="21"/>
        <v>84327009.133815795</v>
      </c>
      <c r="E207" s="89">
        <f t="shared" si="22"/>
        <v>0.44999999999999996</v>
      </c>
      <c r="F207" s="147">
        <f t="shared" si="23"/>
        <v>920434.17626322375</v>
      </c>
      <c r="G207" s="141">
        <f t="shared" si="24"/>
        <v>0.26562188746969206</v>
      </c>
      <c r="I207" s="66">
        <f t="shared" si="28"/>
        <v>37947154.110217102</v>
      </c>
      <c r="J207" s="66">
        <f t="shared" si="29"/>
        <v>920434.17626322375</v>
      </c>
    </row>
    <row r="208" spans="1:10" x14ac:dyDescent="0.25">
      <c r="A208" s="66">
        <f t="shared" si="27"/>
        <v>38.169067292148206</v>
      </c>
      <c r="B208" s="146">
        <f t="shared" si="25"/>
        <v>172</v>
      </c>
      <c r="C208" s="141">
        <f t="shared" si="20"/>
        <v>2.5383855278967905E-2</v>
      </c>
      <c r="D208" s="66">
        <f t="shared" si="21"/>
        <v>84820149.538107127</v>
      </c>
      <c r="E208" s="89">
        <f t="shared" si="22"/>
        <v>0.44999999999999996</v>
      </c>
      <c r="F208" s="147">
        <f t="shared" si="23"/>
        <v>968878.08027707739</v>
      </c>
      <c r="G208" s="141">
        <f t="shared" si="24"/>
        <v>0.29100574274865992</v>
      </c>
      <c r="I208" s="66">
        <f t="shared" si="28"/>
        <v>38169067.292148203</v>
      </c>
      <c r="J208" s="66">
        <f t="shared" si="29"/>
        <v>968878.08027707739</v>
      </c>
    </row>
    <row r="209" spans="1:10" x14ac:dyDescent="0.25">
      <c r="A209" s="66">
        <f t="shared" si="27"/>
        <v>38.390980474079299</v>
      </c>
      <c r="B209" s="146">
        <f t="shared" si="25"/>
        <v>173</v>
      </c>
      <c r="C209" s="141">
        <f t="shared" si="20"/>
        <v>2.6410947689099535E-2</v>
      </c>
      <c r="D209" s="66">
        <f t="shared" si="21"/>
        <v>85313289.942398444</v>
      </c>
      <c r="E209" s="89">
        <f t="shared" si="22"/>
        <v>0.44999999999999996</v>
      </c>
      <c r="F209" s="147">
        <f t="shared" si="23"/>
        <v>1013942.17703415</v>
      </c>
      <c r="G209" s="141">
        <f t="shared" si="24"/>
        <v>0.3174166904377595</v>
      </c>
      <c r="I209" s="66">
        <f t="shared" si="28"/>
        <v>38390980.474079296</v>
      </c>
      <c r="J209" s="66">
        <f t="shared" si="29"/>
        <v>1013942.17703415</v>
      </c>
    </row>
    <row r="210" spans="1:10" x14ac:dyDescent="0.25">
      <c r="A210" s="66">
        <f t="shared" si="27"/>
        <v>38.612893656010392</v>
      </c>
      <c r="B210" s="146">
        <f t="shared" si="25"/>
        <v>174</v>
      </c>
      <c r="C210" s="141">
        <f t="shared" si="20"/>
        <v>2.7321670023206394E-2</v>
      </c>
      <c r="D210" s="66">
        <f t="shared" si="21"/>
        <v>85806430.346689761</v>
      </c>
      <c r="E210" s="89">
        <f t="shared" si="22"/>
        <v>0.44999999999999996</v>
      </c>
      <c r="F210" s="147">
        <f t="shared" si="23"/>
        <v>1054968.7391106754</v>
      </c>
      <c r="G210" s="141">
        <f t="shared" si="24"/>
        <v>0.34473836046096595</v>
      </c>
      <c r="I210" s="66">
        <f t="shared" si="28"/>
        <v>38612893.656010389</v>
      </c>
      <c r="J210" s="66">
        <f t="shared" si="29"/>
        <v>1054968.7391106754</v>
      </c>
    </row>
    <row r="211" spans="1:10" x14ac:dyDescent="0.25">
      <c r="A211" s="66">
        <f t="shared" si="27"/>
        <v>38.834806837941485</v>
      </c>
      <c r="B211" s="146">
        <f t="shared" si="25"/>
        <v>175</v>
      </c>
      <c r="C211" s="141">
        <f t="shared" si="20"/>
        <v>2.8102289166726597E-2</v>
      </c>
      <c r="D211" s="66">
        <f t="shared" si="21"/>
        <v>86299570.750981078</v>
      </c>
      <c r="E211" s="89">
        <f t="shared" si="22"/>
        <v>0.44999999999999996</v>
      </c>
      <c r="F211" s="147">
        <f t="shared" si="23"/>
        <v>1091346.971493803</v>
      </c>
      <c r="G211" s="141">
        <f t="shared" si="24"/>
        <v>0.37284064962769253</v>
      </c>
      <c r="I211" s="66">
        <f t="shared" si="28"/>
        <v>38834806.837941483</v>
      </c>
      <c r="J211" s="66">
        <f t="shared" si="29"/>
        <v>1091346.971493803</v>
      </c>
    </row>
    <row r="212" spans="1:10" x14ac:dyDescent="0.25">
      <c r="A212" s="66">
        <f t="shared" si="27"/>
        <v>39.056720019872586</v>
      </c>
      <c r="B212" s="146">
        <f t="shared" si="25"/>
        <v>176</v>
      </c>
      <c r="C212" s="141">
        <f t="shared" si="20"/>
        <v>2.8740977556879484E-2</v>
      </c>
      <c r="D212" s="66">
        <f t="shared" si="21"/>
        <v>86792711.155272409</v>
      </c>
      <c r="E212" s="89">
        <f t="shared" si="22"/>
        <v>0.44999999999999996</v>
      </c>
      <c r="F212" s="147">
        <f t="shared" si="23"/>
        <v>1122528.3135364836</v>
      </c>
      <c r="G212" s="141">
        <f t="shared" si="24"/>
        <v>0.40158162718457208</v>
      </c>
      <c r="I212" s="66">
        <f t="shared" si="28"/>
        <v>39056720.019872583</v>
      </c>
      <c r="J212" s="66">
        <f t="shared" si="29"/>
        <v>1122528.3135364836</v>
      </c>
    </row>
    <row r="213" spans="1:10" x14ac:dyDescent="0.25">
      <c r="A213" s="66">
        <f t="shared" si="27"/>
        <v>39.278633201803672</v>
      </c>
      <c r="B213" s="146">
        <f t="shared" si="25"/>
        <v>177</v>
      </c>
      <c r="C213" s="141">
        <f t="shared" si="20"/>
        <v>2.9228112769707944E-2</v>
      </c>
      <c r="D213" s="66">
        <f t="shared" si="21"/>
        <v>87285851.559563726</v>
      </c>
      <c r="E213" s="89">
        <f t="shared" si="22"/>
        <v>0.44999999999999996</v>
      </c>
      <c r="F213" s="147">
        <f t="shared" si="23"/>
        <v>1148040.3206623122</v>
      </c>
      <c r="G213" s="141">
        <f t="shared" si="24"/>
        <v>0.43080973995428001</v>
      </c>
      <c r="I213" s="66">
        <f t="shared" si="28"/>
        <v>39278633.201803669</v>
      </c>
      <c r="J213" s="66">
        <f t="shared" si="29"/>
        <v>1148040.3206623122</v>
      </c>
    </row>
    <row r="214" spans="1:10" x14ac:dyDescent="0.25">
      <c r="A214" s="66">
        <f t="shared" si="27"/>
        <v>39.500546383734765</v>
      </c>
      <c r="B214" s="146">
        <f t="shared" si="25"/>
        <v>178</v>
      </c>
      <c r="C214" s="141">
        <f t="shared" si="20"/>
        <v>2.9556518531165345E-2</v>
      </c>
      <c r="D214" s="66">
        <f t="shared" si="21"/>
        <v>87778991.963855043</v>
      </c>
      <c r="E214" s="89">
        <f t="shared" si="22"/>
        <v>0.44999999999999996</v>
      </c>
      <c r="F214" s="147">
        <f t="shared" si="23"/>
        <v>1167498.6311820128</v>
      </c>
      <c r="G214" s="141">
        <f t="shared" si="24"/>
        <v>0.46036625848544532</v>
      </c>
      <c r="I214" s="66">
        <f t="shared" si="28"/>
        <v>39500546.383734763</v>
      </c>
      <c r="J214" s="66">
        <f t="shared" si="29"/>
        <v>1167498.6311820128</v>
      </c>
    </row>
    <row r="215" spans="1:10" x14ac:dyDescent="0.25">
      <c r="A215" s="66">
        <f t="shared" si="27"/>
        <v>39.722459565665858</v>
      </c>
      <c r="B215" s="146">
        <f t="shared" si="25"/>
        <v>179</v>
      </c>
      <c r="C215" s="141">
        <f t="shared" si="20"/>
        <v>2.9721638746423248E-2</v>
      </c>
      <c r="D215" s="66">
        <f t="shared" si="21"/>
        <v>88272132.36814636</v>
      </c>
      <c r="E215" s="89">
        <f t="shared" si="22"/>
        <v>0.44999999999999996</v>
      </c>
      <c r="F215" s="147">
        <f t="shared" si="23"/>
        <v>1180616.5933301251</v>
      </c>
      <c r="G215" s="141">
        <f t="shared" si="24"/>
        <v>0.49008789723186863</v>
      </c>
      <c r="I215" s="66">
        <f t="shared" si="28"/>
        <v>39722459.565665856</v>
      </c>
      <c r="J215" s="66">
        <f t="shared" si="29"/>
        <v>1180616.5933301251</v>
      </c>
    </row>
    <row r="216" spans="1:10" x14ac:dyDescent="0.25">
      <c r="A216" s="66">
        <f t="shared" si="27"/>
        <v>39.944372747596958</v>
      </c>
      <c r="B216" s="146">
        <f t="shared" si="25"/>
        <v>180</v>
      </c>
      <c r="C216" s="141">
        <f t="shared" si="20"/>
        <v>2.9721638746423251E-2</v>
      </c>
      <c r="D216" s="66">
        <f t="shared" si="21"/>
        <v>88765272.772437692</v>
      </c>
      <c r="E216" s="89">
        <f t="shared" si="22"/>
        <v>0.44999999999999996</v>
      </c>
      <c r="F216" s="147">
        <f t="shared" si="23"/>
        <v>1187212.2167565506</v>
      </c>
      <c r="G216" s="141">
        <f t="shared" si="24"/>
        <v>0.51980953597829194</v>
      </c>
      <c r="I216" s="66">
        <f t="shared" si="28"/>
        <v>39944372.747596957</v>
      </c>
      <c r="J216" s="66">
        <f t="shared" si="29"/>
        <v>1187212.2167565506</v>
      </c>
    </row>
    <row r="217" spans="1:10" x14ac:dyDescent="0.25">
      <c r="A217" s="66">
        <f t="shared" si="27"/>
        <v>40.166285929528051</v>
      </c>
      <c r="B217" s="146">
        <f t="shared" si="25"/>
        <v>181</v>
      </c>
      <c r="C217" s="141">
        <f t="shared" si="20"/>
        <v>2.9557430797547982E-2</v>
      </c>
      <c r="D217" s="66">
        <f t="shared" si="21"/>
        <v>89258413.176729009</v>
      </c>
      <c r="E217" s="89">
        <f t="shared" si="22"/>
        <v>0.44999999999999996</v>
      </c>
      <c r="F217" s="147">
        <f t="shared" si="23"/>
        <v>1187212.2167565506</v>
      </c>
      <c r="G217" s="141">
        <f t="shared" si="24"/>
        <v>0.54936696677583985</v>
      </c>
      <c r="I217" s="66">
        <f t="shared" si="28"/>
        <v>40166285.92952805</v>
      </c>
      <c r="J217" s="66">
        <f t="shared" si="29"/>
        <v>1187212.2167565506</v>
      </c>
    </row>
    <row r="218" spans="1:10" x14ac:dyDescent="0.25">
      <c r="A218" s="66">
        <f t="shared" si="27"/>
        <v>40.388199111459144</v>
      </c>
      <c r="B218" s="146">
        <f t="shared" si="25"/>
        <v>182</v>
      </c>
      <c r="C218" s="141">
        <f t="shared" si="20"/>
        <v>2.9232623865706794E-2</v>
      </c>
      <c r="D218" s="66">
        <f t="shared" si="21"/>
        <v>89751553.581020325</v>
      </c>
      <c r="E218" s="89">
        <f t="shared" si="22"/>
        <v>0.44999999999999996</v>
      </c>
      <c r="F218" s="147">
        <f t="shared" si="23"/>
        <v>1180653.0332385586</v>
      </c>
      <c r="G218" s="141">
        <f t="shared" si="24"/>
        <v>0.57859959064154665</v>
      </c>
      <c r="I218" s="66">
        <f t="shared" si="28"/>
        <v>40388199.111459143</v>
      </c>
      <c r="J218" s="66">
        <f t="shared" si="29"/>
        <v>1180653.0332385586</v>
      </c>
    </row>
    <row r="219" spans="1:10" x14ac:dyDescent="0.25">
      <c r="A219" s="66">
        <f t="shared" si="27"/>
        <v>40.610112293390237</v>
      </c>
      <c r="B219" s="146">
        <f t="shared" si="25"/>
        <v>183</v>
      </c>
      <c r="C219" s="141">
        <f t="shared" si="20"/>
        <v>2.8753400523646028E-2</v>
      </c>
      <c r="D219" s="66">
        <f t="shared" si="21"/>
        <v>90244693.985311642</v>
      </c>
      <c r="E219" s="89">
        <f t="shared" si="22"/>
        <v>0.44999999999999996</v>
      </c>
      <c r="F219" s="147">
        <f t="shared" si="23"/>
        <v>1167678.8240820908</v>
      </c>
      <c r="G219" s="141">
        <f t="shared" si="24"/>
        <v>0.6073529911651927</v>
      </c>
      <c r="I219" s="66">
        <f t="shared" si="28"/>
        <v>40610112.293390237</v>
      </c>
      <c r="J219" s="66">
        <f t="shared" si="29"/>
        <v>1167678.8240820908</v>
      </c>
    </row>
    <row r="220" spans="1:10" x14ac:dyDescent="0.25">
      <c r="A220" s="66">
        <f t="shared" si="27"/>
        <v>40.832025475321338</v>
      </c>
      <c r="B220" s="146">
        <f t="shared" si="25"/>
        <v>184</v>
      </c>
      <c r="C220" s="141">
        <f t="shared" si="20"/>
        <v>2.8128326599218947E-2</v>
      </c>
      <c r="D220" s="66">
        <f t="shared" si="21"/>
        <v>90737834.389602974</v>
      </c>
      <c r="E220" s="89">
        <f t="shared" si="22"/>
        <v>0.44999999999999996</v>
      </c>
      <c r="F220" s="147">
        <f t="shared" si="23"/>
        <v>1148536.5482774668</v>
      </c>
      <c r="G220" s="141">
        <f t="shared" si="24"/>
        <v>0.63548131776441164</v>
      </c>
      <c r="I220" s="66">
        <f t="shared" si="28"/>
        <v>40832025.475321338</v>
      </c>
      <c r="J220" s="66">
        <f t="shared" si="29"/>
        <v>1148536.5482774668</v>
      </c>
    </row>
    <row r="221" spans="1:10" x14ac:dyDescent="0.25">
      <c r="A221" s="66">
        <f t="shared" si="27"/>
        <v>41.053938657252424</v>
      </c>
      <c r="B221" s="146">
        <f t="shared" si="25"/>
        <v>185</v>
      </c>
      <c r="C221" s="141">
        <f t="shared" si="20"/>
        <v>2.736810155599682E-2</v>
      </c>
      <c r="D221" s="66">
        <f t="shared" si="21"/>
        <v>91230974.793894291</v>
      </c>
      <c r="E221" s="89">
        <f t="shared" si="22"/>
        <v>0.44999999999999996</v>
      </c>
      <c r="F221" s="147">
        <f t="shared" si="23"/>
        <v>1123568.3624453482</v>
      </c>
      <c r="G221" s="141">
        <f t="shared" si="24"/>
        <v>0.66284941932040842</v>
      </c>
      <c r="I221" s="66">
        <f t="shared" si="28"/>
        <v>41053938.657252423</v>
      </c>
      <c r="J221" s="66">
        <f t="shared" si="29"/>
        <v>1123568.3624453482</v>
      </c>
    </row>
    <row r="222" spans="1:10" x14ac:dyDescent="0.25">
      <c r="A222" s="66">
        <f t="shared" si="27"/>
        <v>41.275851839183517</v>
      </c>
      <c r="B222" s="146">
        <f t="shared" si="25"/>
        <v>186</v>
      </c>
      <c r="C222" s="141">
        <f t="shared" si="20"/>
        <v>2.6485259570319501E-2</v>
      </c>
      <c r="D222" s="66">
        <f t="shared" si="21"/>
        <v>91724115.198185608</v>
      </c>
      <c r="E222" s="89">
        <f t="shared" si="22"/>
        <v>0.44999999999999996</v>
      </c>
      <c r="F222" s="147">
        <f t="shared" si="23"/>
        <v>1093201.6499468249</v>
      </c>
      <c r="G222" s="141">
        <f t="shared" si="24"/>
        <v>0.68933467889072786</v>
      </c>
      <c r="I222" s="66">
        <f t="shared" si="28"/>
        <v>41275851.839183517</v>
      </c>
      <c r="J222" s="66">
        <f t="shared" si="29"/>
        <v>1093201.6499468249</v>
      </c>
    </row>
    <row r="223" spans="1:10" x14ac:dyDescent="0.25">
      <c r="A223" s="66">
        <f t="shared" si="27"/>
        <v>41.49776502111461</v>
      </c>
      <c r="B223" s="146">
        <f t="shared" si="25"/>
        <v>187</v>
      </c>
      <c r="C223" s="141">
        <f t="shared" si="20"/>
        <v>2.549383274148399E-2</v>
      </c>
      <c r="D223" s="66">
        <f t="shared" si="21"/>
        <v>92217255.602476925</v>
      </c>
      <c r="E223" s="89">
        <f t="shared" si="22"/>
        <v>0.44999999999999996</v>
      </c>
      <c r="F223" s="147">
        <f t="shared" si="23"/>
        <v>1057937.0805937008</v>
      </c>
      <c r="G223" s="141">
        <f t="shared" si="24"/>
        <v>0.71482851163221195</v>
      </c>
      <c r="I223" s="66">
        <f t="shared" si="28"/>
        <v>41497765.02111461</v>
      </c>
      <c r="J223" s="66">
        <f t="shared" si="29"/>
        <v>1057937.0805937008</v>
      </c>
    </row>
    <row r="224" spans="1:10" x14ac:dyDescent="0.25">
      <c r="A224" s="66">
        <f t="shared" si="27"/>
        <v>41.71967820304571</v>
      </c>
      <c r="B224" s="146">
        <f t="shared" si="25"/>
        <v>188</v>
      </c>
      <c r="C224" s="141">
        <f t="shared" si="20"/>
        <v>2.4408988795037865E-2</v>
      </c>
      <c r="D224" s="66">
        <f t="shared" si="21"/>
        <v>92710396.006768256</v>
      </c>
      <c r="E224" s="89">
        <f t="shared" si="22"/>
        <v>0.44999999999999996</v>
      </c>
      <c r="F224" s="147">
        <f t="shared" si="23"/>
        <v>1018335.1577907283</v>
      </c>
      <c r="G224" s="141">
        <f t="shared" si="24"/>
        <v>0.73923750042724978</v>
      </c>
      <c r="I224" s="66">
        <f t="shared" si="28"/>
        <v>41719678.203045711</v>
      </c>
      <c r="J224" s="66">
        <f t="shared" si="29"/>
        <v>1018335.1577907283</v>
      </c>
    </row>
    <row r="225" spans="1:10" x14ac:dyDescent="0.25">
      <c r="A225" s="66">
        <f t="shared" si="27"/>
        <v>41.941591384976803</v>
      </c>
      <c r="B225" s="146">
        <f t="shared" si="25"/>
        <v>189</v>
      </c>
      <c r="C225" s="141">
        <f t="shared" si="20"/>
        <v>2.3246655995274167E-2</v>
      </c>
      <c r="D225" s="66">
        <f t="shared" si="21"/>
        <v>93203536.411059573</v>
      </c>
      <c r="E225" s="89">
        <f t="shared" si="22"/>
        <v>0.44999999999999996</v>
      </c>
      <c r="F225" s="147">
        <f t="shared" si="23"/>
        <v>975001.74682091037</v>
      </c>
      <c r="G225" s="141">
        <f t="shared" si="24"/>
        <v>0.76248415642252398</v>
      </c>
      <c r="I225" s="66">
        <f t="shared" si="28"/>
        <v>41941591.384976804</v>
      </c>
      <c r="J225" s="66">
        <f t="shared" si="29"/>
        <v>975001.74682091037</v>
      </c>
    </row>
    <row r="226" spans="1:10" x14ac:dyDescent="0.25">
      <c r="A226" s="66">
        <f t="shared" si="27"/>
        <v>42.163504566907896</v>
      </c>
      <c r="B226" s="146">
        <f t="shared" si="25"/>
        <v>190</v>
      </c>
      <c r="C226" s="141">
        <f t="shared" si="20"/>
        <v>2.2023147784996557E-2</v>
      </c>
      <c r="D226" s="66">
        <f t="shared" si="21"/>
        <v>93696676.81535089</v>
      </c>
      <c r="E226" s="89">
        <f t="shared" si="22"/>
        <v>0.44999999999999996</v>
      </c>
      <c r="F226" s="147">
        <f t="shared" si="23"/>
        <v>928573.09221038991</v>
      </c>
      <c r="G226" s="141">
        <f t="shared" si="24"/>
        <v>0.78450730420752057</v>
      </c>
      <c r="I226" s="66">
        <f t="shared" si="28"/>
        <v>42163504.566907898</v>
      </c>
      <c r="J226" s="66">
        <f t="shared" si="29"/>
        <v>928573.09221038991</v>
      </c>
    </row>
    <row r="227" spans="1:10" x14ac:dyDescent="0.25">
      <c r="A227" s="66">
        <f t="shared" si="27"/>
        <v>42.385417748838989</v>
      </c>
      <c r="B227" s="146">
        <f t="shared" si="25"/>
        <v>191</v>
      </c>
      <c r="C227" s="141">
        <f t="shared" si="20"/>
        <v>2.0754798959682626E-2</v>
      </c>
      <c r="D227" s="66">
        <f t="shared" si="21"/>
        <v>94189817.219642207</v>
      </c>
      <c r="E227" s="89">
        <f t="shared" si="22"/>
        <v>0.44999999999999996</v>
      </c>
      <c r="F227" s="147">
        <f t="shared" si="23"/>
        <v>879700.82419931702</v>
      </c>
      <c r="G227" s="141">
        <f t="shared" si="24"/>
        <v>0.80526210316720315</v>
      </c>
      <c r="I227" s="66">
        <f t="shared" si="28"/>
        <v>42385417.748838991</v>
      </c>
      <c r="J227" s="66">
        <f t="shared" si="29"/>
        <v>879700.82419931702</v>
      </c>
    </row>
    <row r="228" spans="1:10" x14ac:dyDescent="0.25">
      <c r="A228" s="66">
        <f t="shared" si="27"/>
        <v>42.607330930770082</v>
      </c>
      <c r="B228" s="146">
        <f t="shared" si="25"/>
        <v>192</v>
      </c>
      <c r="C228" s="141">
        <f t="shared" ref="C228:C291" si="30">POISSON(B228,$C$33,0)</f>
        <v>1.9457624024702497E-2</v>
      </c>
      <c r="D228" s="66">
        <f t="shared" ref="D228:D291" si="31">+B228*$C$32</f>
        <v>94682957.623933524</v>
      </c>
      <c r="E228" s="89">
        <f t="shared" ref="E228:E291" si="32">1-$E$34</f>
        <v>0.44999999999999996</v>
      </c>
      <c r="F228" s="147">
        <f t="shared" ref="F228:F291" si="33">+D228*E228*C228</f>
        <v>829037.42594700179</v>
      </c>
      <c r="G228" s="141">
        <f t="shared" ref="G228:G286" si="34">POISSON(B228,$C$33,1)</f>
        <v>0.82471972719190556</v>
      </c>
      <c r="I228" s="66">
        <f t="shared" si="28"/>
        <v>42607330.930770084</v>
      </c>
      <c r="J228" s="66">
        <f t="shared" si="29"/>
        <v>829037.42594700179</v>
      </c>
    </row>
    <row r="229" spans="1:10" x14ac:dyDescent="0.25">
      <c r="A229" s="66">
        <f t="shared" si="27"/>
        <v>42.829244112701176</v>
      </c>
      <c r="B229" s="146">
        <f t="shared" ref="B229:B292" si="35">+B228+1</f>
        <v>193</v>
      </c>
      <c r="C229" s="141">
        <f t="shared" si="30"/>
        <v>1.8147006862416798E-2</v>
      </c>
      <c r="D229" s="66">
        <f t="shared" si="31"/>
        <v>95176098.028224856</v>
      </c>
      <c r="E229" s="89">
        <f t="shared" si="32"/>
        <v>0.44999999999999996</v>
      </c>
      <c r="F229" s="147">
        <f t="shared" si="33"/>
        <v>777222.58682531246</v>
      </c>
      <c r="G229" s="141">
        <f t="shared" si="34"/>
        <v>0.84286673405432244</v>
      </c>
      <c r="I229" s="66">
        <f t="shared" si="28"/>
        <v>42829244.112701178</v>
      </c>
      <c r="J229" s="66">
        <f t="shared" si="29"/>
        <v>777222.58682531246</v>
      </c>
    </row>
    <row r="230" spans="1:10" x14ac:dyDescent="0.25">
      <c r="A230" s="66">
        <f t="shared" ref="A230:A293" si="36">D230*E230/1000000</f>
        <v>43.051157294632269</v>
      </c>
      <c r="B230" s="146">
        <f t="shared" si="35"/>
        <v>194</v>
      </c>
      <c r="C230" s="141">
        <f t="shared" si="30"/>
        <v>1.6837429047603235E-2</v>
      </c>
      <c r="D230" s="66">
        <f t="shared" si="31"/>
        <v>95669238.432516173</v>
      </c>
      <c r="E230" s="89">
        <f t="shared" si="32"/>
        <v>0.44999999999999996</v>
      </c>
      <c r="F230" s="147">
        <f t="shared" si="33"/>
        <v>724870.80636557727</v>
      </c>
      <c r="G230" s="141">
        <f t="shared" si="34"/>
        <v>0.85970416310192577</v>
      </c>
      <c r="I230" s="66">
        <f t="shared" si="28"/>
        <v>43051157.294632271</v>
      </c>
      <c r="J230" s="66">
        <f t="shared" si="29"/>
        <v>724870.80636557727</v>
      </c>
    </row>
    <row r="231" spans="1:10" x14ac:dyDescent="0.25">
      <c r="A231" s="66">
        <f t="shared" si="36"/>
        <v>43.273070476563362</v>
      </c>
      <c r="B231" s="146">
        <f t="shared" si="35"/>
        <v>195</v>
      </c>
      <c r="C231" s="141">
        <f t="shared" si="30"/>
        <v>1.5542242197787584E-2</v>
      </c>
      <c r="D231" s="66">
        <f t="shared" si="31"/>
        <v>96162378.836807489</v>
      </c>
      <c r="E231" s="89">
        <f t="shared" si="32"/>
        <v>0.44999999999999996</v>
      </c>
      <c r="F231" s="147">
        <f t="shared" si="33"/>
        <v>672560.54198867921</v>
      </c>
      <c r="G231" s="141">
        <f t="shared" si="34"/>
        <v>0.87524640529971331</v>
      </c>
      <c r="I231" s="66">
        <f t="shared" si="28"/>
        <v>43273070.476563364</v>
      </c>
      <c r="J231" s="66">
        <f t="shared" si="29"/>
        <v>672560.54198867921</v>
      </c>
    </row>
    <row r="232" spans="1:10" x14ac:dyDescent="0.25">
      <c r="A232" s="66">
        <f t="shared" si="36"/>
        <v>43.494983658494455</v>
      </c>
      <c r="B232" s="146">
        <f t="shared" si="35"/>
        <v>196</v>
      </c>
      <c r="C232" s="141">
        <f t="shared" si="30"/>
        <v>1.4273487732662104E-2</v>
      </c>
      <c r="D232" s="66">
        <f t="shared" si="31"/>
        <v>96655519.241098806</v>
      </c>
      <c r="E232" s="89">
        <f t="shared" si="32"/>
        <v>0.44999999999999996</v>
      </c>
      <c r="F232" s="147">
        <f t="shared" si="33"/>
        <v>620825.11568185932</v>
      </c>
      <c r="G232" s="141">
        <f t="shared" si="34"/>
        <v>0.88951989303237533</v>
      </c>
      <c r="I232" s="66">
        <f t="shared" si="28"/>
        <v>43494983.658494458</v>
      </c>
      <c r="J232" s="66">
        <f t="shared" si="29"/>
        <v>620825.11568185932</v>
      </c>
    </row>
    <row r="233" spans="1:10" x14ac:dyDescent="0.25">
      <c r="A233" s="66">
        <f t="shared" si="36"/>
        <v>43.716896840425555</v>
      </c>
      <c r="B233" s="146">
        <f t="shared" si="35"/>
        <v>197</v>
      </c>
      <c r="C233" s="141">
        <f t="shared" si="30"/>
        <v>1.3041765441011039E-2</v>
      </c>
      <c r="D233" s="66">
        <f t="shared" si="31"/>
        <v>97148659.645390138</v>
      </c>
      <c r="E233" s="89">
        <f t="shared" si="32"/>
        <v>0.44999999999999996</v>
      </c>
      <c r="F233" s="147">
        <f t="shared" si="33"/>
        <v>570145.51440170675</v>
      </c>
      <c r="G233" s="141">
        <f t="shared" si="34"/>
        <v>0.90256165847338643</v>
      </c>
      <c r="I233" s="66">
        <f t="shared" si="28"/>
        <v>43716896.840425558</v>
      </c>
      <c r="J233" s="66">
        <f t="shared" si="29"/>
        <v>570145.51440170675</v>
      </c>
    </row>
    <row r="234" spans="1:10" x14ac:dyDescent="0.25">
      <c r="A234" s="66">
        <f t="shared" si="36"/>
        <v>43.938810022356648</v>
      </c>
      <c r="B234" s="146">
        <f t="shared" si="35"/>
        <v>198</v>
      </c>
      <c r="C234" s="141">
        <f t="shared" si="30"/>
        <v>1.1856150400919158E-2</v>
      </c>
      <c r="D234" s="66">
        <f t="shared" si="31"/>
        <v>97641800.049681455</v>
      </c>
      <c r="E234" s="89">
        <f t="shared" si="32"/>
        <v>0.44999999999999996</v>
      </c>
      <c r="F234" s="147">
        <f t="shared" si="33"/>
        <v>520945.14006247453</v>
      </c>
      <c r="G234" s="141">
        <f t="shared" si="34"/>
        <v>0.91441780887430557</v>
      </c>
      <c r="I234" s="66">
        <f t="shared" si="28"/>
        <v>43938810.022356652</v>
      </c>
      <c r="J234" s="66">
        <f t="shared" si="29"/>
        <v>520945.14006247453</v>
      </c>
    </row>
    <row r="235" spans="1:10" x14ac:dyDescent="0.25">
      <c r="A235" s="66">
        <f t="shared" si="36"/>
        <v>44.160723204287748</v>
      </c>
      <c r="B235" s="146">
        <f t="shared" si="35"/>
        <v>199</v>
      </c>
      <c r="C235" s="141">
        <f t="shared" si="30"/>
        <v>1.072415614153492E-2</v>
      </c>
      <c r="D235" s="66">
        <f t="shared" si="31"/>
        <v>98134940.453972772</v>
      </c>
      <c r="E235" s="89">
        <f t="shared" si="32"/>
        <v>0.44999999999999996</v>
      </c>
      <c r="F235" s="147">
        <f t="shared" si="33"/>
        <v>473586.49096588604</v>
      </c>
      <c r="G235" s="141">
        <f t="shared" si="34"/>
        <v>0.92514196501584034</v>
      </c>
      <c r="I235" s="66">
        <f t="shared" si="28"/>
        <v>44160723.204287745</v>
      </c>
      <c r="J235" s="66">
        <f t="shared" si="29"/>
        <v>473586.49096588604</v>
      </c>
    </row>
    <row r="236" spans="1:10" x14ac:dyDescent="0.25">
      <c r="A236" s="66">
        <f t="shared" si="36"/>
        <v>44.382636386218842</v>
      </c>
      <c r="B236" s="146">
        <f t="shared" si="35"/>
        <v>200</v>
      </c>
      <c r="C236" s="141">
        <f t="shared" si="30"/>
        <v>9.6517405273813771E-3</v>
      </c>
      <c r="D236" s="66">
        <f t="shared" si="31"/>
        <v>98628080.858264089</v>
      </c>
      <c r="E236" s="89">
        <f t="shared" si="32"/>
        <v>0.44999999999999996</v>
      </c>
      <c r="F236" s="147">
        <f t="shared" si="33"/>
        <v>428369.69032089971</v>
      </c>
      <c r="G236" s="141">
        <f t="shared" si="34"/>
        <v>0.93479370554322183</v>
      </c>
      <c r="I236" s="66">
        <f t="shared" si="28"/>
        <v>44382636.386218838</v>
      </c>
      <c r="J236" s="66">
        <f t="shared" si="29"/>
        <v>428369.69032089971</v>
      </c>
    </row>
    <row r="237" spans="1:10" x14ac:dyDescent="0.25">
      <c r="A237" s="66">
        <f t="shared" si="36"/>
        <v>44.604549568149935</v>
      </c>
      <c r="B237" s="146">
        <f t="shared" si="35"/>
        <v>201</v>
      </c>
      <c r="C237" s="141">
        <f t="shared" si="30"/>
        <v>8.6433497260131973E-3</v>
      </c>
      <c r="D237" s="66">
        <f t="shared" si="31"/>
        <v>99121221.26255542</v>
      </c>
      <c r="E237" s="89">
        <f t="shared" si="32"/>
        <v>0.44999999999999996</v>
      </c>
      <c r="F237" s="147">
        <f t="shared" si="33"/>
        <v>385532.72128881078</v>
      </c>
      <c r="G237" s="141">
        <f t="shared" si="34"/>
        <v>0.94343705526923505</v>
      </c>
      <c r="I237" s="66">
        <f t="shared" si="28"/>
        <v>44604549.568149932</v>
      </c>
      <c r="J237" s="66">
        <f t="shared" si="29"/>
        <v>385532.72128881078</v>
      </c>
    </row>
    <row r="238" spans="1:10" x14ac:dyDescent="0.25">
      <c r="A238" s="66">
        <f t="shared" si="36"/>
        <v>44.826462750081028</v>
      </c>
      <c r="B238" s="146">
        <f t="shared" si="35"/>
        <v>202</v>
      </c>
      <c r="C238" s="141">
        <f t="shared" si="30"/>
        <v>7.7019948053582941E-3</v>
      </c>
      <c r="D238" s="66">
        <f t="shared" si="31"/>
        <v>99614361.666846737</v>
      </c>
      <c r="E238" s="89">
        <f t="shared" si="32"/>
        <v>0.44999999999999996</v>
      </c>
      <c r="F238" s="147">
        <f t="shared" si="33"/>
        <v>345253.18324371113</v>
      </c>
      <c r="G238" s="141">
        <f t="shared" si="34"/>
        <v>0.95113905007459332</v>
      </c>
      <c r="I238" s="66">
        <f t="shared" si="28"/>
        <v>44826462.750081025</v>
      </c>
      <c r="J238" s="66">
        <f t="shared" si="29"/>
        <v>345253.18324371113</v>
      </c>
    </row>
    <row r="239" spans="1:10" x14ac:dyDescent="0.25">
      <c r="A239" s="66">
        <f t="shared" si="36"/>
        <v>45.048375932012121</v>
      </c>
      <c r="B239" s="146">
        <f t="shared" si="35"/>
        <v>203</v>
      </c>
      <c r="C239" s="141">
        <f t="shared" si="30"/>
        <v>6.8293549998250797E-3</v>
      </c>
      <c r="D239" s="66">
        <f t="shared" si="31"/>
        <v>100107502.07113805</v>
      </c>
      <c r="E239" s="89">
        <f t="shared" si="32"/>
        <v>0.44999999999999996</v>
      </c>
      <c r="F239" s="147">
        <f t="shared" si="33"/>
        <v>307651.35140528675</v>
      </c>
      <c r="G239" s="141">
        <f t="shared" si="34"/>
        <v>0.95796840507441838</v>
      </c>
      <c r="I239" s="66">
        <f t="shared" si="28"/>
        <v>45048375.932012118</v>
      </c>
      <c r="J239" s="66">
        <f t="shared" si="29"/>
        <v>307651.35140528675</v>
      </c>
    </row>
    <row r="240" spans="1:10" x14ac:dyDescent="0.25">
      <c r="A240" s="66">
        <f t="shared" si="36"/>
        <v>45.270289113943214</v>
      </c>
      <c r="B240" s="146">
        <f t="shared" si="35"/>
        <v>204</v>
      </c>
      <c r="C240" s="141">
        <f t="shared" si="30"/>
        <v>6.0259014704338873E-3</v>
      </c>
      <c r="D240" s="66">
        <f t="shared" si="31"/>
        <v>100600642.47542937</v>
      </c>
      <c r="E240" s="89">
        <f t="shared" si="32"/>
        <v>0.44999999999999996</v>
      </c>
      <c r="F240" s="147">
        <f t="shared" si="33"/>
        <v>272794.3017386776</v>
      </c>
      <c r="G240" s="141">
        <f t="shared" si="34"/>
        <v>0.9639943065448523</v>
      </c>
      <c r="I240" s="66">
        <f t="shared" si="28"/>
        <v>45270289.113943212</v>
      </c>
      <c r="J240" s="66">
        <f t="shared" si="29"/>
        <v>272794.3017386776</v>
      </c>
    </row>
    <row r="241" spans="1:10" x14ac:dyDescent="0.25">
      <c r="A241" s="66">
        <f t="shared" si="36"/>
        <v>45.492202295874314</v>
      </c>
      <c r="B241" s="146">
        <f t="shared" si="35"/>
        <v>205</v>
      </c>
      <c r="C241" s="141">
        <f t="shared" si="30"/>
        <v>5.2910354374541687E-3</v>
      </c>
      <c r="D241" s="66">
        <f t="shared" si="31"/>
        <v>101093782.8797207</v>
      </c>
      <c r="E241" s="89">
        <f t="shared" si="32"/>
        <v>0.44999999999999996</v>
      </c>
      <c r="F241" s="147">
        <f t="shared" si="33"/>
        <v>240700.85447530489</v>
      </c>
      <c r="G241" s="141">
        <f t="shared" si="34"/>
        <v>0.96928534198230643</v>
      </c>
      <c r="I241" s="66">
        <f t="shared" si="28"/>
        <v>45492202.295874313</v>
      </c>
      <c r="J241" s="66">
        <f t="shared" si="29"/>
        <v>240700.85447530489</v>
      </c>
    </row>
    <row r="242" spans="1:10" x14ac:dyDescent="0.25">
      <c r="A242" s="66">
        <f t="shared" si="36"/>
        <v>45.714115477805407</v>
      </c>
      <c r="B242" s="146">
        <f t="shared" si="35"/>
        <v>206</v>
      </c>
      <c r="C242" s="141">
        <f t="shared" si="30"/>
        <v>4.6232348482609289E-3</v>
      </c>
      <c r="D242" s="66">
        <f t="shared" si="31"/>
        <v>101586923.28401202</v>
      </c>
      <c r="E242" s="89">
        <f t="shared" si="32"/>
        <v>0.44999999999999996</v>
      </c>
      <c r="F242" s="147">
        <f t="shared" si="33"/>
        <v>211347.09173441425</v>
      </c>
      <c r="G242" s="141">
        <f t="shared" si="34"/>
        <v>0.97390857683056731</v>
      </c>
      <c r="I242" s="66">
        <f t="shared" si="28"/>
        <v>45714115.477805406</v>
      </c>
      <c r="J242" s="66">
        <f t="shared" si="29"/>
        <v>211347.09173441425</v>
      </c>
    </row>
    <row r="243" spans="1:10" x14ac:dyDescent="0.25">
      <c r="A243" s="66">
        <f t="shared" si="36"/>
        <v>45.9360286597365</v>
      </c>
      <c r="B243" s="146">
        <f t="shared" si="35"/>
        <v>207</v>
      </c>
      <c r="C243" s="141">
        <f t="shared" si="30"/>
        <v>4.0202042158790589E-3</v>
      </c>
      <c r="D243" s="66">
        <f t="shared" si="31"/>
        <v>102080063.68830334</v>
      </c>
      <c r="E243" s="89">
        <f t="shared" si="32"/>
        <v>0.44999999999999996</v>
      </c>
      <c r="F243" s="147">
        <f t="shared" si="33"/>
        <v>184672.21607861394</v>
      </c>
      <c r="G243" s="141">
        <f t="shared" si="34"/>
        <v>0.97792878104644643</v>
      </c>
      <c r="I243" s="66">
        <f t="shared" si="28"/>
        <v>45936028.659736499</v>
      </c>
      <c r="J243" s="66">
        <f t="shared" si="29"/>
        <v>184672.21607861394</v>
      </c>
    </row>
    <row r="244" spans="1:10" x14ac:dyDescent="0.25">
      <c r="A244" s="66">
        <f t="shared" si="36"/>
        <v>46.157941841667594</v>
      </c>
      <c r="B244" s="146">
        <f t="shared" si="35"/>
        <v>208</v>
      </c>
      <c r="C244" s="141">
        <f t="shared" si="30"/>
        <v>3.4790228791261139E-3</v>
      </c>
      <c r="D244" s="66">
        <f t="shared" si="31"/>
        <v>102573204.09259465</v>
      </c>
      <c r="E244" s="89">
        <f t="shared" si="32"/>
        <v>0.44999999999999996</v>
      </c>
      <c r="F244" s="147">
        <f t="shared" si="33"/>
        <v>160584.5357205341</v>
      </c>
      <c r="G244" s="141">
        <f t="shared" si="34"/>
        <v>0.98140780392557248</v>
      </c>
      <c r="I244" s="66">
        <f t="shared" si="28"/>
        <v>46157941.841667593</v>
      </c>
      <c r="J244" s="66">
        <f t="shared" si="29"/>
        <v>160584.5357205341</v>
      </c>
    </row>
    <row r="245" spans="1:10" x14ac:dyDescent="0.25">
      <c r="A245" s="66">
        <f t="shared" si="36"/>
        <v>46.379855023598687</v>
      </c>
      <c r="B245" s="146">
        <f t="shared" si="35"/>
        <v>209</v>
      </c>
      <c r="C245" s="141">
        <f t="shared" si="30"/>
        <v>2.9962876470942617E-3</v>
      </c>
      <c r="D245" s="66">
        <f t="shared" si="31"/>
        <v>103066344.49688599</v>
      </c>
      <c r="E245" s="89">
        <f t="shared" si="32"/>
        <v>0.44999999999999996</v>
      </c>
      <c r="F245" s="147">
        <f t="shared" si="33"/>
        <v>138967.38668123147</v>
      </c>
      <c r="G245" s="141">
        <f t="shared" si="34"/>
        <v>0.98440409157266673</v>
      </c>
      <c r="I245" s="66">
        <f t="shared" si="28"/>
        <v>46379855.023598686</v>
      </c>
      <c r="J245" s="66">
        <f t="shared" si="29"/>
        <v>138967.38668123147</v>
      </c>
    </row>
    <row r="246" spans="1:10" x14ac:dyDescent="0.25">
      <c r="A246" s="66">
        <f t="shared" si="36"/>
        <v>46.60176820552978</v>
      </c>
      <c r="B246" s="146">
        <f t="shared" si="35"/>
        <v>210</v>
      </c>
      <c r="C246" s="141">
        <f t="shared" si="30"/>
        <v>2.568246554652208E-3</v>
      </c>
      <c r="D246" s="66">
        <f t="shared" si="31"/>
        <v>103559484.9011773</v>
      </c>
      <c r="E246" s="89">
        <f t="shared" si="32"/>
        <v>0.44999999999999996</v>
      </c>
      <c r="F246" s="147">
        <f t="shared" si="33"/>
        <v>119684.83063455267</v>
      </c>
      <c r="G246" s="141">
        <f t="shared" si="34"/>
        <v>0.98697233812731899</v>
      </c>
      <c r="I246" s="66">
        <f t="shared" si="28"/>
        <v>46601768.205529779</v>
      </c>
      <c r="J246" s="66">
        <f t="shared" si="29"/>
        <v>119684.83063455267</v>
      </c>
    </row>
    <row r="247" spans="1:10" x14ac:dyDescent="0.25">
      <c r="A247" s="66">
        <f t="shared" si="36"/>
        <v>46.823681387460873</v>
      </c>
      <c r="B247" s="146">
        <f t="shared" si="35"/>
        <v>211</v>
      </c>
      <c r="C247" s="141">
        <f t="shared" si="30"/>
        <v>2.1909212314568725E-3</v>
      </c>
      <c r="D247" s="66">
        <f t="shared" si="31"/>
        <v>104052625.30546862</v>
      </c>
      <c r="E247" s="89">
        <f t="shared" si="32"/>
        <v>0.44999999999999996</v>
      </c>
      <c r="F247" s="147">
        <f t="shared" si="33"/>
        <v>102586.99768676002</v>
      </c>
      <c r="G247" s="141">
        <f t="shared" si="34"/>
        <v>0.9891632593587758</v>
      </c>
      <c r="I247" s="66">
        <f t="shared" si="28"/>
        <v>46823681.387460873</v>
      </c>
      <c r="J247" s="66">
        <f t="shared" si="29"/>
        <v>102586.99768676002</v>
      </c>
    </row>
    <row r="248" spans="1:10" x14ac:dyDescent="0.25">
      <c r="A248" s="66">
        <f t="shared" si="36"/>
        <v>47.045594569391966</v>
      </c>
      <c r="B248" s="146">
        <f t="shared" si="35"/>
        <v>212</v>
      </c>
      <c r="C248" s="141">
        <f t="shared" si="30"/>
        <v>1.8602161399162119E-3</v>
      </c>
      <c r="D248" s="66">
        <f t="shared" si="31"/>
        <v>104545765.70975994</v>
      </c>
      <c r="E248" s="89">
        <f t="shared" si="32"/>
        <v>0.44999999999999996</v>
      </c>
      <c r="F248" s="147">
        <f t="shared" si="33"/>
        <v>87514.974329937424</v>
      </c>
      <c r="G248" s="141">
        <f t="shared" si="34"/>
        <v>0.99102347549869207</v>
      </c>
      <c r="I248" s="66">
        <f t="shared" si="28"/>
        <v>47045594.569391966</v>
      </c>
      <c r="J248" s="66">
        <f t="shared" si="29"/>
        <v>87514.974329937424</v>
      </c>
    </row>
    <row r="249" spans="1:10" x14ac:dyDescent="0.25">
      <c r="A249" s="66">
        <f t="shared" si="36"/>
        <v>47.267507751323066</v>
      </c>
      <c r="B249" s="146">
        <f t="shared" si="35"/>
        <v>213</v>
      </c>
      <c r="C249" s="141">
        <f t="shared" si="30"/>
        <v>1.5720136393658085E-3</v>
      </c>
      <c r="D249" s="66">
        <f t="shared" si="31"/>
        <v>105038906.11405127</v>
      </c>
      <c r="E249" s="89">
        <f t="shared" si="32"/>
        <v>0.44999999999999996</v>
      </c>
      <c r="F249" s="147">
        <f t="shared" si="33"/>
        <v>74305.16688390894</v>
      </c>
      <c r="G249" s="141">
        <f t="shared" si="34"/>
        <v>0.99259548913805784</v>
      </c>
      <c r="I249" s="66">
        <f t="shared" si="28"/>
        <v>47267507.751323067</v>
      </c>
      <c r="J249" s="66">
        <f t="shared" si="29"/>
        <v>74305.16688390894</v>
      </c>
    </row>
    <row r="250" spans="1:10" x14ac:dyDescent="0.25">
      <c r="A250" s="66">
        <f t="shared" si="36"/>
        <v>47.489420933254159</v>
      </c>
      <c r="B250" s="146">
        <f t="shared" si="35"/>
        <v>214</v>
      </c>
      <c r="C250" s="141">
        <f t="shared" si="30"/>
        <v>1.3222544630179718E-3</v>
      </c>
      <c r="D250" s="66">
        <f t="shared" si="31"/>
        <v>105532046.51834258</v>
      </c>
      <c r="E250" s="89">
        <f t="shared" si="32"/>
        <v>0.44999999999999996</v>
      </c>
      <c r="F250" s="147">
        <f t="shared" si="33"/>
        <v>62793.098775134407</v>
      </c>
      <c r="G250" s="141">
        <f t="shared" si="34"/>
        <v>0.99391774360107576</v>
      </c>
      <c r="I250" s="66">
        <f t="shared" si="28"/>
        <v>47489420.93325416</v>
      </c>
      <c r="J250" s="66">
        <f t="shared" si="29"/>
        <v>62793.098775134407</v>
      </c>
    </row>
    <row r="251" spans="1:10" x14ac:dyDescent="0.25">
      <c r="A251" s="66">
        <f t="shared" si="36"/>
        <v>47.711334115185252</v>
      </c>
      <c r="B251" s="146">
        <f t="shared" si="35"/>
        <v>215</v>
      </c>
      <c r="C251" s="141">
        <f t="shared" si="30"/>
        <v>1.1070037364801629E-3</v>
      </c>
      <c r="D251" s="66">
        <f t="shared" si="31"/>
        <v>106025186.9226339</v>
      </c>
      <c r="E251" s="89">
        <f t="shared" si="32"/>
        <v>0.44999999999999996</v>
      </c>
      <c r="F251" s="147">
        <f t="shared" si="33"/>
        <v>52816.625137963543</v>
      </c>
      <c r="G251" s="141">
        <f t="shared" si="34"/>
        <v>0.99502474733755597</v>
      </c>
      <c r="I251" s="66">
        <f t="shared" si="28"/>
        <v>47711334.115185253</v>
      </c>
      <c r="J251" s="66">
        <f t="shared" si="29"/>
        <v>52816.625137963543</v>
      </c>
    </row>
    <row r="252" spans="1:10" x14ac:dyDescent="0.25">
      <c r="A252" s="66">
        <f t="shared" si="36"/>
        <v>47.933247297116345</v>
      </c>
      <c r="B252" s="146">
        <f t="shared" si="35"/>
        <v>216</v>
      </c>
      <c r="C252" s="141">
        <f t="shared" si="30"/>
        <v>9.2250311373346652E-4</v>
      </c>
      <c r="D252" s="66">
        <f t="shared" si="31"/>
        <v>106518327.32692522</v>
      </c>
      <c r="E252" s="89">
        <f t="shared" si="32"/>
        <v>0.44999999999999996</v>
      </c>
      <c r="F252" s="147">
        <f t="shared" si="33"/>
        <v>44218.569882946096</v>
      </c>
      <c r="G252" s="141">
        <f t="shared" si="34"/>
        <v>0.9959472504512894</v>
      </c>
      <c r="I252" s="66">
        <f t="shared" si="28"/>
        <v>47933247.297116347</v>
      </c>
      <c r="J252" s="66">
        <f t="shared" si="29"/>
        <v>44218.569882946096</v>
      </c>
    </row>
    <row r="253" spans="1:10" x14ac:dyDescent="0.25">
      <c r="A253" s="66">
        <f t="shared" si="36"/>
        <v>48.155160479047439</v>
      </c>
      <c r="B253" s="146">
        <f t="shared" si="35"/>
        <v>217</v>
      </c>
      <c r="C253" s="141">
        <f t="shared" si="30"/>
        <v>7.6520995609228269E-4</v>
      </c>
      <c r="D253" s="66">
        <f t="shared" si="31"/>
        <v>107011467.73121655</v>
      </c>
      <c r="E253" s="89">
        <f t="shared" si="32"/>
        <v>0.44999999999999996</v>
      </c>
      <c r="F253" s="147">
        <f t="shared" si="33"/>
        <v>36848.808235788718</v>
      </c>
      <c r="G253" s="141">
        <f t="shared" si="34"/>
        <v>0.99671246040738182</v>
      </c>
      <c r="I253" s="66">
        <f t="shared" si="28"/>
        <v>48155160.47904744</v>
      </c>
      <c r="J253" s="66">
        <f t="shared" si="29"/>
        <v>36848.808235788718</v>
      </c>
    </row>
    <row r="254" spans="1:10" x14ac:dyDescent="0.25">
      <c r="A254" s="66">
        <f t="shared" si="36"/>
        <v>48.377073660978532</v>
      </c>
      <c r="B254" s="146">
        <f t="shared" si="35"/>
        <v>218</v>
      </c>
      <c r="C254" s="141">
        <f t="shared" si="30"/>
        <v>6.3182473438812227E-4</v>
      </c>
      <c r="D254" s="66">
        <f t="shared" si="31"/>
        <v>107504608.13550787</v>
      </c>
      <c r="E254" s="89">
        <f t="shared" si="32"/>
        <v>0.44999999999999996</v>
      </c>
      <c r="F254" s="147">
        <f t="shared" si="33"/>
        <v>30565.831716322387</v>
      </c>
      <c r="G254" s="141">
        <f t="shared" si="34"/>
        <v>0.99734428514176987</v>
      </c>
      <c r="I254" s="66">
        <f t="shared" si="28"/>
        <v>48377073.660978533</v>
      </c>
      <c r="J254" s="66">
        <f t="shared" si="29"/>
        <v>30565.831716322387</v>
      </c>
    </row>
    <row r="255" spans="1:10" x14ac:dyDescent="0.25">
      <c r="A255" s="66">
        <f t="shared" si="36"/>
        <v>48.598986842909625</v>
      </c>
      <c r="B255" s="146">
        <f t="shared" si="35"/>
        <v>219</v>
      </c>
      <c r="C255" s="141">
        <f t="shared" si="30"/>
        <v>5.1930800086694823E-4</v>
      </c>
      <c r="D255" s="66">
        <f t="shared" si="31"/>
        <v>107997748.53979918</v>
      </c>
      <c r="E255" s="89">
        <f t="shared" si="32"/>
        <v>0.44999999999999996</v>
      </c>
      <c r="F255" s="147">
        <f t="shared" si="33"/>
        <v>25237.842701550519</v>
      </c>
      <c r="G255" s="141">
        <f t="shared" si="34"/>
        <v>0.99786359314263673</v>
      </c>
      <c r="I255" s="66">
        <f t="shared" si="28"/>
        <v>48598986.842909627</v>
      </c>
      <c r="J255" s="66">
        <f t="shared" si="29"/>
        <v>25237.842701550519</v>
      </c>
    </row>
    <row r="256" spans="1:10" x14ac:dyDescent="0.25">
      <c r="A256" s="66">
        <f t="shared" si="36"/>
        <v>48.820900024840718</v>
      </c>
      <c r="B256" s="146">
        <f t="shared" si="35"/>
        <v>220</v>
      </c>
      <c r="C256" s="141">
        <f t="shared" si="30"/>
        <v>4.2488836434568551E-4</v>
      </c>
      <c r="D256" s="66">
        <f t="shared" si="31"/>
        <v>108490888.9440905</v>
      </c>
      <c r="E256" s="89">
        <f t="shared" si="32"/>
        <v>0.44999999999999996</v>
      </c>
      <c r="F256" s="147">
        <f t="shared" si="33"/>
        <v>20743.432357438811</v>
      </c>
      <c r="G256" s="141">
        <f t="shared" si="34"/>
        <v>0.99828848150698257</v>
      </c>
      <c r="I256" s="66">
        <f t="shared" ref="I256:I319" si="37">D256*E256</f>
        <v>48820900.02484072</v>
      </c>
      <c r="J256" s="66">
        <f t="shared" ref="J256:J319" si="38">I256*C256</f>
        <v>20743.432357438811</v>
      </c>
    </row>
    <row r="257" spans="1:10" x14ac:dyDescent="0.25">
      <c r="A257" s="66">
        <f t="shared" si="36"/>
        <v>49.042813206771818</v>
      </c>
      <c r="B257" s="146">
        <f t="shared" si="35"/>
        <v>221</v>
      </c>
      <c r="C257" s="141">
        <f t="shared" si="30"/>
        <v>3.4606292118653185E-4</v>
      </c>
      <c r="D257" s="66">
        <f t="shared" si="31"/>
        <v>108984029.34838183</v>
      </c>
      <c r="E257" s="89">
        <f t="shared" si="32"/>
        <v>0.44999999999999996</v>
      </c>
      <c r="F257" s="147">
        <f t="shared" si="33"/>
        <v>16971.89920154088</v>
      </c>
      <c r="G257" s="141">
        <f t="shared" si="34"/>
        <v>0.99863454442816901</v>
      </c>
      <c r="I257" s="66">
        <f t="shared" si="37"/>
        <v>49042813.206771821</v>
      </c>
      <c r="J257" s="66">
        <f t="shared" si="38"/>
        <v>16971.89920154088</v>
      </c>
    </row>
    <row r="258" spans="1:10" x14ac:dyDescent="0.25">
      <c r="A258" s="66">
        <f t="shared" si="36"/>
        <v>49.264726388702911</v>
      </c>
      <c r="B258" s="146">
        <f t="shared" si="35"/>
        <v>222</v>
      </c>
      <c r="C258" s="141">
        <f t="shared" si="30"/>
        <v>2.8059155771880892E-4</v>
      </c>
      <c r="D258" s="66">
        <f t="shared" si="31"/>
        <v>109477169.75267315</v>
      </c>
      <c r="E258" s="89">
        <f t="shared" si="32"/>
        <v>0.44999999999999996</v>
      </c>
      <c r="F258" s="147">
        <f t="shared" si="33"/>
        <v>13823.266317997062</v>
      </c>
      <c r="G258" s="141">
        <f t="shared" si="34"/>
        <v>0.99891513598588788</v>
      </c>
      <c r="I258" s="66">
        <f t="shared" si="37"/>
        <v>49264726.388702914</v>
      </c>
      <c r="J258" s="66">
        <f t="shared" si="38"/>
        <v>13823.266317997062</v>
      </c>
    </row>
    <row r="259" spans="1:10" x14ac:dyDescent="0.25">
      <c r="A259" s="66">
        <f t="shared" si="36"/>
        <v>49.486639570634004</v>
      </c>
      <c r="B259" s="146">
        <f t="shared" si="35"/>
        <v>223</v>
      </c>
      <c r="C259" s="141">
        <f t="shared" si="30"/>
        <v>2.2648645914522724E-4</v>
      </c>
      <c r="D259" s="66">
        <f t="shared" si="31"/>
        <v>109970310.15696447</v>
      </c>
      <c r="E259" s="89">
        <f t="shared" si="32"/>
        <v>0.44999999999999996</v>
      </c>
      <c r="F259" s="147">
        <f t="shared" si="33"/>
        <v>11208.053771348985</v>
      </c>
      <c r="G259" s="141">
        <f t="shared" si="34"/>
        <v>0.99914162244503313</v>
      </c>
      <c r="I259" s="66">
        <f t="shared" si="37"/>
        <v>49486639.570634007</v>
      </c>
      <c r="J259" s="66">
        <f t="shared" si="38"/>
        <v>11208.053771348985</v>
      </c>
    </row>
    <row r="260" spans="1:10" x14ac:dyDescent="0.25">
      <c r="A260" s="66">
        <f t="shared" si="36"/>
        <v>49.708552752565097</v>
      </c>
      <c r="B260" s="146">
        <f t="shared" si="35"/>
        <v>224</v>
      </c>
      <c r="C260" s="141">
        <f t="shared" si="30"/>
        <v>1.8199804752741516E-4</v>
      </c>
      <c r="D260" s="66">
        <f t="shared" si="31"/>
        <v>110463450.56125578</v>
      </c>
      <c r="E260" s="89">
        <f t="shared" si="32"/>
        <v>0.44999999999999996</v>
      </c>
      <c r="F260" s="147">
        <f t="shared" si="33"/>
        <v>9046.8595463803667</v>
      </c>
      <c r="G260" s="141">
        <f t="shared" si="34"/>
        <v>0.9993236204925604</v>
      </c>
      <c r="I260" s="66">
        <f t="shared" si="37"/>
        <v>49708552.752565101</v>
      </c>
      <c r="J260" s="66">
        <f t="shared" si="38"/>
        <v>9046.8595463803667</v>
      </c>
    </row>
    <row r="261" spans="1:10" x14ac:dyDescent="0.25">
      <c r="A261" s="66">
        <f t="shared" si="36"/>
        <v>49.930465934496183</v>
      </c>
      <c r="B261" s="146">
        <f t="shared" si="35"/>
        <v>225</v>
      </c>
      <c r="C261" s="141">
        <f t="shared" si="30"/>
        <v>1.4559843802193178E-4</v>
      </c>
      <c r="D261" s="66">
        <f t="shared" si="31"/>
        <v>110956590.9655471</v>
      </c>
      <c r="E261" s="89">
        <f t="shared" si="32"/>
        <v>0.44999999999999996</v>
      </c>
      <c r="F261" s="147">
        <f t="shared" si="33"/>
        <v>7269.7978497699187</v>
      </c>
      <c r="G261" s="141">
        <f t="shared" si="34"/>
        <v>0.99946921893058238</v>
      </c>
      <c r="I261" s="66">
        <f t="shared" si="37"/>
        <v>49930465.934496187</v>
      </c>
      <c r="J261" s="66">
        <f t="shared" si="38"/>
        <v>7269.7978497699187</v>
      </c>
    </row>
    <row r="262" spans="1:10" x14ac:dyDescent="0.25">
      <c r="A262" s="66">
        <f t="shared" si="36"/>
        <v>50.152379116427291</v>
      </c>
      <c r="B262" s="146">
        <f t="shared" si="35"/>
        <v>226</v>
      </c>
      <c r="C262" s="141">
        <f t="shared" si="30"/>
        <v>1.1596335771658255E-4</v>
      </c>
      <c r="D262" s="66">
        <f t="shared" si="31"/>
        <v>111449731.36983843</v>
      </c>
      <c r="E262" s="89">
        <f t="shared" si="32"/>
        <v>0.44999999999999996</v>
      </c>
      <c r="F262" s="147">
        <f t="shared" si="33"/>
        <v>5815.8382798159219</v>
      </c>
      <c r="G262" s="141">
        <f t="shared" si="34"/>
        <v>0.99958518228829896</v>
      </c>
      <c r="I262" s="66">
        <f t="shared" si="37"/>
        <v>50152379.116427287</v>
      </c>
      <c r="J262" s="66">
        <f t="shared" si="38"/>
        <v>5815.8382798159219</v>
      </c>
    </row>
    <row r="263" spans="1:10" x14ac:dyDescent="0.25">
      <c r="A263" s="66">
        <f t="shared" si="36"/>
        <v>50.374292298358384</v>
      </c>
      <c r="B263" s="146">
        <f t="shared" si="35"/>
        <v>227</v>
      </c>
      <c r="C263" s="141">
        <f t="shared" si="30"/>
        <v>9.1953323299492719E-5</v>
      </c>
      <c r="D263" s="66">
        <f t="shared" si="31"/>
        <v>111942871.77412975</v>
      </c>
      <c r="E263" s="89">
        <f t="shared" si="32"/>
        <v>0.44999999999999996</v>
      </c>
      <c r="F263" s="147">
        <f t="shared" si="33"/>
        <v>4632.0835856940939</v>
      </c>
      <c r="G263" s="141">
        <f t="shared" si="34"/>
        <v>0.99967713561159854</v>
      </c>
      <c r="I263" s="66">
        <f t="shared" si="37"/>
        <v>50374292.298358381</v>
      </c>
      <c r="J263" s="66">
        <f t="shared" si="38"/>
        <v>4632.0835856940939</v>
      </c>
    </row>
    <row r="264" spans="1:10" x14ac:dyDescent="0.25">
      <c r="A264" s="66">
        <f t="shared" si="36"/>
        <v>50.596205480289477</v>
      </c>
      <c r="B264" s="146">
        <f t="shared" si="35"/>
        <v>228</v>
      </c>
      <c r="C264" s="141">
        <f t="shared" si="30"/>
        <v>7.2594728920652451E-5</v>
      </c>
      <c r="D264" s="66">
        <f t="shared" si="31"/>
        <v>112436012.17842107</v>
      </c>
      <c r="E264" s="89">
        <f t="shared" si="32"/>
        <v>0.44999999999999996</v>
      </c>
      <c r="F264" s="147">
        <f t="shared" si="33"/>
        <v>3673.0178212552441</v>
      </c>
      <c r="G264" s="141">
        <f t="shared" si="34"/>
        <v>0.99974973034051917</v>
      </c>
      <c r="I264" s="66">
        <f t="shared" si="37"/>
        <v>50596205.480289474</v>
      </c>
      <c r="J264" s="66">
        <f t="shared" si="38"/>
        <v>3673.0178212552441</v>
      </c>
    </row>
    <row r="265" spans="1:10" x14ac:dyDescent="0.25">
      <c r="A265" s="66">
        <f t="shared" si="36"/>
        <v>50.81811866222057</v>
      </c>
      <c r="B265" s="146">
        <f t="shared" si="35"/>
        <v>229</v>
      </c>
      <c r="C265" s="141">
        <f t="shared" si="30"/>
        <v>5.7061358976931996E-5</v>
      </c>
      <c r="D265" s="66">
        <f t="shared" si="31"/>
        <v>112929152.58271238</v>
      </c>
      <c r="E265" s="89">
        <f t="shared" si="32"/>
        <v>0.44999999999999996</v>
      </c>
      <c r="F265" s="147">
        <f t="shared" si="33"/>
        <v>2899.7509115172952</v>
      </c>
      <c r="G265" s="141">
        <f t="shared" si="34"/>
        <v>0.99980679169949604</v>
      </c>
      <c r="I265" s="66">
        <f t="shared" si="37"/>
        <v>50818118.662220567</v>
      </c>
      <c r="J265" s="66">
        <f t="shared" si="38"/>
        <v>2899.7509115172952</v>
      </c>
    </row>
    <row r="266" spans="1:10" x14ac:dyDescent="0.25">
      <c r="A266" s="66">
        <f t="shared" si="36"/>
        <v>51.04003184415167</v>
      </c>
      <c r="B266" s="146">
        <f t="shared" si="35"/>
        <v>230</v>
      </c>
      <c r="C266" s="141">
        <f t="shared" si="30"/>
        <v>4.4656715721077044E-5</v>
      </c>
      <c r="D266" s="66">
        <f t="shared" si="31"/>
        <v>113422292.98700371</v>
      </c>
      <c r="E266" s="89">
        <f t="shared" si="32"/>
        <v>0.44999999999999996</v>
      </c>
      <c r="F266" s="147">
        <f t="shared" si="33"/>
        <v>2279.2801924590008</v>
      </c>
      <c r="G266" s="141">
        <f t="shared" si="34"/>
        <v>0.99985144841521711</v>
      </c>
      <c r="I266" s="66">
        <f t="shared" si="37"/>
        <v>51040031.844151668</v>
      </c>
      <c r="J266" s="66">
        <f t="shared" si="38"/>
        <v>2279.2801924590008</v>
      </c>
    </row>
    <row r="267" spans="1:10" x14ac:dyDescent="0.25">
      <c r="A267" s="66">
        <f t="shared" si="36"/>
        <v>51.261945026082763</v>
      </c>
      <c r="B267" s="146">
        <f t="shared" si="35"/>
        <v>231</v>
      </c>
      <c r="C267" s="141">
        <f t="shared" si="30"/>
        <v>3.4797440821618431E-5</v>
      </c>
      <c r="D267" s="66">
        <f t="shared" si="31"/>
        <v>113915433.39129503</v>
      </c>
      <c r="E267" s="89">
        <f t="shared" si="32"/>
        <v>0.44999999999999996</v>
      </c>
      <c r="F267" s="147">
        <f t="shared" si="33"/>
        <v>1783.7844984461722</v>
      </c>
      <c r="G267" s="141">
        <f t="shared" si="34"/>
        <v>0.99988624585603869</v>
      </c>
      <c r="I267" s="66">
        <f t="shared" si="37"/>
        <v>51261945.026082762</v>
      </c>
      <c r="J267" s="66">
        <f t="shared" si="38"/>
        <v>1783.7844984461722</v>
      </c>
    </row>
    <row r="268" spans="1:10" x14ac:dyDescent="0.25">
      <c r="A268" s="66">
        <f t="shared" si="36"/>
        <v>51.483858208013856</v>
      </c>
      <c r="B268" s="146">
        <f t="shared" si="35"/>
        <v>232</v>
      </c>
      <c r="C268" s="141">
        <f t="shared" si="30"/>
        <v>2.6998014430566017E-5</v>
      </c>
      <c r="D268" s="66">
        <f t="shared" si="31"/>
        <v>114408573.79558635</v>
      </c>
      <c r="E268" s="89">
        <f t="shared" si="32"/>
        <v>0.44999999999999996</v>
      </c>
      <c r="F268" s="147">
        <f t="shared" si="33"/>
        <v>1389.9619468411727</v>
      </c>
      <c r="G268" s="141">
        <f t="shared" si="34"/>
        <v>0.99991324387046931</v>
      </c>
      <c r="I268" s="66">
        <f t="shared" si="37"/>
        <v>51483858.208013855</v>
      </c>
      <c r="J268" s="66">
        <f t="shared" si="38"/>
        <v>1389.9619468411727</v>
      </c>
    </row>
    <row r="269" spans="1:10" x14ac:dyDescent="0.25">
      <c r="A269" s="66">
        <f t="shared" si="36"/>
        <v>51.705771389944942</v>
      </c>
      <c r="B269" s="146">
        <f t="shared" si="35"/>
        <v>233</v>
      </c>
      <c r="C269" s="141">
        <f t="shared" si="30"/>
        <v>2.0856835182411634E-5</v>
      </c>
      <c r="D269" s="66">
        <f t="shared" si="31"/>
        <v>114901714.19987766</v>
      </c>
      <c r="E269" s="89">
        <f t="shared" si="32"/>
        <v>0.44999999999999996</v>
      </c>
      <c r="F269" s="147">
        <f t="shared" si="33"/>
        <v>1078.4187518595365</v>
      </c>
      <c r="G269" s="141">
        <f t="shared" si="34"/>
        <v>0.9999341007056517</v>
      </c>
      <c r="I269" s="66">
        <f t="shared" si="37"/>
        <v>51705771.389944941</v>
      </c>
      <c r="J269" s="66">
        <f t="shared" si="38"/>
        <v>1078.4187518595365</v>
      </c>
    </row>
    <row r="270" spans="1:10" x14ac:dyDescent="0.25">
      <c r="A270" s="66">
        <f t="shared" si="36"/>
        <v>51.927684571876043</v>
      </c>
      <c r="B270" s="146">
        <f t="shared" si="35"/>
        <v>234</v>
      </c>
      <c r="C270" s="141">
        <f t="shared" si="30"/>
        <v>1.6043719371085756E-5</v>
      </c>
      <c r="D270" s="66">
        <f t="shared" si="31"/>
        <v>115394854.604169</v>
      </c>
      <c r="E270" s="89">
        <f t="shared" si="32"/>
        <v>0.44999999999999996</v>
      </c>
      <c r="F270" s="147">
        <f t="shared" si="33"/>
        <v>833.1131988614386</v>
      </c>
      <c r="G270" s="141">
        <f t="shared" si="34"/>
        <v>0.99995014442502284</v>
      </c>
      <c r="I270" s="66">
        <f t="shared" si="37"/>
        <v>51927684.571876042</v>
      </c>
      <c r="J270" s="66">
        <f t="shared" si="38"/>
        <v>833.1131988614386</v>
      </c>
    </row>
    <row r="271" spans="1:10" x14ac:dyDescent="0.25">
      <c r="A271" s="66">
        <f t="shared" si="36"/>
        <v>52.149597753807136</v>
      </c>
      <c r="B271" s="146">
        <f t="shared" si="35"/>
        <v>235</v>
      </c>
      <c r="C271" s="141">
        <f t="shared" si="30"/>
        <v>1.2288806326789063E-5</v>
      </c>
      <c r="D271" s="66">
        <f t="shared" si="31"/>
        <v>115887995.00846031</v>
      </c>
      <c r="E271" s="89">
        <f t="shared" si="32"/>
        <v>0.44999999999999996</v>
      </c>
      <c r="F271" s="147">
        <f t="shared" si="33"/>
        <v>640.85630681648979</v>
      </c>
      <c r="G271" s="141">
        <f t="shared" si="34"/>
        <v>0.99996243323134959</v>
      </c>
      <c r="I271" s="66">
        <f t="shared" si="37"/>
        <v>52149597.753807135</v>
      </c>
      <c r="J271" s="66">
        <f t="shared" si="38"/>
        <v>640.85630681648979</v>
      </c>
    </row>
    <row r="272" spans="1:10" x14ac:dyDescent="0.25">
      <c r="A272" s="66">
        <f t="shared" si="36"/>
        <v>52.371510935738229</v>
      </c>
      <c r="B272" s="146">
        <f t="shared" si="35"/>
        <v>236</v>
      </c>
      <c r="C272" s="141">
        <f t="shared" si="30"/>
        <v>9.3728183848390861E-6</v>
      </c>
      <c r="D272" s="66">
        <f t="shared" si="31"/>
        <v>116381135.41275163</v>
      </c>
      <c r="E272" s="89">
        <f t="shared" si="32"/>
        <v>0.44999999999999996</v>
      </c>
      <c r="F272" s="147">
        <f t="shared" si="33"/>
        <v>490.86866054028854</v>
      </c>
      <c r="G272" s="141">
        <f t="shared" si="34"/>
        <v>0.99997180604973446</v>
      </c>
      <c r="I272" s="66">
        <f t="shared" si="37"/>
        <v>52371510.935738228</v>
      </c>
      <c r="J272" s="66">
        <f t="shared" si="38"/>
        <v>490.86866054028854</v>
      </c>
    </row>
    <row r="273" spans="1:10" x14ac:dyDescent="0.25">
      <c r="A273" s="66">
        <f t="shared" si="36"/>
        <v>52.593424117669322</v>
      </c>
      <c r="B273" s="146">
        <f t="shared" si="35"/>
        <v>237</v>
      </c>
      <c r="C273" s="141">
        <f t="shared" si="30"/>
        <v>7.1185962416499844E-6</v>
      </c>
      <c r="D273" s="66">
        <f t="shared" si="31"/>
        <v>116874275.81704295</v>
      </c>
      <c r="E273" s="89">
        <f t="shared" si="32"/>
        <v>0.44999999999999996</v>
      </c>
      <c r="F273" s="147">
        <f t="shared" si="33"/>
        <v>374.39135125954448</v>
      </c>
      <c r="G273" s="141">
        <f t="shared" si="34"/>
        <v>0.99997892464597604</v>
      </c>
      <c r="I273" s="66">
        <f t="shared" si="37"/>
        <v>52593424.117669322</v>
      </c>
      <c r="J273" s="66">
        <f t="shared" si="38"/>
        <v>374.39135125954448</v>
      </c>
    </row>
    <row r="274" spans="1:10" x14ac:dyDescent="0.25">
      <c r="A274" s="66">
        <f t="shared" si="36"/>
        <v>52.815337299600422</v>
      </c>
      <c r="B274" s="146">
        <f t="shared" si="35"/>
        <v>238</v>
      </c>
      <c r="C274" s="141">
        <f t="shared" si="30"/>
        <v>5.3838122836008435E-6</v>
      </c>
      <c r="D274" s="66">
        <f t="shared" si="31"/>
        <v>117367416.22133428</v>
      </c>
      <c r="E274" s="89">
        <f t="shared" si="32"/>
        <v>0.44999999999999996</v>
      </c>
      <c r="F274" s="147">
        <f t="shared" si="33"/>
        <v>284.34786171611057</v>
      </c>
      <c r="G274" s="141">
        <f t="shared" si="34"/>
        <v>0.9999843084582597</v>
      </c>
      <c r="I274" s="66">
        <f t="shared" si="37"/>
        <v>52815337.299600422</v>
      </c>
      <c r="J274" s="66">
        <f t="shared" si="38"/>
        <v>284.34786171611057</v>
      </c>
    </row>
    <row r="275" spans="1:10" x14ac:dyDescent="0.25">
      <c r="A275" s="66">
        <f t="shared" si="36"/>
        <v>53.037250481531515</v>
      </c>
      <c r="B275" s="146">
        <f t="shared" si="35"/>
        <v>239</v>
      </c>
      <c r="C275" s="141">
        <f t="shared" si="30"/>
        <v>4.054754021121936E-6</v>
      </c>
      <c r="D275" s="66">
        <f t="shared" si="31"/>
        <v>117860556.6256256</v>
      </c>
      <c r="E275" s="89">
        <f t="shared" si="32"/>
        <v>0.44999999999999996</v>
      </c>
      <c r="F275" s="147">
        <f t="shared" si="33"/>
        <v>215.05300465924125</v>
      </c>
      <c r="G275" s="141">
        <f t="shared" si="34"/>
        <v>0.9999883632122808</v>
      </c>
      <c r="I275" s="66">
        <f t="shared" si="37"/>
        <v>53037250.481531516</v>
      </c>
      <c r="J275" s="66">
        <f t="shared" si="38"/>
        <v>215.05300465924125</v>
      </c>
    </row>
    <row r="276" spans="1:10" x14ac:dyDescent="0.25">
      <c r="A276" s="66">
        <f t="shared" si="36"/>
        <v>53.259163663462601</v>
      </c>
      <c r="B276" s="146">
        <f t="shared" si="35"/>
        <v>240</v>
      </c>
      <c r="C276" s="141">
        <f t="shared" si="30"/>
        <v>3.0410655158414852E-6</v>
      </c>
      <c r="D276" s="66">
        <f t="shared" si="31"/>
        <v>118353697.02991691</v>
      </c>
      <c r="E276" s="89">
        <f t="shared" si="32"/>
        <v>0.44999999999999996</v>
      </c>
      <c r="F276" s="147">
        <f t="shared" si="33"/>
        <v>161.96460601951398</v>
      </c>
      <c r="G276" s="141">
        <f t="shared" si="34"/>
        <v>0.99999140427779665</v>
      </c>
      <c r="I276" s="66">
        <f t="shared" si="37"/>
        <v>53259163.663462602</v>
      </c>
      <c r="J276" s="66">
        <f t="shared" si="38"/>
        <v>161.96460601951398</v>
      </c>
    </row>
    <row r="277" spans="1:10" x14ac:dyDescent="0.25">
      <c r="A277" s="66">
        <f t="shared" si="36"/>
        <v>53.481076845393694</v>
      </c>
      <c r="B277" s="146">
        <f t="shared" si="35"/>
        <v>241</v>
      </c>
      <c r="C277" s="141">
        <f t="shared" si="30"/>
        <v>2.2713352400475589E-6</v>
      </c>
      <c r="D277" s="66">
        <f t="shared" si="31"/>
        <v>118846837.43420823</v>
      </c>
      <c r="E277" s="89">
        <f t="shared" si="32"/>
        <v>0.44999999999999996</v>
      </c>
      <c r="F277" s="147">
        <f t="shared" si="33"/>
        <v>121.47345451463423</v>
      </c>
      <c r="G277" s="141">
        <f t="shared" si="34"/>
        <v>0.99999367561303676</v>
      </c>
      <c r="I277" s="66">
        <f t="shared" si="37"/>
        <v>53481076.845393695</v>
      </c>
      <c r="J277" s="66">
        <f t="shared" si="38"/>
        <v>121.47345451463423</v>
      </c>
    </row>
    <row r="278" spans="1:10" x14ac:dyDescent="0.25">
      <c r="A278" s="66">
        <f t="shared" si="36"/>
        <v>53.702990027324795</v>
      </c>
      <c r="B278" s="146">
        <f t="shared" si="35"/>
        <v>242</v>
      </c>
      <c r="C278" s="141">
        <f t="shared" si="30"/>
        <v>1.689422905820508E-6</v>
      </c>
      <c r="D278" s="66">
        <f t="shared" si="31"/>
        <v>119339977.83849956</v>
      </c>
      <c r="E278" s="89">
        <f t="shared" si="32"/>
        <v>0.44999999999999996</v>
      </c>
      <c r="F278" s="147">
        <f t="shared" si="33"/>
        <v>90.72706146321282</v>
      </c>
      <c r="G278" s="141">
        <f t="shared" si="34"/>
        <v>0.99999536503594255</v>
      </c>
      <c r="I278" s="66">
        <f t="shared" si="37"/>
        <v>53702990.027324796</v>
      </c>
      <c r="J278" s="66">
        <f t="shared" si="38"/>
        <v>90.72706146321282</v>
      </c>
    </row>
    <row r="279" spans="1:10" x14ac:dyDescent="0.25">
      <c r="A279" s="66">
        <f t="shared" si="36"/>
        <v>53.924903209255888</v>
      </c>
      <c r="B279" s="146">
        <f t="shared" si="35"/>
        <v>243</v>
      </c>
      <c r="C279" s="141">
        <f t="shared" si="30"/>
        <v>1.251424374681857E-6</v>
      </c>
      <c r="D279" s="66">
        <f t="shared" si="31"/>
        <v>119833118.24279088</v>
      </c>
      <c r="E279" s="89">
        <f t="shared" si="32"/>
        <v>0.44999999999999996</v>
      </c>
      <c r="F279" s="147">
        <f t="shared" si="33"/>
        <v>67.482938278422708</v>
      </c>
      <c r="G279" s="141">
        <f t="shared" si="34"/>
        <v>0.99999661646031723</v>
      </c>
      <c r="I279" s="66">
        <f t="shared" si="37"/>
        <v>53924903.209255889</v>
      </c>
      <c r="J279" s="66">
        <f t="shared" si="38"/>
        <v>67.482938278422708</v>
      </c>
    </row>
    <row r="280" spans="1:10" x14ac:dyDescent="0.25">
      <c r="A280" s="66">
        <f t="shared" si="36"/>
        <v>54.146816391186981</v>
      </c>
      <c r="B280" s="146">
        <f t="shared" si="35"/>
        <v>244</v>
      </c>
      <c r="C280" s="141">
        <f t="shared" si="30"/>
        <v>9.2318191574892001E-7</v>
      </c>
      <c r="D280" s="66">
        <f t="shared" si="31"/>
        <v>120326258.64708219</v>
      </c>
      <c r="E280" s="89">
        <f t="shared" si="32"/>
        <v>0.44999999999999996</v>
      </c>
      <c r="F280" s="147">
        <f t="shared" si="33"/>
        <v>49.98736168772102</v>
      </c>
      <c r="G280" s="141">
        <f t="shared" si="34"/>
        <v>0.99999753964223292</v>
      </c>
      <c r="I280" s="66">
        <f t="shared" si="37"/>
        <v>54146816.391186982</v>
      </c>
      <c r="J280" s="66">
        <f t="shared" si="38"/>
        <v>49.98736168772102</v>
      </c>
    </row>
    <row r="281" spans="1:10" x14ac:dyDescent="0.25">
      <c r="A281" s="66">
        <f t="shared" si="36"/>
        <v>54.368729573118074</v>
      </c>
      <c r="B281" s="146">
        <f t="shared" si="35"/>
        <v>245</v>
      </c>
      <c r="C281" s="141">
        <f t="shared" si="30"/>
        <v>6.7825610136654422E-7</v>
      </c>
      <c r="D281" s="66">
        <f t="shared" si="31"/>
        <v>120819399.05137351</v>
      </c>
      <c r="E281" s="89">
        <f t="shared" si="32"/>
        <v>0.44999999999999996</v>
      </c>
      <c r="F281" s="147">
        <f t="shared" si="33"/>
        <v>36.875922556515007</v>
      </c>
      <c r="G281" s="141">
        <f t="shared" si="34"/>
        <v>0.99999821789833432</v>
      </c>
      <c r="I281" s="66">
        <f t="shared" si="37"/>
        <v>54368729.573118076</v>
      </c>
      <c r="J281" s="66">
        <f t="shared" si="38"/>
        <v>36.875922556515007</v>
      </c>
    </row>
    <row r="282" spans="1:10" x14ac:dyDescent="0.25">
      <c r="A282" s="66">
        <f t="shared" si="36"/>
        <v>54.590642755049174</v>
      </c>
      <c r="B282" s="146">
        <f t="shared" si="35"/>
        <v>246</v>
      </c>
      <c r="C282" s="141">
        <f t="shared" si="30"/>
        <v>4.9628495221942967E-7</v>
      </c>
      <c r="D282" s="66">
        <f t="shared" si="31"/>
        <v>121312539.45566484</v>
      </c>
      <c r="E282" s="89">
        <f t="shared" si="32"/>
        <v>0.44999999999999996</v>
      </c>
      <c r="F282" s="147">
        <f t="shared" si="33"/>
        <v>27.092514531317534</v>
      </c>
      <c r="G282" s="141">
        <f t="shared" si="34"/>
        <v>0.99999871418328656</v>
      </c>
      <c r="I282" s="66">
        <f t="shared" si="37"/>
        <v>54590642.755049177</v>
      </c>
      <c r="J282" s="66">
        <f t="shared" si="38"/>
        <v>27.092514531317534</v>
      </c>
    </row>
    <row r="283" spans="1:10" x14ac:dyDescent="0.25">
      <c r="A283" s="66">
        <f t="shared" si="36"/>
        <v>54.812555936980267</v>
      </c>
      <c r="B283" s="146">
        <f t="shared" si="35"/>
        <v>247</v>
      </c>
      <c r="C283" s="141">
        <f t="shared" si="30"/>
        <v>3.6166514736638056E-7</v>
      </c>
      <c r="D283" s="66">
        <f t="shared" si="31"/>
        <v>121805679.85995616</v>
      </c>
      <c r="E283" s="89">
        <f t="shared" si="32"/>
        <v>0.44999999999999996</v>
      </c>
      <c r="F283" s="147">
        <f t="shared" si="33"/>
        <v>19.823791120475946</v>
      </c>
      <c r="G283" s="141">
        <f t="shared" si="34"/>
        <v>0.99999907584843384</v>
      </c>
      <c r="I283" s="66">
        <f t="shared" si="37"/>
        <v>54812555.93698027</v>
      </c>
      <c r="J283" s="66">
        <f t="shared" si="38"/>
        <v>19.823791120475946</v>
      </c>
    </row>
    <row r="284" spans="1:10" x14ac:dyDescent="0.25">
      <c r="A284" s="66">
        <f t="shared" si="36"/>
        <v>55.034469118911353</v>
      </c>
      <c r="B284" s="146">
        <f t="shared" si="35"/>
        <v>248</v>
      </c>
      <c r="C284" s="141">
        <f t="shared" si="30"/>
        <v>2.6249889728205292E-7</v>
      </c>
      <c r="D284" s="66">
        <f t="shared" si="31"/>
        <v>122298820.26424748</v>
      </c>
      <c r="E284" s="89">
        <f t="shared" si="32"/>
        <v>0.44999999999999996</v>
      </c>
      <c r="F284" s="147">
        <f t="shared" si="33"/>
        <v>14.446487456217426</v>
      </c>
      <c r="G284" s="141">
        <f t="shared" si="34"/>
        <v>0.99999933834733112</v>
      </c>
      <c r="I284" s="66">
        <f t="shared" si="37"/>
        <v>55034469.118911356</v>
      </c>
      <c r="J284" s="66">
        <f t="shared" si="38"/>
        <v>14.446487456217426</v>
      </c>
    </row>
    <row r="285" spans="1:10" x14ac:dyDescent="0.25">
      <c r="A285" s="66">
        <f t="shared" si="36"/>
        <v>55.256382300842446</v>
      </c>
      <c r="B285" s="146">
        <f t="shared" si="35"/>
        <v>249</v>
      </c>
      <c r="C285" s="141">
        <f t="shared" si="30"/>
        <v>1.8975823899907397E-7</v>
      </c>
      <c r="D285" s="66">
        <f t="shared" si="31"/>
        <v>122791960.66853879</v>
      </c>
      <c r="E285" s="89">
        <f t="shared" si="32"/>
        <v>0.44999999999999996</v>
      </c>
      <c r="F285" s="147">
        <f t="shared" si="33"/>
        <v>10.485353798867463</v>
      </c>
      <c r="G285" s="141">
        <f t="shared" si="34"/>
        <v>0.99999952810557025</v>
      </c>
      <c r="I285" s="66">
        <f t="shared" si="37"/>
        <v>55256382.300842449</v>
      </c>
      <c r="J285" s="66">
        <f t="shared" si="38"/>
        <v>10.485353798867463</v>
      </c>
    </row>
    <row r="286" spans="1:10" x14ac:dyDescent="0.25">
      <c r="A286" s="66">
        <f t="shared" si="36"/>
        <v>55.478295482773547</v>
      </c>
      <c r="B286" s="146">
        <f t="shared" si="35"/>
        <v>250</v>
      </c>
      <c r="C286" s="141">
        <f t="shared" si="30"/>
        <v>1.3662593207933209E-7</v>
      </c>
      <c r="D286" s="66">
        <f t="shared" si="31"/>
        <v>123285101.07283013</v>
      </c>
      <c r="E286" s="89">
        <f t="shared" si="32"/>
        <v>0.44999999999999996</v>
      </c>
      <c r="F286" s="147">
        <f t="shared" si="33"/>
        <v>7.579773830506535</v>
      </c>
      <c r="G286" s="141">
        <f t="shared" si="34"/>
        <v>0.99999966473150226</v>
      </c>
      <c r="I286" s="66">
        <f t="shared" si="37"/>
        <v>55478295.48277355</v>
      </c>
      <c r="J286" s="66">
        <f t="shared" si="38"/>
        <v>7.579773830506535</v>
      </c>
    </row>
    <row r="287" spans="1:10" x14ac:dyDescent="0.25">
      <c r="A287" s="66">
        <f t="shared" si="36"/>
        <v>55.70020866470464</v>
      </c>
      <c r="B287" s="146">
        <f t="shared" si="35"/>
        <v>251</v>
      </c>
      <c r="C287" s="141">
        <f t="shared" si="30"/>
        <v>9.7978756072828616E-8</v>
      </c>
      <c r="D287" s="66">
        <f t="shared" si="31"/>
        <v>123778241.47712144</v>
      </c>
      <c r="E287" s="89">
        <f t="shared" si="32"/>
        <v>0.44999999999999996</v>
      </c>
      <c r="F287" s="147">
        <f t="shared" si="33"/>
        <v>5.4574371579647512</v>
      </c>
      <c r="I287" s="66">
        <f t="shared" si="37"/>
        <v>55700208.664704643</v>
      </c>
      <c r="J287" s="66">
        <f t="shared" si="38"/>
        <v>5.4574371579647512</v>
      </c>
    </row>
    <row r="288" spans="1:10" x14ac:dyDescent="0.25">
      <c r="A288" s="66">
        <f t="shared" si="36"/>
        <v>55.92212184663574</v>
      </c>
      <c r="B288" s="146">
        <f t="shared" si="35"/>
        <v>252</v>
      </c>
      <c r="C288" s="141">
        <f t="shared" si="30"/>
        <v>6.9984825766306566E-8</v>
      </c>
      <c r="D288" s="66">
        <f t="shared" si="31"/>
        <v>124271381.88141276</v>
      </c>
      <c r="E288" s="89">
        <f t="shared" si="32"/>
        <v>0.44999999999999996</v>
      </c>
      <c r="F288" s="147">
        <f t="shared" si="33"/>
        <v>3.9136999539189681</v>
      </c>
      <c r="I288" s="66">
        <f t="shared" si="37"/>
        <v>55922121.846635737</v>
      </c>
      <c r="J288" s="66">
        <f t="shared" si="38"/>
        <v>3.9136999539189681</v>
      </c>
    </row>
    <row r="289" spans="1:10" x14ac:dyDescent="0.25">
      <c r="A289" s="66">
        <f t="shared" si="36"/>
        <v>56.144035028566833</v>
      </c>
      <c r="B289" s="146">
        <f t="shared" si="35"/>
        <v>253</v>
      </c>
      <c r="C289" s="141">
        <f t="shared" si="30"/>
        <v>4.9791575644012511E-8</v>
      </c>
      <c r="D289" s="66">
        <f t="shared" si="31"/>
        <v>124764522.28570408</v>
      </c>
      <c r="E289" s="89">
        <f t="shared" si="32"/>
        <v>0.44999999999999996</v>
      </c>
      <c r="F289" s="147">
        <f t="shared" si="33"/>
        <v>2.7954999670849734</v>
      </c>
      <c r="I289" s="66">
        <f t="shared" si="37"/>
        <v>56144035.02856683</v>
      </c>
      <c r="J289" s="66">
        <f t="shared" si="38"/>
        <v>2.7954999670849734</v>
      </c>
    </row>
    <row r="290" spans="1:10" x14ac:dyDescent="0.25">
      <c r="A290" s="66">
        <f t="shared" si="36"/>
        <v>56.365948210497933</v>
      </c>
      <c r="B290" s="146">
        <f t="shared" si="35"/>
        <v>254</v>
      </c>
      <c r="C290" s="141">
        <f t="shared" si="30"/>
        <v>3.5285368566622881E-8</v>
      </c>
      <c r="D290" s="66">
        <f t="shared" si="31"/>
        <v>125257662.68999541</v>
      </c>
      <c r="E290" s="89">
        <f t="shared" si="32"/>
        <v>0.44999999999999996</v>
      </c>
      <c r="F290" s="147">
        <f t="shared" si="33"/>
        <v>1.988893257214597</v>
      </c>
      <c r="I290" s="66">
        <f t="shared" si="37"/>
        <v>56365948.210497931</v>
      </c>
      <c r="J290" s="66">
        <f t="shared" si="38"/>
        <v>1.988893257214597</v>
      </c>
    </row>
    <row r="291" spans="1:10" x14ac:dyDescent="0.25">
      <c r="A291" s="66">
        <f t="shared" si="36"/>
        <v>56.587861392429026</v>
      </c>
      <c r="B291" s="146">
        <f t="shared" si="35"/>
        <v>255</v>
      </c>
      <c r="C291" s="141">
        <f t="shared" si="30"/>
        <v>2.4907318988204479E-8</v>
      </c>
      <c r="D291" s="66">
        <f t="shared" si="31"/>
        <v>125750803.09428672</v>
      </c>
      <c r="E291" s="89">
        <f t="shared" si="32"/>
        <v>0.44999999999999996</v>
      </c>
      <c r="F291" s="147">
        <f t="shared" si="33"/>
        <v>1.4094519145615305</v>
      </c>
      <c r="I291" s="66">
        <f t="shared" si="37"/>
        <v>56587861.392429024</v>
      </c>
      <c r="J291" s="66">
        <f t="shared" si="38"/>
        <v>1.4094519145615305</v>
      </c>
    </row>
    <row r="292" spans="1:10" x14ac:dyDescent="0.25">
      <c r="A292" s="66">
        <f t="shared" si="36"/>
        <v>56.809774574360112</v>
      </c>
      <c r="B292" s="146">
        <f t="shared" si="35"/>
        <v>256</v>
      </c>
      <c r="C292" s="141">
        <f t="shared" ref="C292:C355" si="39">POISSON(B292,$C$33,0)</f>
        <v>1.7512958663581307E-8</v>
      </c>
      <c r="D292" s="66">
        <f t="shared" ref="D292:D355" si="40">+B292*$C$32</f>
        <v>126243943.49857804</v>
      </c>
      <c r="E292" s="89">
        <f t="shared" ref="E292:E355" si="41">1-$E$34</f>
        <v>0.44999999999999996</v>
      </c>
      <c r="F292" s="147">
        <f t="shared" ref="F292:F355" si="42">+D292*E292*C292</f>
        <v>0.99490723380814095</v>
      </c>
      <c r="I292" s="66">
        <f t="shared" si="37"/>
        <v>56809774.57436011</v>
      </c>
      <c r="J292" s="66">
        <f t="shared" si="38"/>
        <v>0.99490723380814095</v>
      </c>
    </row>
    <row r="293" spans="1:10" x14ac:dyDescent="0.25">
      <c r="A293" s="66">
        <f t="shared" si="36"/>
        <v>57.031687756291205</v>
      </c>
      <c r="B293" s="146">
        <f t="shared" ref="B293:B356" si="43">+B292+1</f>
        <v>257</v>
      </c>
      <c r="C293" s="141">
        <f t="shared" si="39"/>
        <v>1.2265885445309823E-8</v>
      </c>
      <c r="D293" s="66">
        <f t="shared" si="40"/>
        <v>126737083.90286936</v>
      </c>
      <c r="E293" s="89">
        <f t="shared" si="41"/>
        <v>0.44999999999999996</v>
      </c>
      <c r="F293" s="147">
        <f t="shared" si="42"/>
        <v>0.69954414877134663</v>
      </c>
      <c r="I293" s="66">
        <f t="shared" si="37"/>
        <v>57031687.756291203</v>
      </c>
      <c r="J293" s="66">
        <f t="shared" si="38"/>
        <v>0.69954414877134663</v>
      </c>
    </row>
    <row r="294" spans="1:10" x14ac:dyDescent="0.25">
      <c r="A294" s="66">
        <f t="shared" ref="A294:A357" si="44">D294*E294/1000000</f>
        <v>57.253600938222299</v>
      </c>
      <c r="B294" s="146">
        <f t="shared" si="43"/>
        <v>258</v>
      </c>
      <c r="C294" s="141">
        <f t="shared" si="39"/>
        <v>8.557594496727744E-9</v>
      </c>
      <c r="D294" s="66">
        <f t="shared" si="40"/>
        <v>127230224.30716068</v>
      </c>
      <c r="E294" s="89">
        <f t="shared" si="41"/>
        <v>0.44999999999999996</v>
      </c>
      <c r="F294" s="147">
        <f t="shared" si="42"/>
        <v>0.48995310030677752</v>
      </c>
      <c r="I294" s="66">
        <f t="shared" si="37"/>
        <v>57253600.938222297</v>
      </c>
      <c r="J294" s="66">
        <f t="shared" si="38"/>
        <v>0.48995310030677752</v>
      </c>
    </row>
    <row r="295" spans="1:10" x14ac:dyDescent="0.25">
      <c r="A295" s="66">
        <f t="shared" si="44"/>
        <v>57.475514120153399</v>
      </c>
      <c r="B295" s="146">
        <f t="shared" si="43"/>
        <v>259</v>
      </c>
      <c r="C295" s="141">
        <f t="shared" si="39"/>
        <v>5.9473629706989062E-9</v>
      </c>
      <c r="D295" s="66">
        <f t="shared" si="40"/>
        <v>127723364.71145201</v>
      </c>
      <c r="E295" s="89">
        <f t="shared" si="41"/>
        <v>0.44999999999999996</v>
      </c>
      <c r="F295" s="147">
        <f t="shared" si="42"/>
        <v>0.34182774440008246</v>
      </c>
      <c r="I295" s="66">
        <f t="shared" si="37"/>
        <v>57475514.120153397</v>
      </c>
      <c r="J295" s="66">
        <f t="shared" si="38"/>
        <v>0.34182774440008246</v>
      </c>
    </row>
    <row r="296" spans="1:10" x14ac:dyDescent="0.25">
      <c r="A296" s="66">
        <f t="shared" si="44"/>
        <v>57.697427302084492</v>
      </c>
      <c r="B296" s="146">
        <f t="shared" si="43"/>
        <v>260</v>
      </c>
      <c r="C296" s="141">
        <f t="shared" si="39"/>
        <v>4.1174051335607331E-9</v>
      </c>
      <c r="D296" s="66">
        <f t="shared" si="40"/>
        <v>128216505.11574332</v>
      </c>
      <c r="E296" s="89">
        <f t="shared" si="41"/>
        <v>0.44999999999999996</v>
      </c>
      <c r="F296" s="147">
        <f t="shared" si="42"/>
        <v>0.23756368336684988</v>
      </c>
      <c r="I296" s="66">
        <f t="shared" si="37"/>
        <v>57697427.302084491</v>
      </c>
      <c r="J296" s="66">
        <f t="shared" si="38"/>
        <v>0.23756368336684988</v>
      </c>
    </row>
    <row r="297" spans="1:10" x14ac:dyDescent="0.25">
      <c r="A297" s="66">
        <f t="shared" si="44"/>
        <v>57.919340484015585</v>
      </c>
      <c r="B297" s="146">
        <f t="shared" si="43"/>
        <v>261</v>
      </c>
      <c r="C297" s="141">
        <f t="shared" si="39"/>
        <v>2.8395897472832366E-9</v>
      </c>
      <c r="D297" s="66">
        <f t="shared" si="40"/>
        <v>128709645.52003464</v>
      </c>
      <c r="E297" s="89">
        <f t="shared" si="41"/>
        <v>0.44999999999999996</v>
      </c>
      <c r="F297" s="147">
        <f t="shared" si="42"/>
        <v>0.16446716540781756</v>
      </c>
      <c r="I297" s="66">
        <f t="shared" si="37"/>
        <v>57919340.484015584</v>
      </c>
      <c r="J297" s="66">
        <f t="shared" si="38"/>
        <v>0.16446716540781756</v>
      </c>
    </row>
    <row r="298" spans="1:10" x14ac:dyDescent="0.25">
      <c r="A298" s="66">
        <f t="shared" si="44"/>
        <v>58.141253665946678</v>
      </c>
      <c r="B298" s="146">
        <f t="shared" si="43"/>
        <v>262</v>
      </c>
      <c r="C298" s="141">
        <f t="shared" si="39"/>
        <v>1.9508631851564439E-9</v>
      </c>
      <c r="D298" s="66">
        <f t="shared" si="40"/>
        <v>129202785.92432596</v>
      </c>
      <c r="E298" s="89">
        <f t="shared" si="41"/>
        <v>0.44999999999999996</v>
      </c>
      <c r="F298" s="147">
        <f t="shared" si="42"/>
        <v>0.1134256313157375</v>
      </c>
      <c r="I298" s="66">
        <f t="shared" si="37"/>
        <v>58141253.665946677</v>
      </c>
      <c r="J298" s="66">
        <f t="shared" si="38"/>
        <v>0.1134256313157375</v>
      </c>
    </row>
    <row r="299" spans="1:10" x14ac:dyDescent="0.25">
      <c r="A299" s="66">
        <f t="shared" si="44"/>
        <v>58.363166847877778</v>
      </c>
      <c r="B299" s="146">
        <f t="shared" si="43"/>
        <v>263</v>
      </c>
      <c r="C299" s="141">
        <f t="shared" si="39"/>
        <v>1.3351915335671556E-9</v>
      </c>
      <c r="D299" s="66">
        <f t="shared" si="40"/>
        <v>129695926.32861729</v>
      </c>
      <c r="E299" s="89">
        <f t="shared" si="41"/>
        <v>0.44999999999999996</v>
      </c>
      <c r="F299" s="147">
        <f t="shared" si="42"/>
        <v>7.7926006247453702E-2</v>
      </c>
      <c r="I299" s="66">
        <f t="shared" si="37"/>
        <v>58363166.847877778</v>
      </c>
      <c r="J299" s="66">
        <f t="shared" si="38"/>
        <v>7.7926006247453702E-2</v>
      </c>
    </row>
    <row r="300" spans="1:10" x14ac:dyDescent="0.25">
      <c r="A300" s="66">
        <f t="shared" si="44"/>
        <v>58.585080029808864</v>
      </c>
      <c r="B300" s="146">
        <f t="shared" si="43"/>
        <v>264</v>
      </c>
      <c r="C300" s="141">
        <f t="shared" si="39"/>
        <v>9.103578637957778E-10</v>
      </c>
      <c r="D300" s="66">
        <f t="shared" si="40"/>
        <v>130189066.73290861</v>
      </c>
      <c r="E300" s="89">
        <f t="shared" si="41"/>
        <v>0.44999999999999996</v>
      </c>
      <c r="F300" s="147">
        <f t="shared" si="42"/>
        <v>5.3333388306241479E-2</v>
      </c>
      <c r="I300" s="66">
        <f t="shared" si="37"/>
        <v>58585080.029808864</v>
      </c>
      <c r="J300" s="66">
        <f t="shared" si="38"/>
        <v>5.3333388306241479E-2</v>
      </c>
    </row>
    <row r="301" spans="1:10" x14ac:dyDescent="0.25">
      <c r="A301" s="66">
        <f t="shared" si="44"/>
        <v>58.806993211739957</v>
      </c>
      <c r="B301" s="146">
        <f t="shared" si="43"/>
        <v>265</v>
      </c>
      <c r="C301" s="141">
        <f t="shared" si="39"/>
        <v>6.183562848424219E-10</v>
      </c>
      <c r="D301" s="66">
        <f t="shared" si="40"/>
        <v>130682207.13719992</v>
      </c>
      <c r="E301" s="89">
        <f t="shared" si="41"/>
        <v>0.44999999999999996</v>
      </c>
      <c r="F301" s="147">
        <f t="shared" si="42"/>
        <v>3.6363673845165041E-2</v>
      </c>
      <c r="I301" s="66">
        <f t="shared" si="37"/>
        <v>58806993.211739957</v>
      </c>
      <c r="J301" s="66">
        <f t="shared" si="38"/>
        <v>3.6363673845165041E-2</v>
      </c>
    </row>
    <row r="302" spans="1:10" x14ac:dyDescent="0.25">
      <c r="A302" s="66">
        <f t="shared" si="44"/>
        <v>59.028906393671051</v>
      </c>
      <c r="B302" s="146">
        <f t="shared" si="43"/>
        <v>266</v>
      </c>
      <c r="C302" s="141">
        <f t="shared" si="39"/>
        <v>4.1843658372795172E-10</v>
      </c>
      <c r="D302" s="66">
        <f t="shared" si="40"/>
        <v>131175347.54149124</v>
      </c>
      <c r="E302" s="89">
        <f t="shared" si="41"/>
        <v>0.44999999999999996</v>
      </c>
      <c r="F302" s="147">
        <f t="shared" si="42"/>
        <v>2.4699853932564762E-2</v>
      </c>
      <c r="I302" s="66">
        <f t="shared" si="37"/>
        <v>59028906.393671051</v>
      </c>
      <c r="J302" s="66">
        <f t="shared" si="38"/>
        <v>2.4699853932564762E-2</v>
      </c>
    </row>
    <row r="303" spans="1:10" x14ac:dyDescent="0.25">
      <c r="A303" s="66">
        <f t="shared" si="44"/>
        <v>59.250819575602151</v>
      </c>
      <c r="B303" s="146">
        <f t="shared" si="43"/>
        <v>267</v>
      </c>
      <c r="C303" s="141">
        <f t="shared" si="39"/>
        <v>2.8209207891771711E-10</v>
      </c>
      <c r="D303" s="66">
        <f t="shared" si="40"/>
        <v>131668487.94578257</v>
      </c>
      <c r="E303" s="89">
        <f t="shared" si="41"/>
        <v>0.44999999999999996</v>
      </c>
      <c r="F303" s="147">
        <f t="shared" si="42"/>
        <v>1.671418687166018E-2</v>
      </c>
      <c r="I303" s="66">
        <f t="shared" si="37"/>
        <v>59250819.575602151</v>
      </c>
      <c r="J303" s="66">
        <f t="shared" si="38"/>
        <v>1.671418687166018E-2</v>
      </c>
    </row>
    <row r="304" spans="1:10" x14ac:dyDescent="0.25">
      <c r="A304" s="66">
        <f t="shared" si="44"/>
        <v>59.472732757533244</v>
      </c>
      <c r="B304" s="146">
        <f t="shared" si="43"/>
        <v>268</v>
      </c>
      <c r="C304" s="141">
        <f t="shared" si="39"/>
        <v>1.8946482912384039E-10</v>
      </c>
      <c r="D304" s="66">
        <f t="shared" si="40"/>
        <v>132161628.35007389</v>
      </c>
      <c r="E304" s="89">
        <f t="shared" si="41"/>
        <v>0.44999999999999996</v>
      </c>
      <c r="F304" s="147">
        <f t="shared" si="42"/>
        <v>1.1267991149433861E-2</v>
      </c>
      <c r="I304" s="66">
        <f t="shared" si="37"/>
        <v>59472732.757533245</v>
      </c>
      <c r="J304" s="66">
        <f t="shared" si="38"/>
        <v>1.1267991149433861E-2</v>
      </c>
    </row>
    <row r="305" spans="1:10" x14ac:dyDescent="0.25">
      <c r="A305" s="66">
        <f t="shared" si="44"/>
        <v>59.694645939464337</v>
      </c>
      <c r="B305" s="146">
        <f t="shared" si="43"/>
        <v>269</v>
      </c>
      <c r="C305" s="141">
        <f t="shared" si="39"/>
        <v>1.2677943956242222E-10</v>
      </c>
      <c r="D305" s="66">
        <f t="shared" si="40"/>
        <v>132654768.75436521</v>
      </c>
      <c r="E305" s="89">
        <f t="shared" si="41"/>
        <v>0.44999999999999996</v>
      </c>
      <c r="F305" s="147">
        <f t="shared" si="42"/>
        <v>7.5680537570825121E-3</v>
      </c>
      <c r="I305" s="66">
        <f t="shared" si="37"/>
        <v>59694645.939464338</v>
      </c>
      <c r="J305" s="66">
        <f t="shared" si="38"/>
        <v>7.5680537570825121E-3</v>
      </c>
    </row>
    <row r="306" spans="1:10" x14ac:dyDescent="0.25">
      <c r="A306" s="66">
        <f t="shared" si="44"/>
        <v>59.91655912139543</v>
      </c>
      <c r="B306" s="146">
        <f t="shared" si="43"/>
        <v>270</v>
      </c>
      <c r="C306" s="141">
        <f t="shared" si="39"/>
        <v>8.4519626374948073E-11</v>
      </c>
      <c r="D306" s="66">
        <f t="shared" si="40"/>
        <v>133147909.15865652</v>
      </c>
      <c r="E306" s="89">
        <f t="shared" si="41"/>
        <v>0.44999999999999996</v>
      </c>
      <c r="F306" s="147">
        <f t="shared" si="42"/>
        <v>5.0641251906128285E-3</v>
      </c>
      <c r="I306" s="66">
        <f t="shared" si="37"/>
        <v>59916559.121395431</v>
      </c>
      <c r="J306" s="66">
        <f t="shared" si="38"/>
        <v>5.0641251906128285E-3</v>
      </c>
    </row>
    <row r="307" spans="1:10" x14ac:dyDescent="0.25">
      <c r="A307" s="66">
        <f t="shared" si="44"/>
        <v>60.13847230332653</v>
      </c>
      <c r="B307" s="146">
        <f t="shared" si="43"/>
        <v>271</v>
      </c>
      <c r="C307" s="141">
        <f t="shared" si="39"/>
        <v>5.6138497223213251E-11</v>
      </c>
      <c r="D307" s="66">
        <f t="shared" si="40"/>
        <v>133641049.56294785</v>
      </c>
      <c r="E307" s="89">
        <f t="shared" si="41"/>
        <v>0.44999999999999996</v>
      </c>
      <c r="F307" s="147">
        <f t="shared" si="42"/>
        <v>3.3760834604085834E-3</v>
      </c>
      <c r="I307" s="66">
        <f t="shared" si="37"/>
        <v>60138472.303326532</v>
      </c>
      <c r="J307" s="66">
        <f t="shared" si="38"/>
        <v>3.3760834604085834E-3</v>
      </c>
    </row>
    <row r="308" spans="1:10" x14ac:dyDescent="0.25">
      <c r="A308" s="66">
        <f t="shared" si="44"/>
        <v>60.360385485257616</v>
      </c>
      <c r="B308" s="146">
        <f t="shared" si="43"/>
        <v>272</v>
      </c>
      <c r="C308" s="141">
        <f t="shared" si="39"/>
        <v>3.7150476103597372E-11</v>
      </c>
      <c r="D308" s="66">
        <f t="shared" si="40"/>
        <v>134134189.96723917</v>
      </c>
      <c r="E308" s="89">
        <f t="shared" si="41"/>
        <v>0.44999999999999996</v>
      </c>
      <c r="F308" s="147">
        <f t="shared" si="42"/>
        <v>2.242417058573989E-3</v>
      </c>
      <c r="I308" s="66">
        <f t="shared" si="37"/>
        <v>60360385.485257618</v>
      </c>
      <c r="J308" s="66">
        <f t="shared" si="38"/>
        <v>2.242417058573989E-3</v>
      </c>
    </row>
    <row r="309" spans="1:10" x14ac:dyDescent="0.25">
      <c r="A309" s="66">
        <f t="shared" si="44"/>
        <v>60.582298667188716</v>
      </c>
      <c r="B309" s="146">
        <f t="shared" si="43"/>
        <v>273</v>
      </c>
      <c r="C309" s="141">
        <f t="shared" si="39"/>
        <v>2.4494819408965059E-11</v>
      </c>
      <c r="D309" s="66">
        <f t="shared" si="40"/>
        <v>134627330.3715305</v>
      </c>
      <c r="E309" s="89">
        <f t="shared" si="41"/>
        <v>0.44999999999999996</v>
      </c>
      <c r="F309" s="147">
        <f t="shared" si="42"/>
        <v>1.4839524652327722E-3</v>
      </c>
      <c r="I309" s="66">
        <f t="shared" si="37"/>
        <v>60582298.667188719</v>
      </c>
      <c r="J309" s="66">
        <f t="shared" si="38"/>
        <v>1.4839524652327722E-3</v>
      </c>
    </row>
    <row r="310" spans="1:10" x14ac:dyDescent="0.25">
      <c r="A310" s="66">
        <f t="shared" si="44"/>
        <v>60.804211849119802</v>
      </c>
      <c r="B310" s="146">
        <f t="shared" si="43"/>
        <v>274</v>
      </c>
      <c r="C310" s="141">
        <f t="shared" si="39"/>
        <v>1.6091487202969971E-11</v>
      </c>
      <c r="D310" s="66">
        <f t="shared" si="40"/>
        <v>135120470.77582181</v>
      </c>
      <c r="E310" s="89">
        <f t="shared" si="41"/>
        <v>0.44999999999999996</v>
      </c>
      <c r="F310" s="147">
        <f t="shared" si="42"/>
        <v>9.7843019685678648E-4</v>
      </c>
      <c r="I310" s="66">
        <f t="shared" si="37"/>
        <v>60804211.849119805</v>
      </c>
      <c r="J310" s="66">
        <f t="shared" si="38"/>
        <v>9.7843019685678648E-4</v>
      </c>
    </row>
    <row r="311" spans="1:10" x14ac:dyDescent="0.25">
      <c r="A311" s="66">
        <f t="shared" si="44"/>
        <v>61.026125031050903</v>
      </c>
      <c r="B311" s="146">
        <f t="shared" si="43"/>
        <v>275</v>
      </c>
      <c r="C311" s="141">
        <f t="shared" si="39"/>
        <v>1.0532609805580227E-11</v>
      </c>
      <c r="D311" s="66">
        <f t="shared" si="40"/>
        <v>135613611.18011314</v>
      </c>
      <c r="E311" s="89">
        <f t="shared" si="41"/>
        <v>0.44999999999999996</v>
      </c>
      <c r="F311" s="147">
        <f t="shared" si="42"/>
        <v>6.4276436289861176E-4</v>
      </c>
      <c r="I311" s="66">
        <f t="shared" si="37"/>
        <v>61026125.031050906</v>
      </c>
      <c r="J311" s="66">
        <f t="shared" si="38"/>
        <v>6.4276436289861176E-4</v>
      </c>
    </row>
    <row r="312" spans="1:10" x14ac:dyDescent="0.25">
      <c r="A312" s="66">
        <f t="shared" si="44"/>
        <v>61.248038212981989</v>
      </c>
      <c r="B312" s="146">
        <f t="shared" si="43"/>
        <v>276</v>
      </c>
      <c r="C312" s="141">
        <f t="shared" si="39"/>
        <v>6.8690933514651765E-12</v>
      </c>
      <c r="D312" s="66">
        <f t="shared" si="40"/>
        <v>136106751.58440444</v>
      </c>
      <c r="E312" s="89">
        <f t="shared" si="41"/>
        <v>0.44999999999999996</v>
      </c>
      <c r="F312" s="147">
        <f t="shared" si="42"/>
        <v>4.2071849207907968E-4</v>
      </c>
      <c r="I312" s="66">
        <f t="shared" si="37"/>
        <v>61248038.212981991</v>
      </c>
      <c r="J312" s="66">
        <f t="shared" si="38"/>
        <v>4.2071849207907968E-4</v>
      </c>
    </row>
    <row r="313" spans="1:10" x14ac:dyDescent="0.25">
      <c r="A313" s="66">
        <f t="shared" si="44"/>
        <v>61.469951394913089</v>
      </c>
      <c r="B313" s="146">
        <f t="shared" si="43"/>
        <v>277</v>
      </c>
      <c r="C313" s="141">
        <f t="shared" si="39"/>
        <v>4.4636707699051952E-12</v>
      </c>
      <c r="D313" s="66">
        <f t="shared" si="40"/>
        <v>136599891.98869577</v>
      </c>
      <c r="E313" s="89">
        <f t="shared" si="41"/>
        <v>0.44999999999999996</v>
      </c>
      <c r="F313" s="147">
        <f t="shared" si="42"/>
        <v>2.7438162526896668E-4</v>
      </c>
      <c r="I313" s="66">
        <f t="shared" si="37"/>
        <v>61469951.394913092</v>
      </c>
      <c r="J313" s="66">
        <f t="shared" si="38"/>
        <v>2.7438162526896668E-4</v>
      </c>
    </row>
    <row r="314" spans="1:10" x14ac:dyDescent="0.25">
      <c r="A314" s="66">
        <f t="shared" si="44"/>
        <v>61.691864576844196</v>
      </c>
      <c r="B314" s="146">
        <f t="shared" si="43"/>
        <v>278</v>
      </c>
      <c r="C314" s="141">
        <f t="shared" si="39"/>
        <v>2.8901465416652233E-12</v>
      </c>
      <c r="D314" s="66">
        <f t="shared" si="40"/>
        <v>137093032.3929871</v>
      </c>
      <c r="E314" s="89">
        <f t="shared" si="41"/>
        <v>0.44999999999999996</v>
      </c>
      <c r="F314" s="147">
        <f t="shared" si="42"/>
        <v>1.7829852905564553E-4</v>
      </c>
      <c r="I314" s="66">
        <f t="shared" si="37"/>
        <v>61691864.576844193</v>
      </c>
      <c r="J314" s="66">
        <f t="shared" si="38"/>
        <v>1.7829852905564553E-4</v>
      </c>
    </row>
    <row r="315" spans="1:10" x14ac:dyDescent="0.25">
      <c r="A315" s="66">
        <f t="shared" si="44"/>
        <v>61.913777758775282</v>
      </c>
      <c r="B315" s="146">
        <f t="shared" si="43"/>
        <v>279</v>
      </c>
      <c r="C315" s="141">
        <f t="shared" si="39"/>
        <v>1.864610672042085E-12</v>
      </c>
      <c r="D315" s="66">
        <f t="shared" si="40"/>
        <v>137586172.7972784</v>
      </c>
      <c r="E315" s="89">
        <f t="shared" si="41"/>
        <v>0.44999999999999996</v>
      </c>
      <c r="F315" s="147">
        <f t="shared" si="42"/>
        <v>1.1544509075545426E-4</v>
      </c>
      <c r="I315" s="66">
        <f t="shared" si="37"/>
        <v>61913777.758775279</v>
      </c>
      <c r="J315" s="66">
        <f t="shared" si="38"/>
        <v>1.1544509075545426E-4</v>
      </c>
    </row>
    <row r="316" spans="1:10" x14ac:dyDescent="0.25">
      <c r="A316" s="66">
        <f t="shared" si="44"/>
        <v>62.135690940706375</v>
      </c>
      <c r="B316" s="146">
        <f t="shared" si="43"/>
        <v>280</v>
      </c>
      <c r="C316" s="141">
        <f t="shared" si="39"/>
        <v>1.1986782891699174E-12</v>
      </c>
      <c r="D316" s="66">
        <f t="shared" si="40"/>
        <v>138079313.20156974</v>
      </c>
      <c r="E316" s="89">
        <f t="shared" si="41"/>
        <v>0.44999999999999996</v>
      </c>
      <c r="F316" s="147">
        <f t="shared" si="42"/>
        <v>7.4480703713196647E-5</v>
      </c>
      <c r="I316" s="66">
        <f t="shared" si="37"/>
        <v>62135690.940706372</v>
      </c>
      <c r="J316" s="66">
        <f t="shared" si="38"/>
        <v>7.4480703713196647E-5</v>
      </c>
    </row>
    <row r="317" spans="1:10" x14ac:dyDescent="0.25">
      <c r="A317" s="66">
        <f t="shared" si="44"/>
        <v>62.357604122637476</v>
      </c>
      <c r="B317" s="146">
        <f t="shared" si="43"/>
        <v>281</v>
      </c>
      <c r="C317" s="141">
        <f t="shared" si="39"/>
        <v>7.6783662651454979E-13</v>
      </c>
      <c r="D317" s="66">
        <f t="shared" si="40"/>
        <v>138572453.60586107</v>
      </c>
      <c r="E317" s="89">
        <f t="shared" si="41"/>
        <v>0.44999999999999996</v>
      </c>
      <c r="F317" s="147">
        <f t="shared" si="42"/>
        <v>4.7880452387055743E-5</v>
      </c>
      <c r="I317" s="66">
        <f t="shared" si="37"/>
        <v>62357604.122637473</v>
      </c>
      <c r="J317" s="66">
        <f t="shared" si="38"/>
        <v>4.7880452387055743E-5</v>
      </c>
    </row>
    <row r="318" spans="1:10" x14ac:dyDescent="0.25">
      <c r="A318" s="66">
        <f t="shared" si="44"/>
        <v>62.579517304568562</v>
      </c>
      <c r="B318" s="146">
        <f t="shared" si="43"/>
        <v>282</v>
      </c>
      <c r="C318" s="141">
        <f t="shared" si="39"/>
        <v>4.9010848500928764E-13</v>
      </c>
      <c r="D318" s="66">
        <f t="shared" si="40"/>
        <v>139065594.01015237</v>
      </c>
      <c r="E318" s="89">
        <f t="shared" si="41"/>
        <v>0.44999999999999996</v>
      </c>
      <c r="F318" s="147">
        <f t="shared" si="42"/>
        <v>3.0670752418754597E-5</v>
      </c>
      <c r="I318" s="66">
        <f t="shared" si="37"/>
        <v>62579517.304568559</v>
      </c>
      <c r="J318" s="66">
        <f t="shared" si="38"/>
        <v>3.0670752418754597E-5</v>
      </c>
    </row>
    <row r="319" spans="1:10" x14ac:dyDescent="0.25">
      <c r="A319" s="66">
        <f t="shared" si="44"/>
        <v>62.801430486499662</v>
      </c>
      <c r="B319" s="146">
        <f t="shared" si="43"/>
        <v>283</v>
      </c>
      <c r="C319" s="141">
        <f t="shared" si="39"/>
        <v>3.1172977845113443E-13</v>
      </c>
      <c r="D319" s="66">
        <f t="shared" si="40"/>
        <v>139558734.4144437</v>
      </c>
      <c r="E319" s="89">
        <f t="shared" si="41"/>
        <v>0.44999999999999996</v>
      </c>
      <c r="F319" s="147">
        <f t="shared" si="42"/>
        <v>1.9577076011970859E-5</v>
      </c>
      <c r="I319" s="66">
        <f t="shared" si="37"/>
        <v>62801430.48649966</v>
      </c>
      <c r="J319" s="66">
        <f t="shared" si="38"/>
        <v>1.9577076011970859E-5</v>
      </c>
    </row>
    <row r="320" spans="1:10" x14ac:dyDescent="0.25">
      <c r="A320" s="66">
        <f t="shared" si="44"/>
        <v>63.023343668430748</v>
      </c>
      <c r="B320" s="146">
        <f t="shared" si="43"/>
        <v>284</v>
      </c>
      <c r="C320" s="141">
        <f t="shared" si="39"/>
        <v>1.9757521169438297E-13</v>
      </c>
      <c r="D320" s="66">
        <f t="shared" si="40"/>
        <v>140051874.818735</v>
      </c>
      <c r="E320" s="89">
        <f t="shared" si="41"/>
        <v>0.44999999999999996</v>
      </c>
      <c r="F320" s="147">
        <f t="shared" si="42"/>
        <v>1.2451850466978056E-5</v>
      </c>
      <c r="I320" s="66">
        <f t="shared" ref="I320:I383" si="45">D320*E320</f>
        <v>63023343.668430746</v>
      </c>
      <c r="J320" s="66">
        <f t="shared" ref="J320:J383" si="46">I320*C320</f>
        <v>1.2451850466978056E-5</v>
      </c>
    </row>
    <row r="321" spans="1:10" x14ac:dyDescent="0.25">
      <c r="A321" s="66">
        <f t="shared" si="44"/>
        <v>63.245256850361848</v>
      </c>
      <c r="B321" s="146">
        <f t="shared" si="43"/>
        <v>285</v>
      </c>
      <c r="C321" s="141">
        <f t="shared" si="39"/>
        <v>1.2478434422802861E-13</v>
      </c>
      <c r="D321" s="66">
        <f t="shared" si="40"/>
        <v>140545015.22302634</v>
      </c>
      <c r="E321" s="89">
        <f t="shared" si="41"/>
        <v>0.44999999999999996</v>
      </c>
      <c r="F321" s="147">
        <f t="shared" si="42"/>
        <v>7.8920179016056366E-6</v>
      </c>
      <c r="I321" s="66">
        <f t="shared" si="45"/>
        <v>63245256.850361846</v>
      </c>
      <c r="J321" s="66">
        <f t="shared" si="46"/>
        <v>7.8920179016056366E-6</v>
      </c>
    </row>
    <row r="322" spans="1:10" x14ac:dyDescent="0.25">
      <c r="A322" s="66">
        <f t="shared" si="44"/>
        <v>63.467170032292948</v>
      </c>
      <c r="B322" s="146">
        <f t="shared" si="43"/>
        <v>286</v>
      </c>
      <c r="C322" s="141">
        <f t="shared" si="39"/>
        <v>7.8535601262398073E-14</v>
      </c>
      <c r="D322" s="66">
        <f t="shared" si="40"/>
        <v>141038155.62731767</v>
      </c>
      <c r="E322" s="89">
        <f t="shared" si="41"/>
        <v>0.44999999999999996</v>
      </c>
      <c r="F322" s="147">
        <f t="shared" si="42"/>
        <v>4.9844323589089789E-6</v>
      </c>
      <c r="I322" s="66">
        <f t="shared" si="45"/>
        <v>63467170.032292947</v>
      </c>
      <c r="J322" s="66">
        <f t="shared" si="46"/>
        <v>4.9844323589089789E-6</v>
      </c>
    </row>
    <row r="323" spans="1:10" x14ac:dyDescent="0.25">
      <c r="A323" s="66">
        <f t="shared" si="44"/>
        <v>63.689083214224034</v>
      </c>
      <c r="B323" s="146">
        <f t="shared" si="43"/>
        <v>287</v>
      </c>
      <c r="C323" s="141">
        <f t="shared" si="39"/>
        <v>4.9255777795229732E-14</v>
      </c>
      <c r="D323" s="66">
        <f t="shared" si="40"/>
        <v>141531296.03160897</v>
      </c>
      <c r="E323" s="89">
        <f t="shared" si="41"/>
        <v>0.44999999999999996</v>
      </c>
      <c r="F323" s="147">
        <f t="shared" si="42"/>
        <v>3.1370553307817148E-6</v>
      </c>
      <c r="I323" s="66">
        <f t="shared" si="45"/>
        <v>63689083.214224033</v>
      </c>
      <c r="J323" s="66">
        <f t="shared" si="46"/>
        <v>3.1370553307817148E-6</v>
      </c>
    </row>
    <row r="324" spans="1:10" x14ac:dyDescent="0.25">
      <c r="A324" s="66">
        <f t="shared" si="44"/>
        <v>63.910996396155127</v>
      </c>
      <c r="B324" s="146">
        <f t="shared" si="43"/>
        <v>288</v>
      </c>
      <c r="C324" s="141">
        <f t="shared" si="39"/>
        <v>3.0784861122019173E-14</v>
      </c>
      <c r="D324" s="66">
        <f t="shared" si="40"/>
        <v>142024436.4359003</v>
      </c>
      <c r="E324" s="89">
        <f t="shared" si="41"/>
        <v>0.44999999999999996</v>
      </c>
      <c r="F324" s="147">
        <f t="shared" si="42"/>
        <v>1.9674911482255033E-6</v>
      </c>
      <c r="I324" s="66">
        <f t="shared" si="45"/>
        <v>63910996.396155126</v>
      </c>
      <c r="J324" s="66">
        <f t="shared" si="46"/>
        <v>1.9674911482255033E-6</v>
      </c>
    </row>
    <row r="325" spans="1:10" x14ac:dyDescent="0.25">
      <c r="A325" s="66">
        <f t="shared" si="44"/>
        <v>64.132909578086213</v>
      </c>
      <c r="B325" s="146">
        <f t="shared" si="43"/>
        <v>289</v>
      </c>
      <c r="C325" s="141">
        <f t="shared" si="39"/>
        <v>1.9173961944510424E-14</v>
      </c>
      <c r="D325" s="66">
        <f t="shared" si="40"/>
        <v>142517576.8401916</v>
      </c>
      <c r="E325" s="89">
        <f t="shared" si="41"/>
        <v>0.44999999999999996</v>
      </c>
      <c r="F325" s="147">
        <f t="shared" si="42"/>
        <v>1.2296819676409532E-6</v>
      </c>
      <c r="I325" s="66">
        <f t="shared" si="45"/>
        <v>64132909.578086212</v>
      </c>
      <c r="J325" s="66">
        <f t="shared" si="46"/>
        <v>1.2296819676409532E-6</v>
      </c>
    </row>
    <row r="326" spans="1:10" x14ac:dyDescent="0.25">
      <c r="A326" s="66">
        <f t="shared" si="44"/>
        <v>64.354822760017313</v>
      </c>
      <c r="B326" s="146">
        <f t="shared" si="43"/>
        <v>290</v>
      </c>
      <c r="C326" s="141">
        <f t="shared" si="39"/>
        <v>1.1901079827627245E-14</v>
      </c>
      <c r="D326" s="66">
        <f t="shared" si="40"/>
        <v>143010717.24448293</v>
      </c>
      <c r="E326" s="89">
        <f t="shared" si="41"/>
        <v>0.44999999999999996</v>
      </c>
      <c r="F326" s="147">
        <f t="shared" si="42"/>
        <v>7.6589188295976873E-7</v>
      </c>
      <c r="I326" s="66">
        <f t="shared" si="45"/>
        <v>64354822.760017313</v>
      </c>
      <c r="J326" s="66">
        <f t="shared" si="46"/>
        <v>7.6589188295976873E-7</v>
      </c>
    </row>
    <row r="327" spans="1:10" x14ac:dyDescent="0.25">
      <c r="A327" s="66">
        <f t="shared" si="44"/>
        <v>64.576735941948414</v>
      </c>
      <c r="B327" s="146">
        <f t="shared" si="43"/>
        <v>291</v>
      </c>
      <c r="C327" s="141">
        <f t="shared" si="39"/>
        <v>7.3614926768826512E-15</v>
      </c>
      <c r="D327" s="66">
        <f t="shared" si="40"/>
        <v>143503857.64877427</v>
      </c>
      <c r="E327" s="89">
        <f t="shared" si="41"/>
        <v>0.44999999999999996</v>
      </c>
      <c r="F327" s="147">
        <f t="shared" si="42"/>
        <v>4.7538116873363796E-7</v>
      </c>
      <c r="I327" s="66">
        <f t="shared" si="45"/>
        <v>64576735.941948414</v>
      </c>
      <c r="J327" s="66">
        <f t="shared" si="46"/>
        <v>4.7538116873363796E-7</v>
      </c>
    </row>
    <row r="328" spans="1:10" x14ac:dyDescent="0.25">
      <c r="A328" s="66">
        <f t="shared" si="44"/>
        <v>64.7986491238795</v>
      </c>
      <c r="B328" s="146">
        <f t="shared" si="43"/>
        <v>292</v>
      </c>
      <c r="C328" s="141">
        <f t="shared" si="39"/>
        <v>4.537906444653755E-15</v>
      </c>
      <c r="D328" s="66">
        <f t="shared" si="40"/>
        <v>143996998.05306557</v>
      </c>
      <c r="E328" s="89">
        <f t="shared" si="41"/>
        <v>0.44999999999999996</v>
      </c>
      <c r="F328" s="147">
        <f t="shared" si="42"/>
        <v>2.9405020746411018E-7</v>
      </c>
      <c r="I328" s="66">
        <f t="shared" si="45"/>
        <v>64798649.1238795</v>
      </c>
      <c r="J328" s="66">
        <f t="shared" si="46"/>
        <v>2.9405020746411018E-7</v>
      </c>
    </row>
    <row r="329" spans="1:10" x14ac:dyDescent="0.25">
      <c r="A329" s="66">
        <f t="shared" si="44"/>
        <v>65.0205623058106</v>
      </c>
      <c r="B329" s="146">
        <f t="shared" si="43"/>
        <v>293</v>
      </c>
      <c r="C329" s="141">
        <f t="shared" si="39"/>
        <v>2.787792355077425E-15</v>
      </c>
      <c r="D329" s="66">
        <f t="shared" si="40"/>
        <v>144490138.4573569</v>
      </c>
      <c r="E329" s="89">
        <f t="shared" si="41"/>
        <v>0.44999999999999996</v>
      </c>
      <c r="F329" s="147">
        <f t="shared" si="42"/>
        <v>1.8126382651897418E-7</v>
      </c>
      <c r="I329" s="66">
        <f t="shared" si="45"/>
        <v>65020562.305810601</v>
      </c>
      <c r="J329" s="66">
        <f t="shared" si="46"/>
        <v>1.8126382651897418E-7</v>
      </c>
    </row>
    <row r="330" spans="1:10" x14ac:dyDescent="0.25">
      <c r="A330" s="66">
        <f t="shared" si="44"/>
        <v>65.2424754877417</v>
      </c>
      <c r="B330" s="146">
        <f t="shared" si="43"/>
        <v>294</v>
      </c>
      <c r="C330" s="141">
        <f t="shared" si="39"/>
        <v>1.706811645965756E-15</v>
      </c>
      <c r="D330" s="66">
        <f t="shared" si="40"/>
        <v>144983278.86164823</v>
      </c>
      <c r="E330" s="89">
        <f t="shared" si="41"/>
        <v>0.44999999999999996</v>
      </c>
      <c r="F330" s="147">
        <f t="shared" si="42"/>
        <v>1.113566169741129E-7</v>
      </c>
      <c r="I330" s="66">
        <f t="shared" si="45"/>
        <v>65242475.487741701</v>
      </c>
      <c r="J330" s="66">
        <f t="shared" si="46"/>
        <v>1.113566169741129E-7</v>
      </c>
    </row>
    <row r="331" spans="1:10" x14ac:dyDescent="0.25">
      <c r="A331" s="66">
        <f t="shared" si="44"/>
        <v>65.464388669672786</v>
      </c>
      <c r="B331" s="146">
        <f t="shared" si="43"/>
        <v>295</v>
      </c>
      <c r="C331" s="141">
        <f t="shared" si="39"/>
        <v>1.0414443941486144E-15</v>
      </c>
      <c r="D331" s="66">
        <f t="shared" si="40"/>
        <v>145476419.26593953</v>
      </c>
      <c r="E331" s="89">
        <f t="shared" si="41"/>
        <v>0.44999999999999996</v>
      </c>
      <c r="F331" s="147">
        <f t="shared" si="42"/>
        <v>6.8177520596396794E-8</v>
      </c>
      <c r="I331" s="66">
        <f t="shared" si="45"/>
        <v>65464388.669672787</v>
      </c>
      <c r="J331" s="66">
        <f t="shared" si="46"/>
        <v>6.8177520596396794E-8</v>
      </c>
    </row>
    <row r="332" spans="1:10" x14ac:dyDescent="0.25">
      <c r="A332" s="66">
        <f t="shared" si="44"/>
        <v>65.686301851603886</v>
      </c>
      <c r="B332" s="146">
        <f t="shared" si="43"/>
        <v>296</v>
      </c>
      <c r="C332" s="141">
        <f t="shared" si="39"/>
        <v>6.3331078022551156E-16</v>
      </c>
      <c r="D332" s="66">
        <f t="shared" si="40"/>
        <v>145969559.67023087</v>
      </c>
      <c r="E332" s="89">
        <f t="shared" si="41"/>
        <v>0.44999999999999996</v>
      </c>
      <c r="F332" s="147">
        <f t="shared" si="42"/>
        <v>4.1599843075767721E-8</v>
      </c>
      <c r="I332" s="66">
        <f t="shared" si="45"/>
        <v>65686301.851603881</v>
      </c>
      <c r="J332" s="66">
        <f t="shared" si="46"/>
        <v>4.1599843075767721E-8</v>
      </c>
    </row>
    <row r="333" spans="1:10" x14ac:dyDescent="0.25">
      <c r="A333" s="66">
        <f t="shared" si="44"/>
        <v>65.908215033534972</v>
      </c>
      <c r="B333" s="146">
        <f t="shared" si="43"/>
        <v>297</v>
      </c>
      <c r="C333" s="141">
        <f t="shared" si="39"/>
        <v>3.8382471528818655E-16</v>
      </c>
      <c r="D333" s="66">
        <f t="shared" si="40"/>
        <v>146462700.07452217</v>
      </c>
      <c r="E333" s="89">
        <f t="shared" si="41"/>
        <v>0.44999999999999996</v>
      </c>
      <c r="F333" s="147">
        <f t="shared" si="42"/>
        <v>2.5297201870399135E-8</v>
      </c>
      <c r="I333" s="66">
        <f t="shared" si="45"/>
        <v>65908215.033534966</v>
      </c>
      <c r="J333" s="66">
        <f t="shared" si="46"/>
        <v>2.5297201870399135E-8</v>
      </c>
    </row>
    <row r="334" spans="1:10" x14ac:dyDescent="0.25">
      <c r="A334" s="66">
        <f t="shared" si="44"/>
        <v>66.130128215466073</v>
      </c>
      <c r="B334" s="146">
        <f t="shared" si="43"/>
        <v>298</v>
      </c>
      <c r="C334" s="141">
        <f t="shared" si="39"/>
        <v>2.3184043205326339E-16</v>
      </c>
      <c r="D334" s="66">
        <f t="shared" si="40"/>
        <v>146955840.4788135</v>
      </c>
      <c r="E334" s="89">
        <f t="shared" si="41"/>
        <v>0.44999999999999996</v>
      </c>
      <c r="F334" s="147">
        <f t="shared" si="42"/>
        <v>1.5331637497211356E-8</v>
      </c>
      <c r="I334" s="66">
        <f t="shared" si="45"/>
        <v>66130128.215466067</v>
      </c>
      <c r="J334" s="66">
        <f t="shared" si="46"/>
        <v>1.5331637497211356E-8</v>
      </c>
    </row>
    <row r="335" spans="1:10" x14ac:dyDescent="0.25">
      <c r="A335" s="66">
        <f t="shared" si="44"/>
        <v>66.352041397397173</v>
      </c>
      <c r="B335" s="146">
        <f t="shared" si="43"/>
        <v>299</v>
      </c>
      <c r="C335" s="141">
        <f t="shared" si="39"/>
        <v>1.3956949086818327E-16</v>
      </c>
      <c r="D335" s="66">
        <f t="shared" si="40"/>
        <v>147448980.88310483</v>
      </c>
      <c r="E335" s="89">
        <f t="shared" si="41"/>
        <v>0.44999999999999996</v>
      </c>
      <c r="F335" s="147">
        <f t="shared" si="42"/>
        <v>9.2607206358993421E-9</v>
      </c>
      <c r="I335" s="66">
        <f t="shared" si="45"/>
        <v>66352041.397397168</v>
      </c>
      <c r="J335" s="66">
        <f t="shared" si="46"/>
        <v>9.2607206358993421E-9</v>
      </c>
    </row>
    <row r="336" spans="1:10" x14ac:dyDescent="0.25">
      <c r="A336" s="66">
        <f t="shared" si="44"/>
        <v>66.573954579328259</v>
      </c>
      <c r="B336" s="146">
        <f t="shared" si="43"/>
        <v>300</v>
      </c>
      <c r="C336" s="141">
        <f t="shared" si="39"/>
        <v>8.3741694520910458E-17</v>
      </c>
      <c r="D336" s="66">
        <f t="shared" si="40"/>
        <v>147942121.28739613</v>
      </c>
      <c r="E336" s="89">
        <f t="shared" si="41"/>
        <v>0.44999999999999996</v>
      </c>
      <c r="F336" s="147">
        <f t="shared" si="42"/>
        <v>5.5750157674310748E-9</v>
      </c>
      <c r="I336" s="66">
        <f t="shared" si="45"/>
        <v>66573954.579328254</v>
      </c>
      <c r="J336" s="66">
        <f t="shared" si="46"/>
        <v>5.5750157674310748E-9</v>
      </c>
    </row>
    <row r="337" spans="1:10" x14ac:dyDescent="0.25">
      <c r="A337" s="66">
        <f t="shared" si="44"/>
        <v>66.795867761259359</v>
      </c>
      <c r="B337" s="146">
        <f t="shared" si="43"/>
        <v>301</v>
      </c>
      <c r="C337" s="141">
        <f t="shared" si="39"/>
        <v>5.0078089746723385E-17</v>
      </c>
      <c r="D337" s="66">
        <f t="shared" si="40"/>
        <v>148435261.69168746</v>
      </c>
      <c r="E337" s="89">
        <f t="shared" si="41"/>
        <v>0.44999999999999996</v>
      </c>
      <c r="F337" s="147">
        <f t="shared" si="42"/>
        <v>3.3450094604586132E-9</v>
      </c>
      <c r="I337" s="66">
        <f t="shared" si="45"/>
        <v>66795867.761259355</v>
      </c>
      <c r="J337" s="66">
        <f t="shared" si="46"/>
        <v>3.3450094604586132E-9</v>
      </c>
    </row>
    <row r="338" spans="1:10" x14ac:dyDescent="0.25">
      <c r="A338" s="66">
        <f t="shared" si="44"/>
        <v>67.017780943190459</v>
      </c>
      <c r="B338" s="146">
        <f t="shared" si="43"/>
        <v>302</v>
      </c>
      <c r="C338" s="141">
        <f t="shared" si="39"/>
        <v>2.9847868060961642E-17</v>
      </c>
      <c r="D338" s="66">
        <f t="shared" si="40"/>
        <v>148928402.0959788</v>
      </c>
      <c r="E338" s="89">
        <f t="shared" si="41"/>
        <v>0.44999999999999996</v>
      </c>
      <c r="F338" s="147">
        <f t="shared" si="42"/>
        <v>2.0003378833307782E-9</v>
      </c>
      <c r="I338" s="66">
        <f t="shared" si="45"/>
        <v>67017780.943190455</v>
      </c>
      <c r="J338" s="66">
        <f t="shared" si="46"/>
        <v>2.0003378833307782E-9</v>
      </c>
    </row>
    <row r="339" spans="1:10" x14ac:dyDescent="0.25">
      <c r="A339" s="66">
        <f t="shared" si="44"/>
        <v>67.239694125121531</v>
      </c>
      <c r="B339" s="146">
        <f t="shared" si="43"/>
        <v>303</v>
      </c>
      <c r="C339" s="141">
        <f t="shared" si="39"/>
        <v>1.773140676888779E-17</v>
      </c>
      <c r="D339" s="66">
        <f t="shared" si="40"/>
        <v>149421542.5002701</v>
      </c>
      <c r="E339" s="89">
        <f t="shared" si="41"/>
        <v>0.44999999999999996</v>
      </c>
      <c r="F339" s="147">
        <f t="shared" si="42"/>
        <v>1.1922543675481245E-9</v>
      </c>
      <c r="I339" s="66">
        <f t="shared" si="45"/>
        <v>67239694.125121534</v>
      </c>
      <c r="J339" s="66">
        <f t="shared" si="46"/>
        <v>1.1922543675481245E-9</v>
      </c>
    </row>
    <row r="340" spans="1:10" x14ac:dyDescent="0.25">
      <c r="A340" s="66">
        <f t="shared" si="44"/>
        <v>67.461607307052645</v>
      </c>
      <c r="B340" s="146">
        <f t="shared" si="43"/>
        <v>304</v>
      </c>
      <c r="C340" s="141">
        <f t="shared" si="39"/>
        <v>1.0498859271052081E-17</v>
      </c>
      <c r="D340" s="66">
        <f t="shared" si="40"/>
        <v>149914682.90456143</v>
      </c>
      <c r="E340" s="89">
        <f t="shared" si="41"/>
        <v>0.44999999999999996</v>
      </c>
      <c r="F340" s="147">
        <f t="shared" si="42"/>
        <v>7.0826992131572437E-10</v>
      </c>
      <c r="I340" s="66">
        <f t="shared" si="45"/>
        <v>67461607.307052642</v>
      </c>
      <c r="J340" s="66">
        <f t="shared" si="46"/>
        <v>7.0826992131572437E-10</v>
      </c>
    </row>
    <row r="341" spans="1:10" x14ac:dyDescent="0.25">
      <c r="A341" s="66">
        <f t="shared" si="44"/>
        <v>67.683520488983717</v>
      </c>
      <c r="B341" s="146">
        <f t="shared" si="43"/>
        <v>305</v>
      </c>
      <c r="C341" s="141">
        <f t="shared" si="39"/>
        <v>6.1960480943914687E-18</v>
      </c>
      <c r="D341" s="66">
        <f t="shared" si="40"/>
        <v>150407823.30885273</v>
      </c>
      <c r="E341" s="89">
        <f t="shared" si="41"/>
        <v>0.44999999999999996</v>
      </c>
      <c r="F341" s="147">
        <f t="shared" si="42"/>
        <v>4.1937034814747352E-10</v>
      </c>
      <c r="I341" s="66">
        <f t="shared" si="45"/>
        <v>67683520.488983721</v>
      </c>
      <c r="J341" s="66">
        <f t="shared" si="46"/>
        <v>4.1937034814747352E-10</v>
      </c>
    </row>
    <row r="342" spans="1:10" x14ac:dyDescent="0.25">
      <c r="A342" s="66">
        <f t="shared" si="44"/>
        <v>67.905433670914832</v>
      </c>
      <c r="B342" s="146">
        <f t="shared" si="43"/>
        <v>306</v>
      </c>
      <c r="C342" s="141">
        <f t="shared" si="39"/>
        <v>3.6447341731714746E-18</v>
      </c>
      <c r="D342" s="66">
        <f t="shared" si="40"/>
        <v>150900963.71314406</v>
      </c>
      <c r="E342" s="89">
        <f t="shared" si="41"/>
        <v>0.44999999999999996</v>
      </c>
      <c r="F342" s="147">
        <f t="shared" si="42"/>
        <v>2.4749725464441216E-10</v>
      </c>
      <c r="I342" s="66">
        <f t="shared" si="45"/>
        <v>67905433.670914829</v>
      </c>
      <c r="J342" s="66">
        <f t="shared" si="46"/>
        <v>2.4749725464441216E-10</v>
      </c>
    </row>
    <row r="343" spans="1:10" x14ac:dyDescent="0.25">
      <c r="A343" s="66">
        <f t="shared" si="44"/>
        <v>68.127346852845918</v>
      </c>
      <c r="B343" s="146">
        <f t="shared" si="43"/>
        <v>307</v>
      </c>
      <c r="C343" s="141">
        <f t="shared" si="39"/>
        <v>2.1369776911103116E-18</v>
      </c>
      <c r="D343" s="66">
        <f t="shared" si="40"/>
        <v>151394104.1174354</v>
      </c>
      <c r="E343" s="89">
        <f t="shared" si="41"/>
        <v>0.44999999999999996</v>
      </c>
      <c r="F343" s="147">
        <f t="shared" si="42"/>
        <v>1.4558662037906604E-10</v>
      </c>
      <c r="I343" s="66">
        <f t="shared" si="45"/>
        <v>68127346.852845922</v>
      </c>
      <c r="J343" s="66">
        <f t="shared" si="46"/>
        <v>1.4558662037906604E-10</v>
      </c>
    </row>
    <row r="344" spans="1:10" x14ac:dyDescent="0.25">
      <c r="A344" s="66">
        <f t="shared" si="44"/>
        <v>68.349260034777004</v>
      </c>
      <c r="B344" s="146">
        <f t="shared" si="43"/>
        <v>308</v>
      </c>
      <c r="C344" s="141">
        <f t="shared" si="39"/>
        <v>1.2488830662333031E-18</v>
      </c>
      <c r="D344" s="66">
        <f t="shared" si="40"/>
        <v>151887244.5217267</v>
      </c>
      <c r="E344" s="89">
        <f t="shared" si="41"/>
        <v>0.44999999999999996</v>
      </c>
      <c r="F344" s="147">
        <f t="shared" si="42"/>
        <v>8.5360233447009659E-11</v>
      </c>
      <c r="I344" s="66">
        <f t="shared" si="45"/>
        <v>68349260.034777001</v>
      </c>
      <c r="J344" s="66">
        <f t="shared" si="46"/>
        <v>8.5360233447009659E-11</v>
      </c>
    </row>
    <row r="345" spans="1:10" x14ac:dyDescent="0.25">
      <c r="A345" s="66">
        <f t="shared" si="44"/>
        <v>68.571173216708104</v>
      </c>
      <c r="B345" s="146">
        <f t="shared" si="43"/>
        <v>309</v>
      </c>
      <c r="C345" s="141">
        <f t="shared" si="39"/>
        <v>7.2750469877667969E-19</v>
      </c>
      <c r="D345" s="66">
        <f t="shared" si="40"/>
        <v>152380384.92601803</v>
      </c>
      <c r="E345" s="89">
        <f t="shared" si="41"/>
        <v>0.44999999999999996</v>
      </c>
      <c r="F345" s="147">
        <f t="shared" si="42"/>
        <v>4.9885850715784759E-11</v>
      </c>
      <c r="I345" s="66">
        <f t="shared" si="45"/>
        <v>68571173.216708109</v>
      </c>
      <c r="J345" s="66">
        <f t="shared" si="46"/>
        <v>4.9885850715784759E-11</v>
      </c>
    </row>
    <row r="346" spans="1:10" x14ac:dyDescent="0.25">
      <c r="A346" s="66">
        <f t="shared" si="44"/>
        <v>68.793086398639204</v>
      </c>
      <c r="B346" s="146">
        <f t="shared" si="43"/>
        <v>310</v>
      </c>
      <c r="C346" s="141">
        <f t="shared" si="39"/>
        <v>4.224220831606306E-19</v>
      </c>
      <c r="D346" s="66">
        <f t="shared" si="40"/>
        <v>152873525.33030936</v>
      </c>
      <c r="E346" s="89">
        <f t="shared" si="41"/>
        <v>0.44999999999999996</v>
      </c>
      <c r="F346" s="147">
        <f t="shared" si="42"/>
        <v>2.9059718863562416E-11</v>
      </c>
      <c r="I346" s="66">
        <f t="shared" si="45"/>
        <v>68793086.398639202</v>
      </c>
      <c r="J346" s="66">
        <f t="shared" si="46"/>
        <v>2.9059718863562416E-11</v>
      </c>
    </row>
    <row r="347" spans="1:10" x14ac:dyDescent="0.25">
      <c r="A347" s="66">
        <f t="shared" si="44"/>
        <v>69.01499958057029</v>
      </c>
      <c r="B347" s="146">
        <f t="shared" si="43"/>
        <v>311</v>
      </c>
      <c r="C347" s="141">
        <f t="shared" si="39"/>
        <v>2.4448866549489758E-19</v>
      </c>
      <c r="D347" s="66">
        <f t="shared" si="40"/>
        <v>153366665.73460066</v>
      </c>
      <c r="E347" s="89">
        <f t="shared" si="41"/>
        <v>0.44999999999999996</v>
      </c>
      <c r="F347" s="147">
        <f t="shared" si="42"/>
        <v>1.6873385146584549E-11</v>
      </c>
      <c r="I347" s="66">
        <f t="shared" si="45"/>
        <v>69014999.580570295</v>
      </c>
      <c r="J347" s="66">
        <f t="shared" si="46"/>
        <v>1.6873385146584549E-11</v>
      </c>
    </row>
    <row r="348" spans="1:10" x14ac:dyDescent="0.25">
      <c r="A348" s="66">
        <f t="shared" si="44"/>
        <v>69.23691276250139</v>
      </c>
      <c r="B348" s="146">
        <f t="shared" si="43"/>
        <v>312</v>
      </c>
      <c r="C348" s="141">
        <f t="shared" si="39"/>
        <v>1.4105115317013936E-19</v>
      </c>
      <c r="D348" s="66">
        <f t="shared" si="40"/>
        <v>153859806.13889199</v>
      </c>
      <c r="E348" s="89">
        <f t="shared" si="41"/>
        <v>0.44999999999999996</v>
      </c>
      <c r="F348" s="147">
        <f t="shared" si="42"/>
        <v>9.7659463870911599E-12</v>
      </c>
      <c r="I348" s="66">
        <f t="shared" si="45"/>
        <v>69236912.762501389</v>
      </c>
      <c r="J348" s="66">
        <f t="shared" si="46"/>
        <v>9.7659463870911599E-12</v>
      </c>
    </row>
    <row r="349" spans="1:10" x14ac:dyDescent="0.25">
      <c r="A349" s="66">
        <f t="shared" si="44"/>
        <v>69.458825944432476</v>
      </c>
      <c r="B349" s="146">
        <f t="shared" si="43"/>
        <v>313</v>
      </c>
      <c r="C349" s="141">
        <f t="shared" si="39"/>
        <v>8.1115679139377422E-20</v>
      </c>
      <c r="D349" s="66">
        <f t="shared" si="40"/>
        <v>154352946.5431833</v>
      </c>
      <c r="E349" s="89">
        <f t="shared" si="41"/>
        <v>0.44999999999999996</v>
      </c>
      <c r="F349" s="147">
        <f t="shared" si="42"/>
        <v>5.6341998387064493E-12</v>
      </c>
      <c r="I349" s="66">
        <f t="shared" si="45"/>
        <v>69458825.944432482</v>
      </c>
      <c r="J349" s="66">
        <f t="shared" si="46"/>
        <v>5.6341998387064493E-12</v>
      </c>
    </row>
    <row r="350" spans="1:10" x14ac:dyDescent="0.25">
      <c r="A350" s="66">
        <f t="shared" si="44"/>
        <v>69.680739126363576</v>
      </c>
      <c r="B350" s="146">
        <f t="shared" si="43"/>
        <v>314</v>
      </c>
      <c r="C350" s="141">
        <f t="shared" si="39"/>
        <v>4.6499433901553799E-20</v>
      </c>
      <c r="D350" s="66">
        <f t="shared" si="40"/>
        <v>154846086.94747463</v>
      </c>
      <c r="E350" s="89">
        <f t="shared" si="41"/>
        <v>0.44999999999999996</v>
      </c>
      <c r="F350" s="147">
        <f t="shared" si="42"/>
        <v>3.2401149232177566E-12</v>
      </c>
      <c r="I350" s="66">
        <f t="shared" si="45"/>
        <v>69680739.126363575</v>
      </c>
      <c r="J350" s="66">
        <f t="shared" si="46"/>
        <v>3.2401149232177566E-12</v>
      </c>
    </row>
    <row r="351" spans="1:10" x14ac:dyDescent="0.25">
      <c r="A351" s="66">
        <f t="shared" si="44"/>
        <v>69.902652308294662</v>
      </c>
      <c r="B351" s="146">
        <f t="shared" si="43"/>
        <v>315</v>
      </c>
      <c r="C351" s="141">
        <f t="shared" si="39"/>
        <v>2.6571105086602247E-20</v>
      </c>
      <c r="D351" s="66">
        <f t="shared" si="40"/>
        <v>155339227.35176596</v>
      </c>
      <c r="E351" s="89">
        <f t="shared" si="41"/>
        <v>0.44999999999999996</v>
      </c>
      <c r="F351" s="147">
        <f t="shared" si="42"/>
        <v>1.857390720315917E-12</v>
      </c>
      <c r="I351" s="66">
        <f t="shared" si="45"/>
        <v>69902652.308294669</v>
      </c>
      <c r="J351" s="66">
        <f t="shared" si="46"/>
        <v>1.857390720315917E-12</v>
      </c>
    </row>
    <row r="352" spans="1:10" x14ac:dyDescent="0.25">
      <c r="A352" s="66">
        <f t="shared" si="44"/>
        <v>70.124565490225763</v>
      </c>
      <c r="B352" s="146">
        <f t="shared" si="43"/>
        <v>316</v>
      </c>
      <c r="C352" s="141">
        <f t="shared" si="39"/>
        <v>1.5135439606292064E-20</v>
      </c>
      <c r="D352" s="66">
        <f t="shared" si="40"/>
        <v>155832367.75605726</v>
      </c>
      <c r="E352" s="89">
        <f t="shared" si="41"/>
        <v>0.44999999999999996</v>
      </c>
      <c r="F352" s="147">
        <f t="shared" si="42"/>
        <v>1.0613661258947846E-12</v>
      </c>
      <c r="I352" s="66">
        <f t="shared" si="45"/>
        <v>70124565.490225762</v>
      </c>
      <c r="J352" s="66">
        <f t="shared" si="46"/>
        <v>1.0613661258947846E-12</v>
      </c>
    </row>
    <row r="353" spans="1:10" x14ac:dyDescent="0.25">
      <c r="A353" s="66">
        <f t="shared" si="44"/>
        <v>70.346478672156849</v>
      </c>
      <c r="B353" s="146">
        <f t="shared" si="43"/>
        <v>317</v>
      </c>
      <c r="C353" s="141">
        <f t="shared" si="39"/>
        <v>8.5942559278633039E-21</v>
      </c>
      <c r="D353" s="66">
        <f t="shared" si="40"/>
        <v>156325508.16034859</v>
      </c>
      <c r="E353" s="89">
        <f t="shared" si="41"/>
        <v>0.44999999999999996</v>
      </c>
      <c r="F353" s="147">
        <f t="shared" si="42"/>
        <v>6.0457564133249352E-13</v>
      </c>
      <c r="I353" s="66">
        <f t="shared" si="45"/>
        <v>70346478.672156855</v>
      </c>
      <c r="J353" s="66">
        <f t="shared" si="46"/>
        <v>6.0457564133249352E-13</v>
      </c>
    </row>
    <row r="354" spans="1:10" x14ac:dyDescent="0.25">
      <c r="A354" s="66">
        <f t="shared" si="44"/>
        <v>70.568391854087963</v>
      </c>
      <c r="B354" s="146">
        <f t="shared" si="43"/>
        <v>318</v>
      </c>
      <c r="C354" s="141">
        <f t="shared" si="39"/>
        <v>4.8646731667151246E-21</v>
      </c>
      <c r="D354" s="66">
        <f t="shared" si="40"/>
        <v>156818648.56463993</v>
      </c>
      <c r="E354" s="89">
        <f t="shared" si="41"/>
        <v>0.44999999999999996</v>
      </c>
      <c r="F354" s="147">
        <f t="shared" si="42"/>
        <v>3.4329216227081991E-13</v>
      </c>
      <c r="I354" s="66">
        <f t="shared" si="45"/>
        <v>70568391.854087964</v>
      </c>
      <c r="J354" s="66">
        <f t="shared" si="46"/>
        <v>3.4329216227081991E-13</v>
      </c>
    </row>
    <row r="355" spans="1:10" x14ac:dyDescent="0.25">
      <c r="A355" s="66">
        <f t="shared" si="44"/>
        <v>70.790305036019049</v>
      </c>
      <c r="B355" s="146">
        <f t="shared" si="43"/>
        <v>319</v>
      </c>
      <c r="C355" s="141">
        <f t="shared" si="39"/>
        <v>2.7449566457953283E-21</v>
      </c>
      <c r="D355" s="66">
        <f t="shared" si="40"/>
        <v>157311788.96893123</v>
      </c>
      <c r="E355" s="89">
        <f t="shared" si="41"/>
        <v>0.44999999999999996</v>
      </c>
      <c r="F355" s="147">
        <f t="shared" si="42"/>
        <v>1.9431631826649897E-13</v>
      </c>
      <c r="I355" s="66">
        <f t="shared" si="45"/>
        <v>70790305.036019042</v>
      </c>
      <c r="J355" s="66">
        <f t="shared" si="46"/>
        <v>1.9431631826649897E-13</v>
      </c>
    </row>
    <row r="356" spans="1:10" x14ac:dyDescent="0.25">
      <c r="A356" s="66">
        <f t="shared" si="44"/>
        <v>71.012218217950149</v>
      </c>
      <c r="B356" s="146">
        <f t="shared" si="43"/>
        <v>320</v>
      </c>
      <c r="C356" s="141">
        <f t="shared" ref="C356:C419" si="47">POISSON(B356,$C$33,0)</f>
        <v>1.5440381132599009E-21</v>
      </c>
      <c r="D356" s="66">
        <f t="shared" ref="D356:D419" si="48">+B356*$C$32</f>
        <v>157804929.37322256</v>
      </c>
      <c r="E356" s="89">
        <f t="shared" ref="E356:E419" si="49">1-$E$34</f>
        <v>0.44999999999999996</v>
      </c>
      <c r="F356" s="147">
        <f t="shared" ref="F356:F419" si="50">+D356*E356*C356</f>
        <v>1.0964557143564411E-13</v>
      </c>
      <c r="I356" s="66">
        <f t="shared" si="45"/>
        <v>71012218.21795015</v>
      </c>
      <c r="J356" s="66">
        <f t="shared" si="46"/>
        <v>1.0964557143564411E-13</v>
      </c>
    </row>
    <row r="357" spans="1:10" x14ac:dyDescent="0.25">
      <c r="A357" s="66">
        <f t="shared" si="44"/>
        <v>71.234131399881235</v>
      </c>
      <c r="B357" s="146">
        <f t="shared" ref="B357:B420" si="51">+B356+1</f>
        <v>321</v>
      </c>
      <c r="C357" s="141">
        <f t="shared" si="47"/>
        <v>8.6581576444474972E-22</v>
      </c>
      <c r="D357" s="66">
        <f t="shared" si="48"/>
        <v>158298069.77751386</v>
      </c>
      <c r="E357" s="89">
        <f t="shared" si="49"/>
        <v>0.44999999999999996</v>
      </c>
      <c r="F357" s="147">
        <f t="shared" si="50"/>
        <v>6.1675633932545917E-14</v>
      </c>
      <c r="I357" s="66">
        <f t="shared" si="45"/>
        <v>71234131.399881229</v>
      </c>
      <c r="J357" s="66">
        <f t="shared" si="46"/>
        <v>6.1675633932545917E-14</v>
      </c>
    </row>
    <row r="358" spans="1:10" x14ac:dyDescent="0.25">
      <c r="A358" s="66">
        <f t="shared" ref="A358:A421" si="52">D358*E358/1000000</f>
        <v>71.456044581812336</v>
      </c>
      <c r="B358" s="146">
        <f t="shared" si="51"/>
        <v>322</v>
      </c>
      <c r="C358" s="141">
        <f t="shared" si="47"/>
        <v>4.8399639006228202E-22</v>
      </c>
      <c r="D358" s="66">
        <f t="shared" si="48"/>
        <v>158791210.18180519</v>
      </c>
      <c r="E358" s="89">
        <f t="shared" si="49"/>
        <v>0.44999999999999996</v>
      </c>
      <c r="F358" s="147">
        <f t="shared" si="50"/>
        <v>3.458446762572666E-14</v>
      </c>
      <c r="I358" s="66">
        <f t="shared" si="45"/>
        <v>71456044.581812337</v>
      </c>
      <c r="J358" s="66">
        <f t="shared" si="46"/>
        <v>3.458446762572666E-14</v>
      </c>
    </row>
    <row r="359" spans="1:10" x14ac:dyDescent="0.25">
      <c r="A359" s="66">
        <f t="shared" si="52"/>
        <v>71.677957763743436</v>
      </c>
      <c r="B359" s="146">
        <f t="shared" si="51"/>
        <v>323</v>
      </c>
      <c r="C359" s="141">
        <f t="shared" si="47"/>
        <v>2.6971935049910686E-22</v>
      </c>
      <c r="D359" s="66">
        <f t="shared" si="48"/>
        <v>159284350.58609653</v>
      </c>
      <c r="E359" s="89">
        <f t="shared" si="49"/>
        <v>0.44999999999999996</v>
      </c>
      <c r="F359" s="147">
        <f t="shared" si="50"/>
        <v>1.9332932213139293E-14</v>
      </c>
      <c r="I359" s="66">
        <f t="shared" si="45"/>
        <v>71677957.76374343</v>
      </c>
      <c r="J359" s="66">
        <f t="shared" si="46"/>
        <v>1.9332932213139293E-14</v>
      </c>
    </row>
    <row r="360" spans="1:10" x14ac:dyDescent="0.25">
      <c r="A360" s="66">
        <f t="shared" si="52"/>
        <v>71.899870945674508</v>
      </c>
      <c r="B360" s="146">
        <f t="shared" si="51"/>
        <v>324</v>
      </c>
      <c r="C360" s="141">
        <f t="shared" si="47"/>
        <v>1.4984408361061581E-22</v>
      </c>
      <c r="D360" s="66">
        <f t="shared" si="48"/>
        <v>159777490.99038783</v>
      </c>
      <c r="E360" s="89">
        <f t="shared" si="49"/>
        <v>0.44999999999999996</v>
      </c>
      <c r="F360" s="147">
        <f t="shared" si="50"/>
        <v>1.0773770273576138E-14</v>
      </c>
      <c r="I360" s="66">
        <f t="shared" si="45"/>
        <v>71899870.945674509</v>
      </c>
      <c r="J360" s="66">
        <f t="shared" si="46"/>
        <v>1.0773770273576138E-14</v>
      </c>
    </row>
    <row r="361" spans="1:10" x14ac:dyDescent="0.25">
      <c r="A361" s="66">
        <f t="shared" si="52"/>
        <v>72.121784127605622</v>
      </c>
      <c r="B361" s="146">
        <f t="shared" si="51"/>
        <v>325</v>
      </c>
      <c r="C361" s="141">
        <f t="shared" si="47"/>
        <v>8.2990569384341534E-23</v>
      </c>
      <c r="D361" s="66">
        <f t="shared" si="48"/>
        <v>160270631.39467916</v>
      </c>
      <c r="E361" s="89">
        <f t="shared" si="49"/>
        <v>0.44999999999999996</v>
      </c>
      <c r="F361" s="147">
        <f t="shared" si="50"/>
        <v>5.9854279297645561E-15</v>
      </c>
      <c r="I361" s="66">
        <f t="shared" si="45"/>
        <v>72121784.127605617</v>
      </c>
      <c r="J361" s="66">
        <f t="shared" si="46"/>
        <v>5.9854279297645561E-15</v>
      </c>
    </row>
    <row r="362" spans="1:10" x14ac:dyDescent="0.25">
      <c r="A362" s="66">
        <f t="shared" si="52"/>
        <v>72.343697309536694</v>
      </c>
      <c r="B362" s="146">
        <f t="shared" si="51"/>
        <v>326</v>
      </c>
      <c r="C362" s="141">
        <f t="shared" si="47"/>
        <v>4.5823013770495313E-23</v>
      </c>
      <c r="D362" s="66">
        <f t="shared" si="48"/>
        <v>160763771.79897046</v>
      </c>
      <c r="E362" s="89">
        <f t="shared" si="49"/>
        <v>0.44999999999999996</v>
      </c>
      <c r="F362" s="147">
        <f t="shared" si="50"/>
        <v>3.3150062380234448E-15</v>
      </c>
      <c r="I362" s="66">
        <f t="shared" si="45"/>
        <v>72343697.309536695</v>
      </c>
      <c r="J362" s="66">
        <f t="shared" si="46"/>
        <v>3.3150062380234448E-15</v>
      </c>
    </row>
    <row r="363" spans="1:10" x14ac:dyDescent="0.25">
      <c r="A363" s="66">
        <f t="shared" si="52"/>
        <v>72.565610491467808</v>
      </c>
      <c r="B363" s="146">
        <f t="shared" si="51"/>
        <v>327</v>
      </c>
      <c r="C363" s="141">
        <f t="shared" si="47"/>
        <v>2.5223677304859869E-23</v>
      </c>
      <c r="D363" s="66">
        <f t="shared" si="48"/>
        <v>161256912.20326179</v>
      </c>
      <c r="E363" s="89">
        <f t="shared" si="49"/>
        <v>0.44999999999999996</v>
      </c>
      <c r="F363" s="147">
        <f t="shared" si="50"/>
        <v>1.8303715424669376E-15</v>
      </c>
      <c r="I363" s="66">
        <f t="shared" si="45"/>
        <v>72565610.491467804</v>
      </c>
      <c r="J363" s="66">
        <f t="shared" si="46"/>
        <v>1.8303715424669376E-15</v>
      </c>
    </row>
    <row r="364" spans="1:10" x14ac:dyDescent="0.25">
      <c r="A364" s="66">
        <f t="shared" si="52"/>
        <v>72.787523673398894</v>
      </c>
      <c r="B364" s="146">
        <f t="shared" si="51"/>
        <v>328</v>
      </c>
      <c r="C364" s="141">
        <f t="shared" si="47"/>
        <v>1.3842261935593817E-23</v>
      </c>
      <c r="D364" s="66">
        <f t="shared" si="48"/>
        <v>161750052.60755312</v>
      </c>
      <c r="E364" s="89">
        <f t="shared" si="49"/>
        <v>0.44999999999999996</v>
      </c>
      <c r="F364" s="147">
        <f t="shared" si="50"/>
        <v>1.0075439683304233E-15</v>
      </c>
      <c r="I364" s="66">
        <f t="shared" si="45"/>
        <v>72787523.673398897</v>
      </c>
      <c r="J364" s="66">
        <f t="shared" si="46"/>
        <v>1.0075439683304233E-15</v>
      </c>
    </row>
    <row r="365" spans="1:10" x14ac:dyDescent="0.25">
      <c r="A365" s="66">
        <f t="shared" si="52"/>
        <v>73.009436855329994</v>
      </c>
      <c r="B365" s="146">
        <f t="shared" si="51"/>
        <v>329</v>
      </c>
      <c r="C365" s="141">
        <f t="shared" si="47"/>
        <v>7.5732740073159453E-24</v>
      </c>
      <c r="D365" s="66">
        <f t="shared" si="48"/>
        <v>162243193.01184443</v>
      </c>
      <c r="E365" s="89">
        <f t="shared" si="49"/>
        <v>0.44999999999999996</v>
      </c>
      <c r="F365" s="147">
        <f t="shared" si="50"/>
        <v>5.5292047042524546E-16</v>
      </c>
      <c r="I365" s="66">
        <f t="shared" si="45"/>
        <v>73009436.85532999</v>
      </c>
      <c r="J365" s="66">
        <f t="shared" si="46"/>
        <v>5.5292047042524546E-16</v>
      </c>
    </row>
    <row r="366" spans="1:10" x14ac:dyDescent="0.25">
      <c r="A366" s="66">
        <f t="shared" si="52"/>
        <v>73.23135003726108</v>
      </c>
      <c r="B366" s="146">
        <f t="shared" si="51"/>
        <v>330</v>
      </c>
      <c r="C366" s="141">
        <f t="shared" si="47"/>
        <v>4.1308767312632878E-24</v>
      </c>
      <c r="D366" s="66">
        <f t="shared" si="48"/>
        <v>162736333.41613576</v>
      </c>
      <c r="E366" s="89">
        <f t="shared" si="49"/>
        <v>0.44999999999999996</v>
      </c>
      <c r="F366" s="147">
        <f t="shared" si="50"/>
        <v>3.0250967986791872E-16</v>
      </c>
      <c r="I366" s="66">
        <f t="shared" si="45"/>
        <v>73231350.037261084</v>
      </c>
      <c r="J366" s="66">
        <f t="shared" si="46"/>
        <v>3.0250967986791872E-16</v>
      </c>
    </row>
    <row r="367" spans="1:10" x14ac:dyDescent="0.25">
      <c r="A367" s="66">
        <f t="shared" si="52"/>
        <v>73.453263219192181</v>
      </c>
      <c r="B367" s="146">
        <f t="shared" si="51"/>
        <v>331</v>
      </c>
      <c r="C367" s="141">
        <f t="shared" si="47"/>
        <v>2.2463982224392575E-24</v>
      </c>
      <c r="D367" s="66">
        <f t="shared" si="48"/>
        <v>163229473.82042709</v>
      </c>
      <c r="E367" s="89">
        <f t="shared" si="49"/>
        <v>0.44999999999999996</v>
      </c>
      <c r="F367" s="147">
        <f t="shared" si="50"/>
        <v>1.650052799279562E-16</v>
      </c>
      <c r="I367" s="66">
        <f t="shared" si="45"/>
        <v>73453263.219192177</v>
      </c>
      <c r="J367" s="66">
        <f t="shared" si="46"/>
        <v>1.650052799279562E-16</v>
      </c>
    </row>
    <row r="368" spans="1:10" x14ac:dyDescent="0.25">
      <c r="A368" s="66">
        <f t="shared" si="52"/>
        <v>73.675176401123267</v>
      </c>
      <c r="B368" s="146">
        <f t="shared" si="51"/>
        <v>332</v>
      </c>
      <c r="C368" s="141">
        <f t="shared" si="47"/>
        <v>1.2179267471055704E-24</v>
      </c>
      <c r="D368" s="66">
        <f t="shared" si="48"/>
        <v>163722614.22471839</v>
      </c>
      <c r="E368" s="89">
        <f t="shared" si="49"/>
        <v>0.44999999999999996</v>
      </c>
      <c r="F368" s="147">
        <f t="shared" si="50"/>
        <v>8.9730967936649158E-17</v>
      </c>
      <c r="I368" s="66">
        <f t="shared" si="45"/>
        <v>73675176.40112327</v>
      </c>
      <c r="J368" s="66">
        <f t="shared" si="46"/>
        <v>8.9730967936649158E-17</v>
      </c>
    </row>
    <row r="369" spans="1:10" x14ac:dyDescent="0.25">
      <c r="A369" s="66">
        <f t="shared" si="52"/>
        <v>73.897089583054367</v>
      </c>
      <c r="B369" s="146">
        <f t="shared" si="51"/>
        <v>333</v>
      </c>
      <c r="C369" s="141">
        <f t="shared" si="47"/>
        <v>6.5833878221922887E-25</v>
      </c>
      <c r="D369" s="66">
        <f t="shared" si="48"/>
        <v>164215754.62900972</v>
      </c>
      <c r="E369" s="89">
        <f t="shared" si="49"/>
        <v>0.44999999999999996</v>
      </c>
      <c r="F369" s="147">
        <f t="shared" si="50"/>
        <v>4.8649319965653272E-17</v>
      </c>
      <c r="I369" s="66">
        <f t="shared" si="45"/>
        <v>73897089.583054364</v>
      </c>
      <c r="J369" s="66">
        <f t="shared" si="46"/>
        <v>4.8649319965653272E-17</v>
      </c>
    </row>
    <row r="370" spans="1:10" x14ac:dyDescent="0.25">
      <c r="A370" s="66">
        <f t="shared" si="52"/>
        <v>74.119002764985453</v>
      </c>
      <c r="B370" s="146">
        <f t="shared" si="51"/>
        <v>334</v>
      </c>
      <c r="C370" s="141">
        <f t="shared" si="47"/>
        <v>3.547933556870052E-25</v>
      </c>
      <c r="D370" s="66">
        <f t="shared" si="48"/>
        <v>164708895.03330103</v>
      </c>
      <c r="E370" s="89">
        <f t="shared" si="49"/>
        <v>0.44999999999999996</v>
      </c>
      <c r="F370" s="147">
        <f t="shared" si="50"/>
        <v>2.6296929711163607E-17</v>
      </c>
      <c r="I370" s="66">
        <f t="shared" si="45"/>
        <v>74119002.764985457</v>
      </c>
      <c r="J370" s="66">
        <f t="shared" si="46"/>
        <v>2.6296929711163607E-17</v>
      </c>
    </row>
    <row r="371" spans="1:10" x14ac:dyDescent="0.25">
      <c r="A371" s="66">
        <f t="shared" si="52"/>
        <v>74.340915946916553</v>
      </c>
      <c r="B371" s="146">
        <f t="shared" si="51"/>
        <v>335</v>
      </c>
      <c r="C371" s="141">
        <f t="shared" si="47"/>
        <v>1.9063523589153291E-25</v>
      </c>
      <c r="D371" s="66">
        <f t="shared" si="48"/>
        <v>165202035.43759236</v>
      </c>
      <c r="E371" s="89">
        <f t="shared" si="49"/>
        <v>0.44999999999999996</v>
      </c>
      <c r="F371" s="147">
        <f t="shared" si="50"/>
        <v>1.4171998047933058E-17</v>
      </c>
      <c r="I371" s="66">
        <f t="shared" si="45"/>
        <v>74340915.94691655</v>
      </c>
      <c r="J371" s="66">
        <f t="shared" si="46"/>
        <v>1.4171998047933058E-17</v>
      </c>
    </row>
    <row r="372" spans="1:10" x14ac:dyDescent="0.25">
      <c r="A372" s="66">
        <f t="shared" si="52"/>
        <v>74.562829128847653</v>
      </c>
      <c r="B372" s="146">
        <f t="shared" si="51"/>
        <v>336</v>
      </c>
      <c r="C372" s="141">
        <f t="shared" si="47"/>
        <v>1.0212601922760611E-25</v>
      </c>
      <c r="D372" s="66">
        <f t="shared" si="48"/>
        <v>165695175.84188369</v>
      </c>
      <c r="E372" s="89">
        <f t="shared" si="49"/>
        <v>0.44999999999999996</v>
      </c>
      <c r="F372" s="147">
        <f t="shared" si="50"/>
        <v>7.6148049212774051E-18</v>
      </c>
      <c r="I372" s="66">
        <f t="shared" si="45"/>
        <v>74562829.128847659</v>
      </c>
      <c r="J372" s="66">
        <f t="shared" si="46"/>
        <v>7.6148049212774051E-18</v>
      </c>
    </row>
    <row r="373" spans="1:10" x14ac:dyDescent="0.25">
      <c r="A373" s="66">
        <f t="shared" si="52"/>
        <v>74.784742310778739</v>
      </c>
      <c r="B373" s="146">
        <f t="shared" si="51"/>
        <v>337</v>
      </c>
      <c r="C373" s="141">
        <f t="shared" si="47"/>
        <v>5.4548022139373654E-26</v>
      </c>
      <c r="D373" s="66">
        <f t="shared" si="48"/>
        <v>166188316.24617499</v>
      </c>
      <c r="E373" s="89">
        <f t="shared" si="49"/>
        <v>0.44999999999999996</v>
      </c>
      <c r="F373" s="147">
        <f t="shared" si="50"/>
        <v>4.0793597792557125E-18</v>
      </c>
      <c r="I373" s="66">
        <f t="shared" si="45"/>
        <v>74784742.310778737</v>
      </c>
      <c r="J373" s="66">
        <f t="shared" si="46"/>
        <v>4.0793597792557125E-18</v>
      </c>
    </row>
    <row r="374" spans="1:10" x14ac:dyDescent="0.25">
      <c r="A374" s="66">
        <f t="shared" si="52"/>
        <v>75.006655492709839</v>
      </c>
      <c r="B374" s="146">
        <f t="shared" si="51"/>
        <v>338</v>
      </c>
      <c r="C374" s="141">
        <f t="shared" si="47"/>
        <v>2.90492425594307E-26</v>
      </c>
      <c r="D374" s="66">
        <f t="shared" si="48"/>
        <v>166681456.65046632</v>
      </c>
      <c r="E374" s="89">
        <f t="shared" si="49"/>
        <v>0.44999999999999996</v>
      </c>
      <c r="F374" s="147">
        <f t="shared" si="50"/>
        <v>2.1788865289793832E-18</v>
      </c>
      <c r="I374" s="66">
        <f t="shared" si="45"/>
        <v>75006655.492709845</v>
      </c>
      <c r="J374" s="66">
        <f t="shared" si="46"/>
        <v>2.1788865289793832E-18</v>
      </c>
    </row>
    <row r="375" spans="1:10" x14ac:dyDescent="0.25">
      <c r="A375" s="66">
        <f t="shared" si="52"/>
        <v>75.22856867464094</v>
      </c>
      <c r="B375" s="146">
        <f t="shared" si="51"/>
        <v>339</v>
      </c>
      <c r="C375" s="141">
        <f t="shared" si="47"/>
        <v>1.5424376580228593E-26</v>
      </c>
      <c r="D375" s="66">
        <f t="shared" si="48"/>
        <v>167174597.05475765</v>
      </c>
      <c r="E375" s="89">
        <f t="shared" si="49"/>
        <v>0.44999999999999996</v>
      </c>
      <c r="F375" s="147">
        <f t="shared" si="50"/>
        <v>1.16035377282925E-18</v>
      </c>
      <c r="I375" s="66">
        <f t="shared" si="45"/>
        <v>75228568.674640939</v>
      </c>
      <c r="J375" s="66">
        <f t="shared" si="46"/>
        <v>1.16035377282925E-18</v>
      </c>
    </row>
    <row r="376" spans="1:10" x14ac:dyDescent="0.25">
      <c r="A376" s="66">
        <f t="shared" si="52"/>
        <v>75.450481856572011</v>
      </c>
      <c r="B376" s="146">
        <f t="shared" si="51"/>
        <v>340</v>
      </c>
      <c r="C376" s="141">
        <f t="shared" si="47"/>
        <v>8.1658464248266409E-27</v>
      </c>
      <c r="D376" s="66">
        <f t="shared" si="48"/>
        <v>167667737.45904896</v>
      </c>
      <c r="E376" s="89">
        <f t="shared" si="49"/>
        <v>0.44999999999999996</v>
      </c>
      <c r="F376" s="147">
        <f t="shared" si="50"/>
        <v>6.1611704751993594E-19</v>
      </c>
      <c r="I376" s="66">
        <f t="shared" si="45"/>
        <v>75450481.856572017</v>
      </c>
      <c r="J376" s="66">
        <f t="shared" si="46"/>
        <v>6.1611704751993594E-19</v>
      </c>
    </row>
    <row r="377" spans="1:10" x14ac:dyDescent="0.25">
      <c r="A377" s="66">
        <f t="shared" si="52"/>
        <v>75.672395038503126</v>
      </c>
      <c r="B377" s="146">
        <f t="shared" si="51"/>
        <v>341</v>
      </c>
      <c r="C377" s="141">
        <f t="shared" si="47"/>
        <v>4.3104174676504509E-27</v>
      </c>
      <c r="D377" s="66">
        <f t="shared" si="48"/>
        <v>168160877.86334029</v>
      </c>
      <c r="E377" s="89">
        <f t="shared" si="49"/>
        <v>0.44999999999999996</v>
      </c>
      <c r="F377" s="147">
        <f t="shared" si="50"/>
        <v>3.2617961339290919E-19</v>
      </c>
      <c r="I377" s="66">
        <f t="shared" si="45"/>
        <v>75672395.038503125</v>
      </c>
      <c r="J377" s="66">
        <f t="shared" si="46"/>
        <v>3.2617961339290919E-19</v>
      </c>
    </row>
    <row r="378" spans="1:10" x14ac:dyDescent="0.25">
      <c r="A378" s="66">
        <f t="shared" si="52"/>
        <v>75.894308220434198</v>
      </c>
      <c r="B378" s="146">
        <f t="shared" si="51"/>
        <v>342</v>
      </c>
      <c r="C378" s="141">
        <f t="shared" si="47"/>
        <v>2.268640772447654E-27</v>
      </c>
      <c r="D378" s="66">
        <f t="shared" si="48"/>
        <v>168654018.26763159</v>
      </c>
      <c r="E378" s="89">
        <f t="shared" si="49"/>
        <v>0.44999999999999996</v>
      </c>
      <c r="F378" s="147">
        <f t="shared" si="50"/>
        <v>1.7217692202558619E-19</v>
      </c>
      <c r="I378" s="66">
        <f t="shared" si="45"/>
        <v>75894308.220434204</v>
      </c>
      <c r="J378" s="66">
        <f t="shared" si="46"/>
        <v>1.7217692202558619E-19</v>
      </c>
    </row>
    <row r="379" spans="1:10" x14ac:dyDescent="0.25">
      <c r="A379" s="66">
        <f t="shared" si="52"/>
        <v>76.116221402365312</v>
      </c>
      <c r="B379" s="146">
        <f t="shared" si="51"/>
        <v>343</v>
      </c>
      <c r="C379" s="141">
        <f t="shared" si="47"/>
        <v>1.1905403470570689E-27</v>
      </c>
      <c r="D379" s="66">
        <f t="shared" si="48"/>
        <v>169147158.67192292</v>
      </c>
      <c r="E379" s="89">
        <f t="shared" si="49"/>
        <v>0.44999999999999996</v>
      </c>
      <c r="F379" s="147">
        <f t="shared" si="50"/>
        <v>9.06194326450447E-20</v>
      </c>
      <c r="I379" s="66">
        <f t="shared" si="45"/>
        <v>76116221.402365312</v>
      </c>
      <c r="J379" s="66">
        <f t="shared" si="46"/>
        <v>9.06194326450447E-20</v>
      </c>
    </row>
    <row r="380" spans="1:10" x14ac:dyDescent="0.25">
      <c r="A380" s="66">
        <f t="shared" si="52"/>
        <v>76.338134584296412</v>
      </c>
      <c r="B380" s="146">
        <f t="shared" si="51"/>
        <v>344</v>
      </c>
      <c r="C380" s="141">
        <f t="shared" si="47"/>
        <v>6.229571583437952E-28</v>
      </c>
      <c r="D380" s="66">
        <f t="shared" si="48"/>
        <v>169640299.07621425</v>
      </c>
      <c r="E380" s="89">
        <f t="shared" si="49"/>
        <v>0.44999999999999996</v>
      </c>
      <c r="F380" s="147">
        <f t="shared" si="50"/>
        <v>4.7555387393899483E-20</v>
      </c>
      <c r="I380" s="66">
        <f t="shared" si="45"/>
        <v>76338134.584296405</v>
      </c>
      <c r="J380" s="66">
        <f t="shared" si="46"/>
        <v>4.7555387393899483E-20</v>
      </c>
    </row>
    <row r="381" spans="1:10" x14ac:dyDescent="0.25">
      <c r="A381" s="66">
        <f t="shared" si="52"/>
        <v>76.560047766227498</v>
      </c>
      <c r="B381" s="146">
        <f t="shared" si="51"/>
        <v>345</v>
      </c>
      <c r="C381" s="141">
        <f t="shared" si="47"/>
        <v>3.2502112609241917E-28</v>
      </c>
      <c r="D381" s="66">
        <f t="shared" si="48"/>
        <v>170133439.48050556</v>
      </c>
      <c r="E381" s="89">
        <f t="shared" si="49"/>
        <v>0.44999999999999996</v>
      </c>
      <c r="F381" s="147">
        <f t="shared" si="50"/>
        <v>2.4883632938668663E-20</v>
      </c>
      <c r="I381" s="66">
        <f t="shared" si="45"/>
        <v>76560047.766227499</v>
      </c>
      <c r="J381" s="66">
        <f t="shared" si="46"/>
        <v>2.4883632938668663E-20</v>
      </c>
    </row>
    <row r="382" spans="1:10" x14ac:dyDescent="0.25">
      <c r="A382" s="66">
        <f t="shared" si="52"/>
        <v>76.781960948158599</v>
      </c>
      <c r="B382" s="146">
        <f t="shared" si="51"/>
        <v>346</v>
      </c>
      <c r="C382" s="141">
        <f t="shared" si="47"/>
        <v>1.6908613496137054E-28</v>
      </c>
      <c r="D382" s="66">
        <f t="shared" si="48"/>
        <v>170626579.88479689</v>
      </c>
      <c r="E382" s="89">
        <f t="shared" si="49"/>
        <v>0.44999999999999996</v>
      </c>
      <c r="F382" s="147">
        <f t="shared" si="50"/>
        <v>1.2982765011479026E-20</v>
      </c>
      <c r="I382" s="66">
        <f t="shared" si="45"/>
        <v>76781960.948158592</v>
      </c>
      <c r="J382" s="66">
        <f t="shared" si="46"/>
        <v>1.2982765011479026E-20</v>
      </c>
    </row>
    <row r="383" spans="1:10" x14ac:dyDescent="0.25">
      <c r="A383" s="66">
        <f t="shared" si="52"/>
        <v>77.003874130089685</v>
      </c>
      <c r="B383" s="146">
        <f t="shared" si="51"/>
        <v>347</v>
      </c>
      <c r="C383" s="141">
        <f t="shared" si="47"/>
        <v>8.7710387011662467E-29</v>
      </c>
      <c r="D383" s="66">
        <f t="shared" si="48"/>
        <v>171119720.28908822</v>
      </c>
      <c r="E383" s="89">
        <f t="shared" si="49"/>
        <v>0.44999999999999996</v>
      </c>
      <c r="F383" s="147">
        <f t="shared" si="50"/>
        <v>6.7540396013475101E-21</v>
      </c>
      <c r="I383" s="66">
        <f t="shared" si="45"/>
        <v>77003874.130089685</v>
      </c>
      <c r="J383" s="66">
        <f t="shared" si="46"/>
        <v>6.7540396013475101E-21</v>
      </c>
    </row>
    <row r="384" spans="1:10" x14ac:dyDescent="0.25">
      <c r="A384" s="66">
        <f t="shared" si="52"/>
        <v>77.225787312020785</v>
      </c>
      <c r="B384" s="146">
        <f t="shared" si="51"/>
        <v>348</v>
      </c>
      <c r="C384" s="141">
        <f t="shared" si="47"/>
        <v>4.5367441557756924E-29</v>
      </c>
      <c r="D384" s="66">
        <f t="shared" si="48"/>
        <v>171612860.69337952</v>
      </c>
      <c r="E384" s="89">
        <f t="shared" si="49"/>
        <v>0.44999999999999996</v>
      </c>
      <c r="F384" s="147">
        <f t="shared" si="50"/>
        <v>3.5035363926298691E-21</v>
      </c>
      <c r="I384" s="66">
        <f t="shared" ref="I384:I447" si="53">D384*E384</f>
        <v>77225787.312020779</v>
      </c>
      <c r="J384" s="66">
        <f t="shared" ref="J384:J447" si="54">I384*C384</f>
        <v>3.5035363926298691E-21</v>
      </c>
    </row>
    <row r="385" spans="1:10" x14ac:dyDescent="0.25">
      <c r="A385" s="66">
        <f t="shared" si="52"/>
        <v>77.447700493951871</v>
      </c>
      <c r="B385" s="146">
        <f t="shared" si="51"/>
        <v>349</v>
      </c>
      <c r="C385" s="141">
        <f t="shared" si="47"/>
        <v>2.3398680459588282E-29</v>
      </c>
      <c r="D385" s="66">
        <f t="shared" si="48"/>
        <v>172106001.09767085</v>
      </c>
      <c r="E385" s="89">
        <f t="shared" si="49"/>
        <v>0.44999999999999996</v>
      </c>
      <c r="F385" s="147">
        <f t="shared" si="50"/>
        <v>1.8121739961878774E-21</v>
      </c>
      <c r="I385" s="66">
        <f t="shared" si="53"/>
        <v>77447700.493951872</v>
      </c>
      <c r="J385" s="66">
        <f t="shared" si="54"/>
        <v>1.8121739961878774E-21</v>
      </c>
    </row>
    <row r="386" spans="1:10" x14ac:dyDescent="0.25">
      <c r="A386" s="66">
        <f t="shared" si="52"/>
        <v>77.669613675882971</v>
      </c>
      <c r="B386" s="146">
        <f t="shared" si="51"/>
        <v>350</v>
      </c>
      <c r="C386" s="141">
        <f t="shared" si="47"/>
        <v>1.2033607093502384E-29</v>
      </c>
      <c r="D386" s="66">
        <f t="shared" si="48"/>
        <v>172599141.50196216</v>
      </c>
      <c r="E386" s="89">
        <f t="shared" si="49"/>
        <v>0.44999999999999996</v>
      </c>
      <c r="F386" s="147">
        <f t="shared" si="50"/>
        <v>9.3464561407969505E-22</v>
      </c>
      <c r="I386" s="66">
        <f t="shared" si="53"/>
        <v>77669613.675882965</v>
      </c>
      <c r="J386" s="66">
        <f t="shared" si="54"/>
        <v>9.3464561407969505E-22</v>
      </c>
    </row>
    <row r="387" spans="1:10" x14ac:dyDescent="0.25">
      <c r="A387" s="66">
        <f t="shared" si="52"/>
        <v>77.891526857814057</v>
      </c>
      <c r="B387" s="146">
        <f t="shared" si="51"/>
        <v>351</v>
      </c>
      <c r="C387" s="141">
        <f t="shared" si="47"/>
        <v>6.1710805607706337E-30</v>
      </c>
      <c r="D387" s="66">
        <f t="shared" si="48"/>
        <v>173092281.90625349</v>
      </c>
      <c r="E387" s="89">
        <f t="shared" si="49"/>
        <v>0.44999999999999996</v>
      </c>
      <c r="F387" s="147">
        <f t="shared" si="50"/>
        <v>4.8067488724100001E-22</v>
      </c>
      <c r="I387" s="66">
        <f t="shared" si="53"/>
        <v>77891526.857814059</v>
      </c>
      <c r="J387" s="66">
        <f t="shared" si="54"/>
        <v>4.8067488724100001E-22</v>
      </c>
    </row>
    <row r="388" spans="1:10" x14ac:dyDescent="0.25">
      <c r="A388" s="66">
        <f t="shared" si="52"/>
        <v>78.113440039745171</v>
      </c>
      <c r="B388" s="146">
        <f t="shared" si="51"/>
        <v>352</v>
      </c>
      <c r="C388" s="141">
        <f t="shared" si="47"/>
        <v>3.1556661958486196E-30</v>
      </c>
      <c r="D388" s="66">
        <f t="shared" si="48"/>
        <v>173585422.31054482</v>
      </c>
      <c r="E388" s="89">
        <f t="shared" si="49"/>
        <v>0.44999999999999996</v>
      </c>
      <c r="F388" s="147">
        <f t="shared" si="50"/>
        <v>2.4649994217487189E-22</v>
      </c>
      <c r="I388" s="66">
        <f t="shared" si="53"/>
        <v>78113440.039745167</v>
      </c>
      <c r="J388" s="66">
        <f t="shared" si="54"/>
        <v>2.4649994217487189E-22</v>
      </c>
    </row>
    <row r="389" spans="1:10" x14ac:dyDescent="0.25">
      <c r="A389" s="66">
        <f t="shared" si="52"/>
        <v>78.335353221676243</v>
      </c>
      <c r="B389" s="146">
        <f t="shared" si="51"/>
        <v>353</v>
      </c>
      <c r="C389" s="141">
        <f t="shared" si="47"/>
        <v>1.6091215729539559E-30</v>
      </c>
      <c r="D389" s="66">
        <f t="shared" si="48"/>
        <v>174078562.71483612</v>
      </c>
      <c r="E389" s="89">
        <f t="shared" si="49"/>
        <v>0.44999999999999996</v>
      </c>
      <c r="F389" s="147">
        <f t="shared" si="50"/>
        <v>1.2605110679396743E-22</v>
      </c>
      <c r="I389" s="66">
        <f t="shared" si="53"/>
        <v>78335353.221676245</v>
      </c>
      <c r="J389" s="66">
        <f t="shared" si="54"/>
        <v>1.2605110679396743E-22</v>
      </c>
    </row>
    <row r="390" spans="1:10" x14ac:dyDescent="0.25">
      <c r="A390" s="66">
        <f t="shared" si="52"/>
        <v>78.557266403607343</v>
      </c>
      <c r="B390" s="146">
        <f t="shared" si="51"/>
        <v>354</v>
      </c>
      <c r="C390" s="141">
        <f t="shared" si="47"/>
        <v>8.1819740997661442E-31</v>
      </c>
      <c r="D390" s="66">
        <f t="shared" si="48"/>
        <v>174571703.11912745</v>
      </c>
      <c r="E390" s="89">
        <f t="shared" si="49"/>
        <v>0.44999999999999996</v>
      </c>
      <c r="F390" s="147">
        <f t="shared" si="50"/>
        <v>6.4275351906274427E-23</v>
      </c>
      <c r="I390" s="66">
        <f t="shared" si="53"/>
        <v>78557266.403607339</v>
      </c>
      <c r="J390" s="66">
        <f t="shared" si="54"/>
        <v>6.4275351906274427E-23</v>
      </c>
    </row>
    <row r="391" spans="1:10" x14ac:dyDescent="0.25">
      <c r="A391" s="66">
        <f t="shared" si="52"/>
        <v>78.779179585538429</v>
      </c>
      <c r="B391" s="146">
        <f t="shared" si="51"/>
        <v>355</v>
      </c>
      <c r="C391" s="141">
        <f t="shared" si="47"/>
        <v>4.1486065857967763E-31</v>
      </c>
      <c r="D391" s="66">
        <f t="shared" si="48"/>
        <v>175064843.52341875</v>
      </c>
      <c r="E391" s="89">
        <f t="shared" si="49"/>
        <v>0.44999999999999996</v>
      </c>
      <c r="F391" s="147">
        <f t="shared" si="50"/>
        <v>3.2682382325223168E-23</v>
      </c>
      <c r="I391" s="66">
        <f t="shared" si="53"/>
        <v>78779179.585538432</v>
      </c>
      <c r="J391" s="66">
        <f t="shared" si="54"/>
        <v>3.2682382325223168E-23</v>
      </c>
    </row>
    <row r="392" spans="1:10" x14ac:dyDescent="0.25">
      <c r="A392" s="66">
        <f t="shared" si="52"/>
        <v>79.00109276746953</v>
      </c>
      <c r="B392" s="146">
        <f t="shared" si="51"/>
        <v>356</v>
      </c>
      <c r="C392" s="141">
        <f t="shared" si="47"/>
        <v>2.0976100714702318E-31</v>
      </c>
      <c r="D392" s="66">
        <f t="shared" si="48"/>
        <v>175557983.92771009</v>
      </c>
      <c r="E392" s="89">
        <f t="shared" si="49"/>
        <v>0.44999999999999996</v>
      </c>
      <c r="F392" s="147">
        <f t="shared" si="50"/>
        <v>1.6571348784619816E-23</v>
      </c>
      <c r="I392" s="66">
        <f t="shared" si="53"/>
        <v>79001092.767469525</v>
      </c>
      <c r="J392" s="66">
        <f t="shared" si="54"/>
        <v>1.6571348784619816E-23</v>
      </c>
    </row>
    <row r="393" spans="1:10" x14ac:dyDescent="0.25">
      <c r="A393" s="66">
        <f t="shared" si="52"/>
        <v>79.22300594940063</v>
      </c>
      <c r="B393" s="146">
        <f t="shared" si="51"/>
        <v>357</v>
      </c>
      <c r="C393" s="141">
        <f t="shared" si="47"/>
        <v>1.0576185234303592E-31</v>
      </c>
      <c r="D393" s="66">
        <f t="shared" si="48"/>
        <v>176051124.33200142</v>
      </c>
      <c r="E393" s="89">
        <f t="shared" si="49"/>
        <v>0.44999999999999996</v>
      </c>
      <c r="F393" s="147">
        <f t="shared" si="50"/>
        <v>8.3787718573919658E-24</v>
      </c>
      <c r="I393" s="66">
        <f t="shared" si="53"/>
        <v>79223005.949400634</v>
      </c>
      <c r="J393" s="66">
        <f t="shared" si="54"/>
        <v>8.3787718573919658E-24</v>
      </c>
    </row>
    <row r="394" spans="1:10" x14ac:dyDescent="0.25">
      <c r="A394" s="66">
        <f t="shared" si="52"/>
        <v>79.444919131331716</v>
      </c>
      <c r="B394" s="146">
        <f t="shared" si="51"/>
        <v>358</v>
      </c>
      <c r="C394" s="141">
        <f t="shared" si="47"/>
        <v>5.3176350340075054E-32</v>
      </c>
      <c r="D394" s="66">
        <f t="shared" si="48"/>
        <v>176544264.73629272</v>
      </c>
      <c r="E394" s="89">
        <f t="shared" si="49"/>
        <v>0.44999999999999996</v>
      </c>
      <c r="F394" s="147">
        <f t="shared" si="50"/>
        <v>4.2245908524666263E-24</v>
      </c>
      <c r="I394" s="66">
        <f t="shared" si="53"/>
        <v>79444919.131331712</v>
      </c>
      <c r="J394" s="66">
        <f t="shared" si="54"/>
        <v>4.2245908524666263E-24</v>
      </c>
    </row>
    <row r="395" spans="1:10" x14ac:dyDescent="0.25">
      <c r="A395" s="66">
        <f t="shared" si="52"/>
        <v>79.666832313262816</v>
      </c>
      <c r="B395" s="146">
        <f t="shared" si="51"/>
        <v>359</v>
      </c>
      <c r="C395" s="141">
        <f t="shared" si="47"/>
        <v>2.6662236939313482E-32</v>
      </c>
      <c r="D395" s="66">
        <f t="shared" si="48"/>
        <v>177037405.14058405</v>
      </c>
      <c r="E395" s="89">
        <f t="shared" si="49"/>
        <v>0.44999999999999996</v>
      </c>
      <c r="F395" s="147">
        <f t="shared" si="50"/>
        <v>2.1240959593407691E-24</v>
      </c>
      <c r="I395" s="66">
        <f t="shared" si="53"/>
        <v>79666832.31326282</v>
      </c>
      <c r="J395" s="66">
        <f t="shared" si="54"/>
        <v>2.1240959593407691E-24</v>
      </c>
    </row>
    <row r="396" spans="1:10" x14ac:dyDescent="0.25">
      <c r="A396" s="66">
        <f t="shared" si="52"/>
        <v>79.888745495193916</v>
      </c>
      <c r="B396" s="146">
        <f t="shared" si="51"/>
        <v>360</v>
      </c>
      <c r="C396" s="141">
        <f t="shared" si="47"/>
        <v>1.3331118469656914E-32</v>
      </c>
      <c r="D396" s="66">
        <f t="shared" si="48"/>
        <v>177530545.54487538</v>
      </c>
      <c r="E396" s="89">
        <f t="shared" si="49"/>
        <v>0.44999999999999996</v>
      </c>
      <c r="F396" s="147">
        <f t="shared" si="50"/>
        <v>1.0650063305887002E-24</v>
      </c>
      <c r="I396" s="66">
        <f t="shared" si="53"/>
        <v>79888745.495193914</v>
      </c>
      <c r="J396" s="66">
        <f t="shared" si="54"/>
        <v>1.0650063305887002E-24</v>
      </c>
    </row>
    <row r="397" spans="1:10" x14ac:dyDescent="0.25">
      <c r="A397" s="66">
        <f t="shared" si="52"/>
        <v>80.110658677125002</v>
      </c>
      <c r="B397" s="146">
        <f t="shared" si="51"/>
        <v>361</v>
      </c>
      <c r="C397" s="141">
        <f t="shared" si="47"/>
        <v>6.6470950818233828E-33</v>
      </c>
      <c r="D397" s="66">
        <f t="shared" si="48"/>
        <v>178023685.94916669</v>
      </c>
      <c r="E397" s="89">
        <f t="shared" si="49"/>
        <v>0.44999999999999996</v>
      </c>
      <c r="F397" s="147">
        <f t="shared" si="50"/>
        <v>5.3250316529434937E-25</v>
      </c>
      <c r="I397" s="66">
        <f t="shared" si="53"/>
        <v>80110658.677125007</v>
      </c>
      <c r="J397" s="66">
        <f t="shared" si="54"/>
        <v>5.3250316529434937E-25</v>
      </c>
    </row>
    <row r="398" spans="1:10" x14ac:dyDescent="0.25">
      <c r="A398" s="66">
        <f t="shared" si="52"/>
        <v>80.332571859056102</v>
      </c>
      <c r="B398" s="146">
        <f t="shared" si="51"/>
        <v>362</v>
      </c>
      <c r="C398" s="141">
        <f t="shared" si="47"/>
        <v>3.3051853998017188E-33</v>
      </c>
      <c r="D398" s="66">
        <f t="shared" si="48"/>
        <v>178516826.35345802</v>
      </c>
      <c r="E398" s="89">
        <f t="shared" si="49"/>
        <v>0.44999999999999996</v>
      </c>
      <c r="F398" s="147">
        <f t="shared" si="50"/>
        <v>2.6551404363707462E-25</v>
      </c>
      <c r="I398" s="66">
        <f t="shared" si="53"/>
        <v>80332571.8590561</v>
      </c>
      <c r="J398" s="66">
        <f t="shared" si="54"/>
        <v>2.6551404363707462E-25</v>
      </c>
    </row>
    <row r="399" spans="1:10" x14ac:dyDescent="0.25">
      <c r="A399" s="66">
        <f t="shared" si="52"/>
        <v>80.554485040987174</v>
      </c>
      <c r="B399" s="146">
        <f t="shared" si="51"/>
        <v>363</v>
      </c>
      <c r="C399" s="141">
        <f t="shared" si="47"/>
        <v>1.6389349089925841E-33</v>
      </c>
      <c r="D399" s="66">
        <f t="shared" si="48"/>
        <v>179009966.75774932</v>
      </c>
      <c r="E399" s="89">
        <f t="shared" si="49"/>
        <v>0.44999999999999996</v>
      </c>
      <c r="F399" s="147">
        <f t="shared" si="50"/>
        <v>1.3202355760959481E-25</v>
      </c>
      <c r="I399" s="66">
        <f t="shared" si="53"/>
        <v>80554485.040987179</v>
      </c>
      <c r="J399" s="66">
        <f t="shared" si="54"/>
        <v>1.3202355760959481E-25</v>
      </c>
    </row>
    <row r="400" spans="1:10" x14ac:dyDescent="0.25">
      <c r="A400" s="66">
        <f t="shared" si="52"/>
        <v>80.776398222918289</v>
      </c>
      <c r="B400" s="146">
        <f t="shared" si="51"/>
        <v>364</v>
      </c>
      <c r="C400" s="141">
        <f t="shared" si="47"/>
        <v>8.1046231763369992E-34</v>
      </c>
      <c r="D400" s="66">
        <f t="shared" si="48"/>
        <v>179503107.16204065</v>
      </c>
      <c r="E400" s="89">
        <f t="shared" si="49"/>
        <v>0.44999999999999996</v>
      </c>
      <c r="F400" s="147">
        <f t="shared" si="50"/>
        <v>6.5466226913849031E-26</v>
      </c>
      <c r="I400" s="66">
        <f t="shared" si="53"/>
        <v>80776398.222918287</v>
      </c>
      <c r="J400" s="66">
        <f t="shared" si="54"/>
        <v>6.5466226913849031E-26</v>
      </c>
    </row>
    <row r="401" spans="1:10" x14ac:dyDescent="0.25">
      <c r="A401" s="66">
        <f t="shared" si="52"/>
        <v>80.998311404849375</v>
      </c>
      <c r="B401" s="146">
        <f t="shared" si="51"/>
        <v>365</v>
      </c>
      <c r="C401" s="141">
        <f t="shared" si="47"/>
        <v>3.9968004705224431E-34</v>
      </c>
      <c r="D401" s="66">
        <f t="shared" si="48"/>
        <v>179996247.56633198</v>
      </c>
      <c r="E401" s="89">
        <f t="shared" si="49"/>
        <v>0.44999999999999996</v>
      </c>
      <c r="F401" s="147">
        <f t="shared" si="50"/>
        <v>3.2373408913442536E-26</v>
      </c>
      <c r="I401" s="66">
        <f t="shared" si="53"/>
        <v>80998311.40484938</v>
      </c>
      <c r="J401" s="66">
        <f t="shared" si="54"/>
        <v>3.2373408913442536E-26</v>
      </c>
    </row>
    <row r="402" spans="1:10" x14ac:dyDescent="0.25">
      <c r="A402" s="66">
        <f t="shared" si="52"/>
        <v>81.220224586780475</v>
      </c>
      <c r="B402" s="146">
        <f t="shared" si="51"/>
        <v>366</v>
      </c>
      <c r="C402" s="141">
        <f t="shared" si="47"/>
        <v>1.9656395756668072E-34</v>
      </c>
      <c r="D402" s="66">
        <f t="shared" si="48"/>
        <v>180489387.97062328</v>
      </c>
      <c r="E402" s="89">
        <f t="shared" si="49"/>
        <v>0.44999999999999996</v>
      </c>
      <c r="F402" s="147">
        <f t="shared" si="50"/>
        <v>1.5964968779232194E-26</v>
      </c>
      <c r="I402" s="66">
        <f t="shared" si="53"/>
        <v>81220224.586780474</v>
      </c>
      <c r="J402" s="66">
        <f t="shared" si="54"/>
        <v>1.5964968779232194E-26</v>
      </c>
    </row>
    <row r="403" spans="1:10" x14ac:dyDescent="0.25">
      <c r="A403" s="66">
        <f t="shared" si="52"/>
        <v>81.442137768711561</v>
      </c>
      <c r="B403" s="146">
        <f t="shared" si="51"/>
        <v>367</v>
      </c>
      <c r="C403" s="141">
        <f t="shared" si="47"/>
        <v>9.6407390632156935E-35</v>
      </c>
      <c r="D403" s="66">
        <f t="shared" si="48"/>
        <v>180982528.37491462</v>
      </c>
      <c r="E403" s="89">
        <f t="shared" si="49"/>
        <v>0.44999999999999996</v>
      </c>
      <c r="F403" s="147">
        <f t="shared" si="50"/>
        <v>7.8516239897861179E-27</v>
      </c>
      <c r="I403" s="66">
        <f t="shared" si="53"/>
        <v>81442137.768711567</v>
      </c>
      <c r="J403" s="66">
        <f t="shared" si="54"/>
        <v>7.8516239897861179E-27</v>
      </c>
    </row>
    <row r="404" spans="1:10" x14ac:dyDescent="0.25">
      <c r="A404" s="66">
        <f t="shared" si="52"/>
        <v>81.664050950642675</v>
      </c>
      <c r="B404" s="146">
        <f t="shared" si="51"/>
        <v>368</v>
      </c>
      <c r="C404" s="141">
        <f t="shared" si="47"/>
        <v>4.7155788896163843E-35</v>
      </c>
      <c r="D404" s="66">
        <f t="shared" si="48"/>
        <v>181475668.77920595</v>
      </c>
      <c r="E404" s="89">
        <f t="shared" si="49"/>
        <v>0.44999999999999996</v>
      </c>
      <c r="F404" s="147">
        <f t="shared" si="50"/>
        <v>3.8509327470340745E-27</v>
      </c>
      <c r="I404" s="66">
        <f t="shared" si="53"/>
        <v>81664050.950642675</v>
      </c>
      <c r="J404" s="66">
        <f t="shared" si="54"/>
        <v>3.8509327470340745E-27</v>
      </c>
    </row>
    <row r="405" spans="1:10" x14ac:dyDescent="0.25">
      <c r="A405" s="66">
        <f t="shared" si="52"/>
        <v>81.885964132573747</v>
      </c>
      <c r="B405" s="146">
        <f t="shared" si="51"/>
        <v>369</v>
      </c>
      <c r="C405" s="141">
        <f t="shared" si="47"/>
        <v>2.3002823851786585E-35</v>
      </c>
      <c r="D405" s="66">
        <f t="shared" si="48"/>
        <v>181968809.18349725</v>
      </c>
      <c r="E405" s="89">
        <f t="shared" si="49"/>
        <v>0.44999999999999996</v>
      </c>
      <c r="F405" s="147">
        <f t="shared" si="50"/>
        <v>1.8836084088753082E-27</v>
      </c>
      <c r="I405" s="66">
        <f t="shared" si="53"/>
        <v>81885964.132573754</v>
      </c>
      <c r="J405" s="66">
        <f t="shared" si="54"/>
        <v>1.8836084088753082E-27</v>
      </c>
    </row>
    <row r="406" spans="1:10" x14ac:dyDescent="0.25">
      <c r="A406" s="66">
        <f t="shared" si="52"/>
        <v>82.107877314504847</v>
      </c>
      <c r="B406" s="146">
        <f t="shared" si="51"/>
        <v>370</v>
      </c>
      <c r="C406" s="141">
        <f t="shared" si="47"/>
        <v>1.1190562954923491E-35</v>
      </c>
      <c r="D406" s="66">
        <f t="shared" si="48"/>
        <v>182461949.58778858</v>
      </c>
      <c r="E406" s="89">
        <f t="shared" si="49"/>
        <v>0.44999999999999996</v>
      </c>
      <c r="F406" s="147">
        <f t="shared" si="50"/>
        <v>9.1883337018310081E-28</v>
      </c>
      <c r="I406" s="66">
        <f t="shared" si="53"/>
        <v>82107877.314504847</v>
      </c>
      <c r="J406" s="66">
        <f t="shared" si="54"/>
        <v>9.1883337018310081E-28</v>
      </c>
    </row>
    <row r="407" spans="1:10" x14ac:dyDescent="0.25">
      <c r="A407" s="66">
        <f t="shared" si="52"/>
        <v>82.329790496435933</v>
      </c>
      <c r="B407" s="146">
        <f t="shared" si="51"/>
        <v>371</v>
      </c>
      <c r="C407" s="141">
        <f t="shared" si="47"/>
        <v>5.4293836438981716E-36</v>
      </c>
      <c r="D407" s="66">
        <f t="shared" si="48"/>
        <v>182955089.99207988</v>
      </c>
      <c r="E407" s="89">
        <f t="shared" si="49"/>
        <v>0.44999999999999996</v>
      </c>
      <c r="F407" s="147">
        <f t="shared" si="50"/>
        <v>4.4700001792691239E-28</v>
      </c>
      <c r="I407" s="66">
        <f t="shared" si="53"/>
        <v>82329790.49643594</v>
      </c>
      <c r="J407" s="66">
        <f t="shared" si="54"/>
        <v>4.4700001792691239E-28</v>
      </c>
    </row>
    <row r="408" spans="1:10" x14ac:dyDescent="0.25">
      <c r="A408" s="66">
        <f t="shared" si="52"/>
        <v>82.551703678367033</v>
      </c>
      <c r="B408" s="146">
        <f t="shared" si="51"/>
        <v>372</v>
      </c>
      <c r="C408" s="141">
        <f t="shared" si="47"/>
        <v>2.6271211180150514E-36</v>
      </c>
      <c r="D408" s="66">
        <f t="shared" si="48"/>
        <v>183448230.39637122</v>
      </c>
      <c r="E408" s="89">
        <f t="shared" si="49"/>
        <v>0.44999999999999996</v>
      </c>
      <c r="F408" s="147">
        <f t="shared" si="50"/>
        <v>2.1687332406155883E-28</v>
      </c>
      <c r="I408" s="66">
        <f t="shared" si="53"/>
        <v>82551703.678367034</v>
      </c>
      <c r="J408" s="66">
        <f t="shared" si="54"/>
        <v>2.1687332406155883E-28</v>
      </c>
    </row>
    <row r="409" spans="1:10" x14ac:dyDescent="0.25">
      <c r="A409" s="66">
        <f t="shared" si="52"/>
        <v>82.773616860298148</v>
      </c>
      <c r="B409" s="146">
        <f t="shared" si="51"/>
        <v>373</v>
      </c>
      <c r="C409" s="141">
        <f t="shared" si="47"/>
        <v>1.2677796279965441E-36</v>
      </c>
      <c r="D409" s="66">
        <f t="shared" si="48"/>
        <v>183941370.80066255</v>
      </c>
      <c r="E409" s="89">
        <f t="shared" si="49"/>
        <v>0.44999999999999996</v>
      </c>
      <c r="F409" s="147">
        <f t="shared" si="50"/>
        <v>1.0493870519107725E-28</v>
      </c>
      <c r="I409" s="66">
        <f t="shared" si="53"/>
        <v>82773616.860298142</v>
      </c>
      <c r="J409" s="66">
        <f t="shared" si="54"/>
        <v>1.0493870519107725E-28</v>
      </c>
    </row>
    <row r="410" spans="1:10" x14ac:dyDescent="0.25">
      <c r="A410" s="66">
        <f t="shared" si="52"/>
        <v>82.99553004222922</v>
      </c>
      <c r="B410" s="146">
        <f t="shared" si="51"/>
        <v>374</v>
      </c>
      <c r="C410" s="141">
        <f t="shared" si="47"/>
        <v>6.101613182871061E-37</v>
      </c>
      <c r="D410" s="66">
        <f t="shared" si="48"/>
        <v>184434511.20495385</v>
      </c>
      <c r="E410" s="89">
        <f t="shared" si="49"/>
        <v>0.44999999999999996</v>
      </c>
      <c r="F410" s="147">
        <f t="shared" si="50"/>
        <v>5.0640662022503702E-29</v>
      </c>
      <c r="I410" s="66">
        <f t="shared" si="53"/>
        <v>82995530.04222922</v>
      </c>
      <c r="J410" s="66">
        <f t="shared" si="54"/>
        <v>5.0640662022503702E-29</v>
      </c>
    </row>
    <row r="411" spans="1:10" x14ac:dyDescent="0.25">
      <c r="A411" s="66">
        <f t="shared" si="52"/>
        <v>83.217443224160334</v>
      </c>
      <c r="B411" s="146">
        <f t="shared" si="51"/>
        <v>375</v>
      </c>
      <c r="C411" s="141">
        <f t="shared" si="47"/>
        <v>2.9287743277782111E-37</v>
      </c>
      <c r="D411" s="66">
        <f t="shared" si="48"/>
        <v>184927651.60924518</v>
      </c>
      <c r="E411" s="89">
        <f t="shared" si="49"/>
        <v>0.44999999999999996</v>
      </c>
      <c r="F411" s="147">
        <f t="shared" si="50"/>
        <v>2.4372511133826162E-29</v>
      </c>
      <c r="I411" s="66">
        <f t="shared" si="53"/>
        <v>83217443.224160329</v>
      </c>
      <c r="J411" s="66">
        <f t="shared" si="54"/>
        <v>2.4372511133826162E-29</v>
      </c>
    </row>
    <row r="412" spans="1:10" x14ac:dyDescent="0.25">
      <c r="A412" s="66">
        <f t="shared" si="52"/>
        <v>83.43935640609142</v>
      </c>
      <c r="B412" s="146">
        <f t="shared" si="51"/>
        <v>376</v>
      </c>
      <c r="C412" s="141">
        <f t="shared" si="47"/>
        <v>1.4020728164895501E-37</v>
      </c>
      <c r="D412" s="66">
        <f t="shared" si="48"/>
        <v>185420792.01353651</v>
      </c>
      <c r="E412" s="89">
        <f t="shared" si="49"/>
        <v>0.44999999999999996</v>
      </c>
      <c r="F412" s="147">
        <f t="shared" si="50"/>
        <v>1.1698805344236398E-29</v>
      </c>
      <c r="I412" s="66">
        <f t="shared" si="53"/>
        <v>83439356.406091422</v>
      </c>
      <c r="J412" s="66">
        <f t="shared" si="54"/>
        <v>1.1698805344236398E-29</v>
      </c>
    </row>
    <row r="413" spans="1:10" x14ac:dyDescent="0.25">
      <c r="A413" s="66">
        <f t="shared" si="52"/>
        <v>83.66126958802252</v>
      </c>
      <c r="B413" s="146">
        <f t="shared" si="51"/>
        <v>377</v>
      </c>
      <c r="C413" s="141">
        <f t="shared" si="47"/>
        <v>6.6942468691810211E-38</v>
      </c>
      <c r="D413" s="66">
        <f t="shared" si="48"/>
        <v>185913932.41782781</v>
      </c>
      <c r="E413" s="89">
        <f t="shared" si="49"/>
        <v>0.44999999999999996</v>
      </c>
      <c r="F413" s="147">
        <f t="shared" si="50"/>
        <v>5.6004919201132906E-30</v>
      </c>
      <c r="I413" s="66">
        <f t="shared" si="53"/>
        <v>83661269.588022515</v>
      </c>
      <c r="J413" s="66">
        <f t="shared" si="54"/>
        <v>5.6004919201132906E-30</v>
      </c>
    </row>
    <row r="414" spans="1:10" x14ac:dyDescent="0.25">
      <c r="A414" s="66">
        <f t="shared" si="52"/>
        <v>83.883182769953606</v>
      </c>
      <c r="B414" s="146">
        <f t="shared" si="51"/>
        <v>378</v>
      </c>
      <c r="C414" s="141">
        <f t="shared" si="47"/>
        <v>3.1877366043719488E-38</v>
      </c>
      <c r="D414" s="66">
        <f t="shared" si="48"/>
        <v>186407072.82211915</v>
      </c>
      <c r="E414" s="89">
        <f t="shared" si="49"/>
        <v>0.44999999999999996</v>
      </c>
      <c r="F414" s="147">
        <f t="shared" si="50"/>
        <v>2.6739749220700348E-30</v>
      </c>
      <c r="I414" s="66">
        <f t="shared" si="53"/>
        <v>83883182.769953609</v>
      </c>
      <c r="J414" s="66">
        <f t="shared" si="54"/>
        <v>2.6739749220700348E-30</v>
      </c>
    </row>
    <row r="415" spans="1:10" x14ac:dyDescent="0.25">
      <c r="A415" s="66">
        <f t="shared" si="52"/>
        <v>84.105095951884692</v>
      </c>
      <c r="B415" s="146">
        <f t="shared" si="51"/>
        <v>379</v>
      </c>
      <c r="C415" s="141">
        <f t="shared" si="47"/>
        <v>1.5139646142135603E-38</v>
      </c>
      <c r="D415" s="66">
        <f t="shared" si="48"/>
        <v>186900213.22641045</v>
      </c>
      <c r="E415" s="89">
        <f t="shared" si="49"/>
        <v>0.44999999999999996</v>
      </c>
      <c r="F415" s="147">
        <f t="shared" si="50"/>
        <v>1.2733213914618957E-30</v>
      </c>
      <c r="I415" s="66">
        <f t="shared" si="53"/>
        <v>84105095.951884687</v>
      </c>
      <c r="J415" s="66">
        <f t="shared" si="54"/>
        <v>1.2733213914618957E-30</v>
      </c>
    </row>
    <row r="416" spans="1:10" x14ac:dyDescent="0.25">
      <c r="A416" s="66">
        <f t="shared" si="52"/>
        <v>84.327009133815793</v>
      </c>
      <c r="B416" s="146">
        <f t="shared" si="51"/>
        <v>380</v>
      </c>
      <c r="C416" s="141">
        <f t="shared" si="47"/>
        <v>7.1714113304851503E-39</v>
      </c>
      <c r="D416" s="66">
        <f t="shared" si="48"/>
        <v>187393353.63070178</v>
      </c>
      <c r="E416" s="89">
        <f t="shared" si="49"/>
        <v>0.44999999999999996</v>
      </c>
      <c r="F416" s="147">
        <f t="shared" si="50"/>
        <v>6.0474366876817139E-31</v>
      </c>
      <c r="I416" s="66">
        <f t="shared" si="53"/>
        <v>84327009.133815795</v>
      </c>
      <c r="J416" s="66">
        <f t="shared" si="54"/>
        <v>6.0474366876817139E-31</v>
      </c>
    </row>
    <row r="417" spans="1:10" x14ac:dyDescent="0.25">
      <c r="A417" s="66">
        <f t="shared" si="52"/>
        <v>84.548922315746893</v>
      </c>
      <c r="B417" s="146">
        <f t="shared" si="51"/>
        <v>381</v>
      </c>
      <c r="C417" s="141">
        <f t="shared" si="47"/>
        <v>3.388068345111203E-39</v>
      </c>
      <c r="D417" s="66">
        <f t="shared" si="48"/>
        <v>187886494.03499311</v>
      </c>
      <c r="E417" s="89">
        <f t="shared" si="49"/>
        <v>0.44999999999999996</v>
      </c>
      <c r="F417" s="147">
        <f t="shared" si="50"/>
        <v>2.8645752731124821E-31</v>
      </c>
      <c r="I417" s="66">
        <f t="shared" si="53"/>
        <v>84548922.315746889</v>
      </c>
      <c r="J417" s="66">
        <f t="shared" si="54"/>
        <v>2.8645752731124821E-31</v>
      </c>
    </row>
    <row r="418" spans="1:10" x14ac:dyDescent="0.25">
      <c r="A418" s="66">
        <f t="shared" si="52"/>
        <v>84.770835497677979</v>
      </c>
      <c r="B418" s="146">
        <f t="shared" si="51"/>
        <v>382</v>
      </c>
      <c r="C418" s="141">
        <f t="shared" si="47"/>
        <v>1.5964719950786005E-39</v>
      </c>
      <c r="D418" s="66">
        <f t="shared" si="48"/>
        <v>188379634.43928441</v>
      </c>
      <c r="E418" s="89">
        <f t="shared" si="49"/>
        <v>0.44999999999999996</v>
      </c>
      <c r="F418" s="147">
        <f t="shared" si="50"/>
        <v>1.3533426487145782E-31</v>
      </c>
      <c r="I418" s="66">
        <f t="shared" si="53"/>
        <v>84770835.497677982</v>
      </c>
      <c r="J418" s="66">
        <f t="shared" si="54"/>
        <v>1.3533426487145782E-31</v>
      </c>
    </row>
    <row r="419" spans="1:10" x14ac:dyDescent="0.25">
      <c r="A419" s="66">
        <f t="shared" si="52"/>
        <v>84.992748679609079</v>
      </c>
      <c r="B419" s="146">
        <f t="shared" si="51"/>
        <v>383</v>
      </c>
      <c r="C419" s="141">
        <f t="shared" si="47"/>
        <v>7.5030015434501865E-40</v>
      </c>
      <c r="D419" s="66">
        <f t="shared" si="48"/>
        <v>188872774.84357575</v>
      </c>
      <c r="E419" s="89">
        <f t="shared" si="49"/>
        <v>0.44999999999999996</v>
      </c>
      <c r="F419" s="147">
        <f t="shared" si="50"/>
        <v>6.3770072452518073E-32</v>
      </c>
      <c r="I419" s="66">
        <f t="shared" si="53"/>
        <v>84992748.679609075</v>
      </c>
      <c r="J419" s="66">
        <f t="shared" si="54"/>
        <v>6.3770072452518073E-32</v>
      </c>
    </row>
    <row r="420" spans="1:10" x14ac:dyDescent="0.25">
      <c r="A420" s="66">
        <f t="shared" si="52"/>
        <v>85.214661861540165</v>
      </c>
      <c r="B420" s="146">
        <f t="shared" si="51"/>
        <v>384</v>
      </c>
      <c r="C420" s="141">
        <f t="shared" ref="C420:C483" si="55">POISSON(B420,$C$33,0)</f>
        <v>3.5170319734922952E-40</v>
      </c>
      <c r="D420" s="66">
        <f t="shared" ref="D420:D483" si="56">+B420*$C$32</f>
        <v>189365915.24786705</v>
      </c>
      <c r="E420" s="89">
        <f t="shared" ref="E420:E483" si="57">1-$E$34</f>
        <v>0.44999999999999996</v>
      </c>
      <c r="F420" s="147">
        <f t="shared" ref="F420:F483" si="58">+D420*E420*C420</f>
        <v>2.9970269037737125E-32</v>
      </c>
      <c r="I420" s="66">
        <f t="shared" si="53"/>
        <v>85214661.861540169</v>
      </c>
      <c r="J420" s="66">
        <f t="shared" si="54"/>
        <v>2.9970269037737125E-32</v>
      </c>
    </row>
    <row r="421" spans="1:10" x14ac:dyDescent="0.25">
      <c r="A421" s="66">
        <f t="shared" si="52"/>
        <v>85.436575043471265</v>
      </c>
      <c r="B421" s="146">
        <f t="shared" ref="B421:B484" si="59">+B420+1</f>
        <v>385</v>
      </c>
      <c r="C421" s="141">
        <f t="shared" si="55"/>
        <v>1.6443266369573906E-40</v>
      </c>
      <c r="D421" s="66">
        <f t="shared" si="56"/>
        <v>189859055.65215838</v>
      </c>
      <c r="E421" s="89">
        <f t="shared" si="57"/>
        <v>0.44999999999999996</v>
      </c>
      <c r="F421" s="147">
        <f t="shared" si="58"/>
        <v>1.4048563611438882E-32</v>
      </c>
      <c r="I421" s="66">
        <f t="shared" si="53"/>
        <v>85436575.043471262</v>
      </c>
      <c r="J421" s="66">
        <f t="shared" si="54"/>
        <v>1.4048563611438882E-32</v>
      </c>
    </row>
    <row r="422" spans="1:10" x14ac:dyDescent="0.25">
      <c r="A422" s="66">
        <f t="shared" ref="A422:A485" si="60">D422*E422/1000000</f>
        <v>85.658488225402351</v>
      </c>
      <c r="B422" s="146">
        <f t="shared" si="59"/>
        <v>386</v>
      </c>
      <c r="C422" s="141">
        <f t="shared" si="55"/>
        <v>7.6678444210449783E-41</v>
      </c>
      <c r="D422" s="66">
        <f t="shared" si="56"/>
        <v>190352196.05644971</v>
      </c>
      <c r="E422" s="89">
        <f t="shared" si="57"/>
        <v>0.44999999999999996</v>
      </c>
      <c r="F422" s="147">
        <f t="shared" si="58"/>
        <v>6.5681596105429835E-33</v>
      </c>
      <c r="I422" s="66">
        <f t="shared" si="53"/>
        <v>85658488.225402355</v>
      </c>
      <c r="J422" s="66">
        <f t="shared" si="54"/>
        <v>6.5681596105429835E-33</v>
      </c>
    </row>
    <row r="423" spans="1:10" x14ac:dyDescent="0.25">
      <c r="A423" s="66">
        <f t="shared" si="60"/>
        <v>85.880401407333451</v>
      </c>
      <c r="B423" s="146">
        <f t="shared" si="59"/>
        <v>387</v>
      </c>
      <c r="C423" s="141">
        <f t="shared" si="55"/>
        <v>3.5664392656023946E-41</v>
      </c>
      <c r="D423" s="66">
        <f t="shared" si="56"/>
        <v>190845336.46074101</v>
      </c>
      <c r="E423" s="89">
        <f t="shared" si="57"/>
        <v>0.44999999999999996</v>
      </c>
      <c r="F423" s="147">
        <f t="shared" si="58"/>
        <v>3.0628723572480915E-33</v>
      </c>
      <c r="I423" s="66">
        <f t="shared" si="53"/>
        <v>85880401.407333449</v>
      </c>
      <c r="J423" s="66">
        <f t="shared" si="54"/>
        <v>3.0628723572480915E-33</v>
      </c>
    </row>
    <row r="424" spans="1:10" x14ac:dyDescent="0.25">
      <c r="A424" s="66">
        <f t="shared" si="60"/>
        <v>86.102314589264537</v>
      </c>
      <c r="B424" s="146">
        <f t="shared" si="59"/>
        <v>388</v>
      </c>
      <c r="C424" s="141">
        <f t="shared" si="55"/>
        <v>1.6545336799186645E-41</v>
      </c>
      <c r="D424" s="66">
        <f t="shared" si="56"/>
        <v>191338476.86503235</v>
      </c>
      <c r="E424" s="89">
        <f t="shared" si="57"/>
        <v>0.44999999999999996</v>
      </c>
      <c r="F424" s="147">
        <f t="shared" si="58"/>
        <v>1.4245917940689037E-33</v>
      </c>
      <c r="I424" s="66">
        <f t="shared" si="53"/>
        <v>86102314.589264542</v>
      </c>
      <c r="J424" s="66">
        <f t="shared" si="54"/>
        <v>1.4245917940689037E-33</v>
      </c>
    </row>
    <row r="425" spans="1:10" x14ac:dyDescent="0.25">
      <c r="A425" s="66">
        <f t="shared" si="60"/>
        <v>86.324227771195652</v>
      </c>
      <c r="B425" s="146">
        <f t="shared" si="59"/>
        <v>389</v>
      </c>
      <c r="C425" s="141">
        <f t="shared" si="55"/>
        <v>7.6559399070782904E-42</v>
      </c>
      <c r="D425" s="66">
        <f t="shared" si="56"/>
        <v>191831617.26932368</v>
      </c>
      <c r="E425" s="89">
        <f t="shared" si="57"/>
        <v>0.44999999999999996</v>
      </c>
      <c r="F425" s="147">
        <f t="shared" si="58"/>
        <v>6.6089310034121282E-34</v>
      </c>
      <c r="I425" s="66">
        <f t="shared" si="53"/>
        <v>86324227.77119565</v>
      </c>
      <c r="J425" s="66">
        <f t="shared" si="54"/>
        <v>6.6089310034121282E-34</v>
      </c>
    </row>
    <row r="426" spans="1:10" x14ac:dyDescent="0.25">
      <c r="A426" s="66">
        <f t="shared" si="60"/>
        <v>86.546140953126724</v>
      </c>
      <c r="B426" s="146">
        <f t="shared" si="59"/>
        <v>390</v>
      </c>
      <c r="C426" s="141">
        <f t="shared" si="55"/>
        <v>3.5335107263439628E-42</v>
      </c>
      <c r="D426" s="66">
        <f t="shared" si="56"/>
        <v>192324757.67361498</v>
      </c>
      <c r="E426" s="89">
        <f t="shared" si="57"/>
        <v>0.44999999999999996</v>
      </c>
      <c r="F426" s="147">
        <f t="shared" si="58"/>
        <v>3.058117173815498E-34</v>
      </c>
      <c r="I426" s="66">
        <f t="shared" si="53"/>
        <v>86546140.953126729</v>
      </c>
      <c r="J426" s="66">
        <f t="shared" si="54"/>
        <v>3.058117173815498E-34</v>
      </c>
    </row>
    <row r="427" spans="1:10" x14ac:dyDescent="0.25">
      <c r="A427" s="66">
        <f t="shared" si="60"/>
        <v>86.768054135057838</v>
      </c>
      <c r="B427" s="146">
        <f t="shared" si="59"/>
        <v>391</v>
      </c>
      <c r="C427" s="141">
        <f t="shared" si="55"/>
        <v>1.6266801297746789E-42</v>
      </c>
      <c r="D427" s="66">
        <f t="shared" si="56"/>
        <v>192817898.07790631</v>
      </c>
      <c r="E427" s="89">
        <f t="shared" si="57"/>
        <v>0.44999999999999996</v>
      </c>
      <c r="F427" s="147">
        <f t="shared" si="58"/>
        <v>1.4114386956071225E-34</v>
      </c>
      <c r="I427" s="66">
        <f t="shared" si="53"/>
        <v>86768054.135057837</v>
      </c>
      <c r="J427" s="66">
        <f t="shared" si="54"/>
        <v>1.4114386956071225E-34</v>
      </c>
    </row>
    <row r="428" spans="1:10" x14ac:dyDescent="0.25">
      <c r="A428" s="66">
        <f t="shared" si="60"/>
        <v>86.98996731698891</v>
      </c>
      <c r="B428" s="146">
        <f t="shared" si="59"/>
        <v>392</v>
      </c>
      <c r="C428" s="141">
        <f t="shared" si="55"/>
        <v>7.469449575496182E-43</v>
      </c>
      <c r="D428" s="66">
        <f t="shared" si="56"/>
        <v>193311038.48219761</v>
      </c>
      <c r="E428" s="89">
        <f t="shared" si="57"/>
        <v>0.44999999999999996</v>
      </c>
      <c r="F428" s="147">
        <f t="shared" si="58"/>
        <v>6.497671744483096E-35</v>
      </c>
      <c r="I428" s="66">
        <f t="shared" si="53"/>
        <v>86989967.316988915</v>
      </c>
      <c r="J428" s="66">
        <f t="shared" si="54"/>
        <v>6.497671744483096E-35</v>
      </c>
    </row>
    <row r="429" spans="1:10" x14ac:dyDescent="0.25">
      <c r="A429" s="66">
        <f t="shared" si="60"/>
        <v>87.211880498920024</v>
      </c>
      <c r="B429" s="146">
        <f t="shared" si="59"/>
        <v>393</v>
      </c>
      <c r="C429" s="141">
        <f t="shared" si="55"/>
        <v>3.4211219429754217E-43</v>
      </c>
      <c r="D429" s="66">
        <f t="shared" si="56"/>
        <v>193804178.88648894</v>
      </c>
      <c r="E429" s="89">
        <f t="shared" si="57"/>
        <v>0.44999999999999996</v>
      </c>
      <c r="F429" s="147">
        <f t="shared" si="58"/>
        <v>2.9836247806300554E-35</v>
      </c>
      <c r="I429" s="66">
        <f t="shared" si="53"/>
        <v>87211880.498920023</v>
      </c>
      <c r="J429" s="66">
        <f t="shared" si="54"/>
        <v>2.9836247806300554E-35</v>
      </c>
    </row>
    <row r="430" spans="1:10" x14ac:dyDescent="0.25">
      <c r="A430" s="66">
        <f t="shared" si="60"/>
        <v>87.43379368085111</v>
      </c>
      <c r="B430" s="146">
        <f t="shared" si="59"/>
        <v>394</v>
      </c>
      <c r="C430" s="141">
        <f t="shared" si="55"/>
        <v>1.5629491110038718E-43</v>
      </c>
      <c r="D430" s="66">
        <f t="shared" si="56"/>
        <v>194297319.29078028</v>
      </c>
      <c r="E430" s="89">
        <f t="shared" si="57"/>
        <v>0.44999999999999996</v>
      </c>
      <c r="F430" s="147">
        <f t="shared" si="58"/>
        <v>1.3665457010518221E-35</v>
      </c>
      <c r="I430" s="66">
        <f t="shared" si="53"/>
        <v>87433793.680851117</v>
      </c>
      <c r="J430" s="66">
        <f t="shared" si="54"/>
        <v>1.3665457010518221E-35</v>
      </c>
    </row>
    <row r="431" spans="1:10" x14ac:dyDescent="0.25">
      <c r="A431" s="66">
        <f t="shared" si="60"/>
        <v>87.655706862782196</v>
      </c>
      <c r="B431" s="146">
        <f t="shared" si="59"/>
        <v>395</v>
      </c>
      <c r="C431" s="141">
        <f t="shared" si="55"/>
        <v>7.1222997463465647E-44</v>
      </c>
      <c r="D431" s="66">
        <f t="shared" si="56"/>
        <v>194790459.69507158</v>
      </c>
      <c r="E431" s="89">
        <f t="shared" si="57"/>
        <v>0.44999999999999996</v>
      </c>
      <c r="F431" s="147">
        <f t="shared" si="58"/>
        <v>6.2431021875462248E-36</v>
      </c>
      <c r="I431" s="66">
        <f t="shared" si="53"/>
        <v>87655706.862782195</v>
      </c>
      <c r="J431" s="66">
        <f t="shared" si="54"/>
        <v>6.2431021875462248E-36</v>
      </c>
    </row>
    <row r="432" spans="1:10" x14ac:dyDescent="0.25">
      <c r="A432" s="66">
        <f t="shared" si="60"/>
        <v>87.877620044713296</v>
      </c>
      <c r="B432" s="146">
        <f t="shared" si="59"/>
        <v>396</v>
      </c>
      <c r="C432" s="141">
        <f t="shared" si="55"/>
        <v>3.2374089756122287E-44</v>
      </c>
      <c r="D432" s="66">
        <f t="shared" si="56"/>
        <v>195283600.09936291</v>
      </c>
      <c r="E432" s="89">
        <f t="shared" si="57"/>
        <v>0.44999999999999996</v>
      </c>
      <c r="F432" s="147">
        <f t="shared" si="58"/>
        <v>2.8449579588819595E-36</v>
      </c>
      <c r="I432" s="66">
        <f t="shared" si="53"/>
        <v>87877620.044713303</v>
      </c>
      <c r="J432" s="66">
        <f t="shared" si="54"/>
        <v>2.8449579588819595E-36</v>
      </c>
    </row>
    <row r="433" spans="1:10" x14ac:dyDescent="0.25">
      <c r="A433" s="66">
        <f t="shared" si="60"/>
        <v>88.099533226644397</v>
      </c>
      <c r="B433" s="146">
        <f t="shared" si="59"/>
        <v>397</v>
      </c>
      <c r="C433" s="141">
        <f t="shared" si="55"/>
        <v>1.4678428604790524E-44</v>
      </c>
      <c r="D433" s="66">
        <f t="shared" si="56"/>
        <v>195776740.50365424</v>
      </c>
      <c r="E433" s="89">
        <f t="shared" si="57"/>
        <v>0.44999999999999996</v>
      </c>
      <c r="F433" s="147">
        <f t="shared" si="58"/>
        <v>1.2931627085826703E-36</v>
      </c>
      <c r="I433" s="66">
        <f t="shared" si="53"/>
        <v>88099533.226644397</v>
      </c>
      <c r="J433" s="66">
        <f t="shared" si="54"/>
        <v>1.2931627085826703E-36</v>
      </c>
    </row>
    <row r="434" spans="1:10" x14ac:dyDescent="0.25">
      <c r="A434" s="66">
        <f t="shared" si="60"/>
        <v>88.321446408575497</v>
      </c>
      <c r="B434" s="146">
        <f t="shared" si="59"/>
        <v>398</v>
      </c>
      <c r="C434" s="141">
        <f t="shared" si="55"/>
        <v>6.6384852986490554E-45</v>
      </c>
      <c r="D434" s="66">
        <f t="shared" si="56"/>
        <v>196269880.90794554</v>
      </c>
      <c r="E434" s="89">
        <f t="shared" si="57"/>
        <v>0.44999999999999996</v>
      </c>
      <c r="F434" s="147">
        <f t="shared" si="58"/>
        <v>5.8632062353874881E-37</v>
      </c>
      <c r="I434" s="66">
        <f t="shared" si="53"/>
        <v>88321446.40857549</v>
      </c>
      <c r="J434" s="66">
        <f t="shared" si="54"/>
        <v>5.8632062353874881E-37</v>
      </c>
    </row>
    <row r="435" spans="1:10" x14ac:dyDescent="0.25">
      <c r="A435" s="66">
        <f t="shared" si="60"/>
        <v>88.543359590506583</v>
      </c>
      <c r="B435" s="146">
        <f t="shared" si="59"/>
        <v>399</v>
      </c>
      <c r="C435" s="141">
        <f t="shared" si="55"/>
        <v>2.9948053978869073E-45</v>
      </c>
      <c r="D435" s="66">
        <f t="shared" si="56"/>
        <v>196763021.31223688</v>
      </c>
      <c r="E435" s="89">
        <f t="shared" si="57"/>
        <v>0.44999999999999996</v>
      </c>
      <c r="F435" s="147">
        <f t="shared" si="58"/>
        <v>2.651701312486906E-37</v>
      </c>
      <c r="I435" s="66">
        <f t="shared" si="53"/>
        <v>88543359.590506583</v>
      </c>
      <c r="J435" s="66">
        <f t="shared" si="54"/>
        <v>2.651701312486906E-37</v>
      </c>
    </row>
    <row r="436" spans="1:10" x14ac:dyDescent="0.25">
      <c r="A436" s="66">
        <f t="shared" si="60"/>
        <v>88.765272772437683</v>
      </c>
      <c r="B436" s="146">
        <f t="shared" si="59"/>
        <v>400</v>
      </c>
      <c r="C436" s="141">
        <f t="shared" si="55"/>
        <v>1.3476624290490916E-45</v>
      </c>
      <c r="D436" s="66">
        <f t="shared" si="56"/>
        <v>197256161.71652818</v>
      </c>
      <c r="E436" s="89">
        <f t="shared" si="57"/>
        <v>0.44999999999999996</v>
      </c>
      <c r="F436" s="147">
        <f t="shared" si="58"/>
        <v>1.1962562311970855E-37</v>
      </c>
      <c r="I436" s="66">
        <f t="shared" si="53"/>
        <v>88765272.772437677</v>
      </c>
      <c r="J436" s="66">
        <f t="shared" si="54"/>
        <v>1.1962562311970855E-37</v>
      </c>
    </row>
    <row r="437" spans="1:10" x14ac:dyDescent="0.25">
      <c r="A437" s="66">
        <f t="shared" si="60"/>
        <v>88.987185954368769</v>
      </c>
      <c r="B437" s="146">
        <f t="shared" si="59"/>
        <v>401</v>
      </c>
      <c r="C437" s="141">
        <f t="shared" si="55"/>
        <v>6.0493575368787625E-46</v>
      </c>
      <c r="D437" s="66">
        <f t="shared" si="56"/>
        <v>197749302.12081951</v>
      </c>
      <c r="E437" s="89">
        <f t="shared" si="57"/>
        <v>0.44999999999999996</v>
      </c>
      <c r="F437" s="147">
        <f t="shared" si="58"/>
        <v>5.3831530403869269E-38</v>
      </c>
      <c r="I437" s="66">
        <f t="shared" si="53"/>
        <v>88987185.95436877</v>
      </c>
      <c r="J437" s="66">
        <f t="shared" si="54"/>
        <v>5.3831530403869269E-38</v>
      </c>
    </row>
    <row r="438" spans="1:10" x14ac:dyDescent="0.25">
      <c r="A438" s="66">
        <f t="shared" si="60"/>
        <v>89.209099136299869</v>
      </c>
      <c r="B438" s="146">
        <f t="shared" si="59"/>
        <v>402</v>
      </c>
      <c r="C438" s="141">
        <f t="shared" si="55"/>
        <v>2.7086675538262897E-46</v>
      </c>
      <c r="D438" s="66">
        <f t="shared" si="56"/>
        <v>198242442.52511084</v>
      </c>
      <c r="E438" s="89">
        <f t="shared" si="57"/>
        <v>0.44999999999999996</v>
      </c>
      <c r="F438" s="147">
        <f t="shared" si="58"/>
        <v>2.4163779233656835E-38</v>
      </c>
      <c r="I438" s="66">
        <f t="shared" si="53"/>
        <v>89209099.136299863</v>
      </c>
      <c r="J438" s="66">
        <f t="shared" si="54"/>
        <v>2.4163779233656835E-38</v>
      </c>
    </row>
    <row r="439" spans="1:10" x14ac:dyDescent="0.25">
      <c r="A439" s="66">
        <f t="shared" si="60"/>
        <v>89.431012318230955</v>
      </c>
      <c r="B439" s="146">
        <f t="shared" si="59"/>
        <v>403</v>
      </c>
      <c r="C439" s="141">
        <f t="shared" si="55"/>
        <v>1.2098266989795054E-46</v>
      </c>
      <c r="D439" s="66">
        <f t="shared" si="56"/>
        <v>198735582.92940214</v>
      </c>
      <c r="E439" s="89">
        <f t="shared" si="57"/>
        <v>0.44999999999999996</v>
      </c>
      <c r="F439" s="147">
        <f t="shared" si="58"/>
        <v>1.0819602641936085E-38</v>
      </c>
      <c r="I439" s="66">
        <f t="shared" si="53"/>
        <v>89431012.318230957</v>
      </c>
      <c r="J439" s="66">
        <f t="shared" si="54"/>
        <v>1.0819602641936085E-38</v>
      </c>
    </row>
    <row r="440" spans="1:10" x14ac:dyDescent="0.25">
      <c r="A440" s="66">
        <f t="shared" si="60"/>
        <v>89.652925500162056</v>
      </c>
      <c r="B440" s="146">
        <f t="shared" si="59"/>
        <v>404</v>
      </c>
      <c r="C440" s="141">
        <f t="shared" si="55"/>
        <v>5.3903169756511993E-47</v>
      </c>
      <c r="D440" s="66">
        <f t="shared" si="56"/>
        <v>199228723.33369347</v>
      </c>
      <c r="E440" s="89">
        <f t="shared" si="57"/>
        <v>0.44999999999999996</v>
      </c>
      <c r="F440" s="147">
        <f t="shared" si="58"/>
        <v>4.8325768624031581E-39</v>
      </c>
      <c r="I440" s="66">
        <f t="shared" si="53"/>
        <v>89652925.50016205</v>
      </c>
      <c r="J440" s="66">
        <f t="shared" si="54"/>
        <v>4.8325768624031581E-39</v>
      </c>
    </row>
    <row r="441" spans="1:10" x14ac:dyDescent="0.25">
      <c r="A441" s="66">
        <f t="shared" si="60"/>
        <v>89.874838682093156</v>
      </c>
      <c r="B441" s="146">
        <f t="shared" si="59"/>
        <v>405</v>
      </c>
      <c r="C441" s="141">
        <f t="shared" si="55"/>
        <v>2.395696433622764E-47</v>
      </c>
      <c r="D441" s="66">
        <f t="shared" si="56"/>
        <v>199721863.73798481</v>
      </c>
      <c r="E441" s="89">
        <f t="shared" si="57"/>
        <v>0.44999999999999996</v>
      </c>
      <c r="F441" s="147">
        <f t="shared" si="58"/>
        <v>2.1531283050311182E-39</v>
      </c>
      <c r="I441" s="66">
        <f t="shared" si="53"/>
        <v>89874838.682093158</v>
      </c>
      <c r="J441" s="66">
        <f t="shared" si="54"/>
        <v>2.1531283050311182E-39</v>
      </c>
    </row>
    <row r="442" spans="1:10" x14ac:dyDescent="0.25">
      <c r="A442" s="66">
        <f t="shared" si="60"/>
        <v>90.096751864024242</v>
      </c>
      <c r="B442" s="146">
        <f t="shared" si="59"/>
        <v>406</v>
      </c>
      <c r="C442" s="141">
        <f t="shared" si="55"/>
        <v>1.0621314237736385E-47</v>
      </c>
      <c r="D442" s="66">
        <f t="shared" si="56"/>
        <v>200215004.14227611</v>
      </c>
      <c r="E442" s="89">
        <f t="shared" si="57"/>
        <v>0.44999999999999996</v>
      </c>
      <c r="F442" s="147">
        <f t="shared" si="58"/>
        <v>9.5694591334716279E-40</v>
      </c>
      <c r="I442" s="66">
        <f t="shared" si="53"/>
        <v>90096751.864024237</v>
      </c>
      <c r="J442" s="66">
        <f t="shared" si="54"/>
        <v>9.5694591334716279E-40</v>
      </c>
    </row>
    <row r="443" spans="1:10" x14ac:dyDescent="0.25">
      <c r="A443" s="66">
        <f t="shared" si="60"/>
        <v>90.318665045955342</v>
      </c>
      <c r="B443" s="146">
        <f t="shared" si="59"/>
        <v>407</v>
      </c>
      <c r="C443" s="141">
        <f t="shared" si="55"/>
        <v>4.6973871321683176E-48</v>
      </c>
      <c r="D443" s="66">
        <f t="shared" si="56"/>
        <v>200708144.54656744</v>
      </c>
      <c r="E443" s="89">
        <f t="shared" si="57"/>
        <v>0.44999999999999996</v>
      </c>
      <c r="F443" s="147">
        <f t="shared" si="58"/>
        <v>4.2426173498149103E-40</v>
      </c>
      <c r="I443" s="66">
        <f t="shared" si="53"/>
        <v>90318665.045955345</v>
      </c>
      <c r="J443" s="66">
        <f t="shared" si="54"/>
        <v>4.2426173498149103E-40</v>
      </c>
    </row>
    <row r="444" spans="1:10" x14ac:dyDescent="0.25">
      <c r="A444" s="66">
        <f t="shared" si="60"/>
        <v>90.540578227886428</v>
      </c>
      <c r="B444" s="146">
        <f t="shared" si="59"/>
        <v>408</v>
      </c>
      <c r="C444" s="141">
        <f t="shared" si="55"/>
        <v>2.0723766759566416E-48</v>
      </c>
      <c r="D444" s="66">
        <f t="shared" si="56"/>
        <v>201201284.95085874</v>
      </c>
      <c r="E444" s="89">
        <f t="shared" si="57"/>
        <v>0.44999999999999996</v>
      </c>
      <c r="F444" s="147">
        <f t="shared" si="58"/>
        <v>1.8763418254709955E-40</v>
      </c>
      <c r="I444" s="66">
        <f t="shared" si="53"/>
        <v>90540578.227886423</v>
      </c>
      <c r="J444" s="66">
        <f t="shared" si="54"/>
        <v>1.8763418254709955E-40</v>
      </c>
    </row>
    <row r="445" spans="1:10" x14ac:dyDescent="0.25">
      <c r="A445" s="66">
        <f t="shared" si="60"/>
        <v>90.762491409817514</v>
      </c>
      <c r="B445" s="146">
        <f t="shared" si="59"/>
        <v>409</v>
      </c>
      <c r="C445" s="141">
        <f t="shared" si="55"/>
        <v>9.1204841484645979E-49</v>
      </c>
      <c r="D445" s="66">
        <f t="shared" si="56"/>
        <v>201694425.35515007</v>
      </c>
      <c r="E445" s="89">
        <f t="shared" si="57"/>
        <v>0.44999999999999996</v>
      </c>
      <c r="F445" s="147">
        <f t="shared" si="58"/>
        <v>8.2779786417839489E-41</v>
      </c>
      <c r="I445" s="66">
        <f t="shared" si="53"/>
        <v>90762491.409817517</v>
      </c>
      <c r="J445" s="66">
        <f t="shared" si="54"/>
        <v>8.2779786417839489E-41</v>
      </c>
    </row>
    <row r="446" spans="1:10" x14ac:dyDescent="0.25">
      <c r="A446" s="66">
        <f t="shared" si="60"/>
        <v>90.984404591748628</v>
      </c>
      <c r="B446" s="146">
        <f t="shared" si="59"/>
        <v>410</v>
      </c>
      <c r="C446" s="141">
        <f t="shared" si="55"/>
        <v>4.0041149920088494E-49</v>
      </c>
      <c r="D446" s="66">
        <f t="shared" si="56"/>
        <v>202187565.75944141</v>
      </c>
      <c r="E446" s="89">
        <f t="shared" si="57"/>
        <v>0.44999999999999996</v>
      </c>
      <c r="F446" s="147">
        <f t="shared" si="58"/>
        <v>3.6431201846481946E-41</v>
      </c>
      <c r="I446" s="66">
        <f t="shared" si="53"/>
        <v>90984404.591748625</v>
      </c>
      <c r="J446" s="66">
        <f t="shared" si="54"/>
        <v>3.6431201846481946E-41</v>
      </c>
    </row>
    <row r="447" spans="1:10" x14ac:dyDescent="0.25">
      <c r="A447" s="66">
        <f t="shared" si="60"/>
        <v>91.2063177736797</v>
      </c>
      <c r="B447" s="146">
        <f t="shared" si="59"/>
        <v>411</v>
      </c>
      <c r="C447" s="141">
        <f t="shared" si="55"/>
        <v>1.7536270037995123E-49</v>
      </c>
      <c r="D447" s="66">
        <f t="shared" si="56"/>
        <v>202680706.16373271</v>
      </c>
      <c r="E447" s="89">
        <f t="shared" si="57"/>
        <v>0.44999999999999996</v>
      </c>
      <c r="F447" s="147">
        <f t="shared" si="58"/>
        <v>1.5994186176504414E-41</v>
      </c>
      <c r="I447" s="66">
        <f t="shared" si="53"/>
        <v>91206317.773679703</v>
      </c>
      <c r="J447" s="66">
        <f t="shared" si="54"/>
        <v>1.5994186176504414E-41</v>
      </c>
    </row>
    <row r="448" spans="1:10" x14ac:dyDescent="0.25">
      <c r="A448" s="66">
        <f t="shared" si="60"/>
        <v>91.428230955610815</v>
      </c>
      <c r="B448" s="146">
        <f t="shared" si="59"/>
        <v>412</v>
      </c>
      <c r="C448" s="141">
        <f t="shared" si="55"/>
        <v>7.6614772010659777E-50</v>
      </c>
      <c r="D448" s="66">
        <f t="shared" si="56"/>
        <v>203173846.56802404</v>
      </c>
      <c r="E448" s="89">
        <f t="shared" si="57"/>
        <v>0.44999999999999996</v>
      </c>
      <c r="F448" s="147">
        <f t="shared" si="58"/>
        <v>7.0047530700020692E-42</v>
      </c>
      <c r="I448" s="66">
        <f t="shared" ref="I448:I511" si="61">D448*E448</f>
        <v>91428230.955610812</v>
      </c>
      <c r="J448" s="66">
        <f t="shared" ref="J448:J511" si="62">I448*C448</f>
        <v>7.0047530700020692E-42</v>
      </c>
    </row>
    <row r="449" spans="1:10" x14ac:dyDescent="0.25">
      <c r="A449" s="66">
        <f t="shared" si="60"/>
        <v>91.650144137541901</v>
      </c>
      <c r="B449" s="146">
        <f t="shared" si="59"/>
        <v>413</v>
      </c>
      <c r="C449" s="141">
        <f t="shared" si="55"/>
        <v>3.339142605791459E-50</v>
      </c>
      <c r="D449" s="66">
        <f t="shared" si="56"/>
        <v>203666986.97231537</v>
      </c>
      <c r="E449" s="89">
        <f t="shared" si="57"/>
        <v>0.44999999999999996</v>
      </c>
      <c r="F449" s="147">
        <f t="shared" si="58"/>
        <v>3.0603290111659447E-42</v>
      </c>
      <c r="I449" s="66">
        <f t="shared" si="61"/>
        <v>91650144.137541905</v>
      </c>
      <c r="J449" s="66">
        <f t="shared" si="62"/>
        <v>3.0603290111659447E-42</v>
      </c>
    </row>
    <row r="450" spans="1:10" x14ac:dyDescent="0.25">
      <c r="A450" s="66">
        <f t="shared" si="60"/>
        <v>91.872057319473001</v>
      </c>
      <c r="B450" s="146">
        <f t="shared" si="59"/>
        <v>414</v>
      </c>
      <c r="C450" s="141">
        <f t="shared" si="55"/>
        <v>1.4518011329528171E-50</v>
      </c>
      <c r="D450" s="66">
        <f t="shared" si="56"/>
        <v>204160127.37660667</v>
      </c>
      <c r="E450" s="89">
        <f t="shared" si="57"/>
        <v>0.44999999999999996</v>
      </c>
      <c r="F450" s="147">
        <f t="shared" si="58"/>
        <v>1.3337995690311706E-42</v>
      </c>
      <c r="I450" s="66">
        <f t="shared" si="61"/>
        <v>91872057.319472998</v>
      </c>
      <c r="J450" s="66">
        <f t="shared" si="62"/>
        <v>1.3337995690311706E-42</v>
      </c>
    </row>
    <row r="451" spans="1:10" x14ac:dyDescent="0.25">
      <c r="A451" s="66">
        <f t="shared" si="60"/>
        <v>92.093970501404087</v>
      </c>
      <c r="B451" s="146">
        <f t="shared" si="59"/>
        <v>415</v>
      </c>
      <c r="C451" s="141">
        <f t="shared" si="55"/>
        <v>6.2969687694341231E-51</v>
      </c>
      <c r="D451" s="66">
        <f t="shared" si="56"/>
        <v>204653267.780898</v>
      </c>
      <c r="E451" s="89">
        <f t="shared" si="57"/>
        <v>0.44999999999999996</v>
      </c>
      <c r="F451" s="147">
        <f t="shared" si="58"/>
        <v>5.7991285610052899E-43</v>
      </c>
      <c r="I451" s="66">
        <f t="shared" si="61"/>
        <v>92093970.501404092</v>
      </c>
      <c r="J451" s="66">
        <f t="shared" si="62"/>
        <v>5.7991285610052899E-43</v>
      </c>
    </row>
    <row r="452" spans="1:10" x14ac:dyDescent="0.25">
      <c r="A452" s="66">
        <f t="shared" si="60"/>
        <v>92.315883683335187</v>
      </c>
      <c r="B452" s="146">
        <f t="shared" si="59"/>
        <v>416</v>
      </c>
      <c r="C452" s="141">
        <f t="shared" si="55"/>
        <v>2.7246499483126684E-51</v>
      </c>
      <c r="D452" s="66">
        <f t="shared" si="56"/>
        <v>205146408.18518931</v>
      </c>
      <c r="E452" s="89">
        <f t="shared" si="57"/>
        <v>0.44999999999999996</v>
      </c>
      <c r="F452" s="147">
        <f t="shared" si="58"/>
        <v>2.5152846770623752E-43</v>
      </c>
      <c r="I452" s="66">
        <f t="shared" si="61"/>
        <v>92315883.683335185</v>
      </c>
      <c r="J452" s="66">
        <f t="shared" si="62"/>
        <v>2.5152846770623752E-43</v>
      </c>
    </row>
    <row r="453" spans="1:10" x14ac:dyDescent="0.25">
      <c r="A453" s="66">
        <f t="shared" si="60"/>
        <v>92.537796865266273</v>
      </c>
      <c r="B453" s="146">
        <f t="shared" si="59"/>
        <v>417</v>
      </c>
      <c r="C453" s="141">
        <f t="shared" si="55"/>
        <v>1.1761078913579315E-51</v>
      </c>
      <c r="D453" s="66">
        <f t="shared" si="56"/>
        <v>205639548.58948064</v>
      </c>
      <c r="E453" s="89">
        <f t="shared" si="57"/>
        <v>0.44999999999999996</v>
      </c>
      <c r="F453" s="147">
        <f t="shared" si="58"/>
        <v>1.0883443314211693E-43</v>
      </c>
      <c r="I453" s="66">
        <f t="shared" si="61"/>
        <v>92537796.865266278</v>
      </c>
      <c r="J453" s="66">
        <f t="shared" si="62"/>
        <v>1.0883443314211693E-43</v>
      </c>
    </row>
    <row r="454" spans="1:10" x14ac:dyDescent="0.25">
      <c r="A454" s="66">
        <f t="shared" si="60"/>
        <v>92.759710047197373</v>
      </c>
      <c r="B454" s="146">
        <f t="shared" si="59"/>
        <v>418</v>
      </c>
      <c r="C454" s="141">
        <f t="shared" si="55"/>
        <v>5.0645794364696038E-52</v>
      </c>
      <c r="D454" s="66">
        <f t="shared" si="56"/>
        <v>206132688.99377197</v>
      </c>
      <c r="E454" s="89">
        <f t="shared" si="57"/>
        <v>0.44999999999999996</v>
      </c>
      <c r="F454" s="147">
        <f t="shared" si="58"/>
        <v>4.6978892003791875E-44</v>
      </c>
      <c r="I454" s="66">
        <f t="shared" si="61"/>
        <v>92759710.047197372</v>
      </c>
      <c r="J454" s="66">
        <f t="shared" si="62"/>
        <v>4.6978892003791875E-44</v>
      </c>
    </row>
    <row r="455" spans="1:10" x14ac:dyDescent="0.25">
      <c r="A455" s="66">
        <f t="shared" si="60"/>
        <v>92.981623229128459</v>
      </c>
      <c r="B455" s="146">
        <f t="shared" si="59"/>
        <v>419</v>
      </c>
      <c r="C455" s="141">
        <f t="shared" si="55"/>
        <v>2.1757143163831167E-52</v>
      </c>
      <c r="D455" s="66">
        <f t="shared" si="56"/>
        <v>206625829.39806327</v>
      </c>
      <c r="E455" s="89">
        <f t="shared" si="57"/>
        <v>0.44999999999999996</v>
      </c>
      <c r="F455" s="147">
        <f t="shared" si="58"/>
        <v>2.0230144882015576E-44</v>
      </c>
      <c r="I455" s="66">
        <f t="shared" si="61"/>
        <v>92981623.229128465</v>
      </c>
      <c r="J455" s="66">
        <f t="shared" si="62"/>
        <v>2.0230144882015576E-44</v>
      </c>
    </row>
    <row r="456" spans="1:10" x14ac:dyDescent="0.25">
      <c r="A456" s="66">
        <f t="shared" si="60"/>
        <v>93.203536411059559</v>
      </c>
      <c r="B456" s="146">
        <f t="shared" si="59"/>
        <v>420</v>
      </c>
      <c r="C456" s="141">
        <f t="shared" si="55"/>
        <v>9.3244899273563504E-53</v>
      </c>
      <c r="D456" s="66">
        <f t="shared" si="56"/>
        <v>207118969.8023546</v>
      </c>
      <c r="E456" s="89">
        <f t="shared" si="57"/>
        <v>0.44999999999999996</v>
      </c>
      <c r="F456" s="147">
        <f t="shared" si="58"/>
        <v>8.6907543645891572E-45</v>
      </c>
      <c r="I456" s="66">
        <f t="shared" si="61"/>
        <v>93203536.411059558</v>
      </c>
      <c r="J456" s="66">
        <f t="shared" si="62"/>
        <v>8.6907543645891572E-45</v>
      </c>
    </row>
    <row r="457" spans="1:10" x14ac:dyDescent="0.25">
      <c r="A457" s="66">
        <f t="shared" si="60"/>
        <v>93.425449592990645</v>
      </c>
      <c r="B457" s="146">
        <f t="shared" si="59"/>
        <v>421</v>
      </c>
      <c r="C457" s="141">
        <f t="shared" si="55"/>
        <v>3.9867177836677624E-53</v>
      </c>
      <c r="D457" s="66">
        <f t="shared" si="56"/>
        <v>207612110.20664591</v>
      </c>
      <c r="E457" s="89">
        <f t="shared" si="57"/>
        <v>0.44999999999999996</v>
      </c>
      <c r="F457" s="147">
        <f t="shared" si="58"/>
        <v>3.7246090133953195E-45</v>
      </c>
      <c r="I457" s="66">
        <f t="shared" si="61"/>
        <v>93425449.592990652</v>
      </c>
      <c r="J457" s="66">
        <f t="shared" si="62"/>
        <v>3.7246090133953195E-45</v>
      </c>
    </row>
    <row r="458" spans="1:10" x14ac:dyDescent="0.25">
      <c r="A458" s="66">
        <f t="shared" si="60"/>
        <v>93.647362774921746</v>
      </c>
      <c r="B458" s="146">
        <f t="shared" si="59"/>
        <v>422</v>
      </c>
      <c r="C458" s="141">
        <f t="shared" si="55"/>
        <v>1.700495737109402E-53</v>
      </c>
      <c r="D458" s="66">
        <f t="shared" si="56"/>
        <v>208105250.61093724</v>
      </c>
      <c r="E458" s="89">
        <f t="shared" si="57"/>
        <v>0.44999999999999996</v>
      </c>
      <c r="F458" s="147">
        <f t="shared" si="58"/>
        <v>1.5924694119029214E-45</v>
      </c>
      <c r="I458" s="66">
        <f t="shared" si="61"/>
        <v>93647362.774921745</v>
      </c>
      <c r="J458" s="66">
        <f t="shared" si="62"/>
        <v>1.5924694119029214E-45</v>
      </c>
    </row>
    <row r="459" spans="1:10" x14ac:dyDescent="0.25">
      <c r="A459" s="66">
        <f t="shared" si="60"/>
        <v>93.86927595685286</v>
      </c>
      <c r="B459" s="146">
        <f t="shared" si="59"/>
        <v>423</v>
      </c>
      <c r="C459" s="141">
        <f t="shared" si="55"/>
        <v>7.2361520728065737E-54</v>
      </c>
      <c r="D459" s="66">
        <f t="shared" si="56"/>
        <v>208598391.01522857</v>
      </c>
      <c r="E459" s="89">
        <f t="shared" si="57"/>
        <v>0.44999999999999996</v>
      </c>
      <c r="F459" s="147">
        <f t="shared" si="58"/>
        <v>6.7925235578803303E-46</v>
      </c>
      <c r="I459" s="66">
        <f t="shared" si="61"/>
        <v>93869275.956852853</v>
      </c>
      <c r="J459" s="66">
        <f t="shared" si="62"/>
        <v>6.7925235578803303E-46</v>
      </c>
    </row>
    <row r="460" spans="1:10" x14ac:dyDescent="0.25">
      <c r="A460" s="66">
        <f t="shared" si="60"/>
        <v>94.091189138783932</v>
      </c>
      <c r="B460" s="146">
        <f t="shared" si="59"/>
        <v>424</v>
      </c>
      <c r="C460" s="141">
        <f t="shared" si="55"/>
        <v>3.0719513516631512E-54</v>
      </c>
      <c r="D460" s="66">
        <f t="shared" si="56"/>
        <v>209091531.41951987</v>
      </c>
      <c r="E460" s="89">
        <f t="shared" si="57"/>
        <v>0.44999999999999996</v>
      </c>
      <c r="F460" s="147">
        <f t="shared" si="58"/>
        <v>2.890435556544805E-46</v>
      </c>
      <c r="I460" s="66">
        <f t="shared" si="61"/>
        <v>94091189.138783932</v>
      </c>
      <c r="J460" s="66">
        <f t="shared" si="62"/>
        <v>2.890435556544805E-46</v>
      </c>
    </row>
    <row r="461" spans="1:10" x14ac:dyDescent="0.25">
      <c r="A461" s="66">
        <f t="shared" si="60"/>
        <v>94.313102320715032</v>
      </c>
      <c r="B461" s="146">
        <f t="shared" si="59"/>
        <v>425</v>
      </c>
      <c r="C461" s="141">
        <f t="shared" si="55"/>
        <v>1.3010617489396933E-54</v>
      </c>
      <c r="D461" s="66">
        <f t="shared" si="56"/>
        <v>209584671.8238112</v>
      </c>
      <c r="E461" s="89">
        <f t="shared" si="57"/>
        <v>0.44999999999999996</v>
      </c>
      <c r="F461" s="147">
        <f t="shared" si="58"/>
        <v>1.2270716985331773E-46</v>
      </c>
      <c r="I461" s="66">
        <f t="shared" si="61"/>
        <v>94313102.320715025</v>
      </c>
      <c r="J461" s="66">
        <f t="shared" si="62"/>
        <v>1.2270716985331773E-46</v>
      </c>
    </row>
    <row r="462" spans="1:10" x14ac:dyDescent="0.25">
      <c r="A462" s="66">
        <f t="shared" si="60"/>
        <v>94.535015502646132</v>
      </c>
      <c r="B462" s="146">
        <f t="shared" si="59"/>
        <v>426</v>
      </c>
      <c r="C462" s="141">
        <f t="shared" si="55"/>
        <v>5.4974440096040353E-55</v>
      </c>
      <c r="D462" s="66">
        <f t="shared" si="56"/>
        <v>210077812.22810254</v>
      </c>
      <c r="E462" s="89">
        <f t="shared" si="57"/>
        <v>0.44999999999999996</v>
      </c>
      <c r="F462" s="147">
        <f t="shared" si="58"/>
        <v>5.1970095467284657E-47</v>
      </c>
      <c r="I462" s="66">
        <f t="shared" si="61"/>
        <v>94535015.502646133</v>
      </c>
      <c r="J462" s="66">
        <f t="shared" si="62"/>
        <v>5.1970095467284657E-47</v>
      </c>
    </row>
    <row r="463" spans="1:10" x14ac:dyDescent="0.25">
      <c r="A463" s="66">
        <f t="shared" si="60"/>
        <v>94.756928684577218</v>
      </c>
      <c r="B463" s="146">
        <f t="shared" si="59"/>
        <v>427</v>
      </c>
      <c r="C463" s="141">
        <f t="shared" si="55"/>
        <v>2.3174237042828799E-55</v>
      </c>
      <c r="D463" s="66">
        <f t="shared" si="56"/>
        <v>210570952.63239384</v>
      </c>
      <c r="E463" s="89">
        <f t="shared" si="57"/>
        <v>0.44999999999999996</v>
      </c>
      <c r="F463" s="147">
        <f t="shared" si="58"/>
        <v>2.1959195267868161E-47</v>
      </c>
      <c r="I463" s="66">
        <f t="shared" si="61"/>
        <v>94756928.684577212</v>
      </c>
      <c r="J463" s="66">
        <f t="shared" si="62"/>
        <v>2.1959195267868161E-47</v>
      </c>
    </row>
    <row r="464" spans="1:10" x14ac:dyDescent="0.25">
      <c r="A464" s="66">
        <f t="shared" si="60"/>
        <v>94.978841866508319</v>
      </c>
      <c r="B464" s="146">
        <f t="shared" si="59"/>
        <v>428</v>
      </c>
      <c r="C464" s="141">
        <f t="shared" si="55"/>
        <v>9.7461744572641641E-56</v>
      </c>
      <c r="D464" s="66">
        <f t="shared" si="56"/>
        <v>211064093.03668517</v>
      </c>
      <c r="E464" s="89">
        <f t="shared" si="57"/>
        <v>0.44999999999999996</v>
      </c>
      <c r="F464" s="147">
        <f t="shared" si="58"/>
        <v>9.2568036257989559E-48</v>
      </c>
      <c r="I464" s="66">
        <f t="shared" si="61"/>
        <v>94978841.86650832</v>
      </c>
      <c r="J464" s="66">
        <f t="shared" si="62"/>
        <v>9.2568036257989559E-48</v>
      </c>
    </row>
    <row r="465" spans="1:10" x14ac:dyDescent="0.25">
      <c r="A465" s="66">
        <f t="shared" si="60"/>
        <v>95.200755048439405</v>
      </c>
      <c r="B465" s="146">
        <f t="shared" si="59"/>
        <v>429</v>
      </c>
      <c r="C465" s="141">
        <f t="shared" si="55"/>
        <v>4.0893039680829464E-56</v>
      </c>
      <c r="D465" s="66">
        <f t="shared" si="56"/>
        <v>211557233.44097647</v>
      </c>
      <c r="E465" s="89">
        <f t="shared" si="57"/>
        <v>0.44999999999999996</v>
      </c>
      <c r="F465" s="147">
        <f t="shared" si="58"/>
        <v>3.8930482538407582E-48</v>
      </c>
      <c r="I465" s="66">
        <f t="shared" si="61"/>
        <v>95200755.048439398</v>
      </c>
      <c r="J465" s="66">
        <f t="shared" si="62"/>
        <v>3.8930482538407582E-48</v>
      </c>
    </row>
    <row r="466" spans="1:10" x14ac:dyDescent="0.25">
      <c r="A466" s="66">
        <f t="shared" si="60"/>
        <v>95.422668230370505</v>
      </c>
      <c r="B466" s="146">
        <f t="shared" si="59"/>
        <v>430</v>
      </c>
      <c r="C466" s="141">
        <f t="shared" si="55"/>
        <v>1.7118016610579352E-56</v>
      </c>
      <c r="D466" s="66">
        <f t="shared" si="56"/>
        <v>212050373.8452678</v>
      </c>
      <c r="E466" s="89">
        <f t="shared" si="57"/>
        <v>0.44999999999999996</v>
      </c>
      <c r="F466" s="147">
        <f t="shared" si="58"/>
        <v>1.6334468197932848E-48</v>
      </c>
      <c r="I466" s="66">
        <f t="shared" si="61"/>
        <v>95422668.230370507</v>
      </c>
      <c r="J466" s="66">
        <f t="shared" si="62"/>
        <v>1.6334468197932848E-48</v>
      </c>
    </row>
    <row r="467" spans="1:10" x14ac:dyDescent="0.25">
      <c r="A467" s="66">
        <f t="shared" si="60"/>
        <v>95.644581412301605</v>
      </c>
      <c r="B467" s="146">
        <f t="shared" si="59"/>
        <v>431</v>
      </c>
      <c r="C467" s="141">
        <f t="shared" si="55"/>
        <v>7.1490556610306194E-57</v>
      </c>
      <c r="D467" s="66">
        <f t="shared" si="56"/>
        <v>212543514.24955913</v>
      </c>
      <c r="E467" s="89">
        <f t="shared" si="57"/>
        <v>0.44999999999999996</v>
      </c>
      <c r="F467" s="147">
        <f t="shared" si="58"/>
        <v>6.8376843619251874E-49</v>
      </c>
      <c r="I467" s="66">
        <f t="shared" si="61"/>
        <v>95644581.4123016</v>
      </c>
      <c r="J467" s="66">
        <f t="shared" si="62"/>
        <v>6.8376843619251874E-49</v>
      </c>
    </row>
    <row r="468" spans="1:10" x14ac:dyDescent="0.25">
      <c r="A468" s="66">
        <f t="shared" si="60"/>
        <v>95.866494594232691</v>
      </c>
      <c r="B468" s="146">
        <f t="shared" si="59"/>
        <v>432</v>
      </c>
      <c r="C468" s="141">
        <f t="shared" si="55"/>
        <v>2.9787731920963204E-57</v>
      </c>
      <c r="D468" s="66">
        <f t="shared" si="56"/>
        <v>213036654.65385044</v>
      </c>
      <c r="E468" s="89">
        <f t="shared" si="57"/>
        <v>0.44999999999999996</v>
      </c>
      <c r="F468" s="147">
        <f t="shared" si="58"/>
        <v>2.8556454411754715E-49</v>
      </c>
      <c r="I468" s="66">
        <f t="shared" si="61"/>
        <v>95866494.594232693</v>
      </c>
      <c r="J468" s="66">
        <f t="shared" si="62"/>
        <v>2.8556454411754715E-49</v>
      </c>
    </row>
    <row r="469" spans="1:10" x14ac:dyDescent="0.25">
      <c r="A469" s="66">
        <f t="shared" si="60"/>
        <v>96.088407776163791</v>
      </c>
      <c r="B469" s="146">
        <f t="shared" si="59"/>
        <v>433</v>
      </c>
      <c r="C469" s="141">
        <f t="shared" si="55"/>
        <v>1.2382890867835894E-57</v>
      </c>
      <c r="D469" s="66">
        <f t="shared" si="56"/>
        <v>213529795.05814177</v>
      </c>
      <c r="E469" s="89">
        <f t="shared" si="57"/>
        <v>0.44999999999999996</v>
      </c>
      <c r="F469" s="147">
        <f t="shared" si="58"/>
        <v>1.18985226715635E-49</v>
      </c>
      <c r="I469" s="66">
        <f t="shared" si="61"/>
        <v>96088407.776163787</v>
      </c>
      <c r="J469" s="66">
        <f t="shared" si="62"/>
        <v>1.18985226715635E-49</v>
      </c>
    </row>
    <row r="470" spans="1:10" x14ac:dyDescent="0.25">
      <c r="A470" s="66">
        <f t="shared" si="60"/>
        <v>96.310320958094877</v>
      </c>
      <c r="B470" s="146">
        <f t="shared" si="59"/>
        <v>434</v>
      </c>
      <c r="C470" s="141">
        <f t="shared" si="55"/>
        <v>5.1357611894252702E-58</v>
      </c>
      <c r="D470" s="66">
        <f t="shared" si="56"/>
        <v>214022935.4624331</v>
      </c>
      <c r="E470" s="89">
        <f t="shared" si="57"/>
        <v>0.44999999999999996</v>
      </c>
      <c r="F470" s="147">
        <f t="shared" si="58"/>
        <v>4.9462680851767485E-50</v>
      </c>
      <c r="I470" s="66">
        <f t="shared" si="61"/>
        <v>96310320.95809488</v>
      </c>
      <c r="J470" s="66">
        <f t="shared" si="62"/>
        <v>4.9462680851767485E-50</v>
      </c>
    </row>
    <row r="471" spans="1:10" x14ac:dyDescent="0.25">
      <c r="A471" s="66">
        <f t="shared" si="60"/>
        <v>96.532234140025977</v>
      </c>
      <c r="B471" s="146">
        <f t="shared" si="59"/>
        <v>435</v>
      </c>
      <c r="C471" s="141">
        <f t="shared" si="55"/>
        <v>2.1251425611414643E-58</v>
      </c>
      <c r="D471" s="66">
        <f t="shared" si="56"/>
        <v>214516075.8667244</v>
      </c>
      <c r="E471" s="89">
        <f t="shared" si="57"/>
        <v>0.44999999999999996</v>
      </c>
      <c r="F471" s="147">
        <f t="shared" si="58"/>
        <v>2.0514475929304229E-50</v>
      </c>
      <c r="I471" s="66">
        <f t="shared" si="61"/>
        <v>96532234.140025973</v>
      </c>
      <c r="J471" s="66">
        <f t="shared" si="62"/>
        <v>2.0514475929304229E-50</v>
      </c>
    </row>
    <row r="472" spans="1:10" x14ac:dyDescent="0.25">
      <c r="A472" s="66">
        <f t="shared" si="60"/>
        <v>96.754147321957063</v>
      </c>
      <c r="B472" s="146">
        <f t="shared" si="59"/>
        <v>436</v>
      </c>
      <c r="C472" s="141">
        <f t="shared" si="55"/>
        <v>8.7735243349882145E-59</v>
      </c>
      <c r="D472" s="66">
        <f t="shared" si="56"/>
        <v>215009216.27101573</v>
      </c>
      <c r="E472" s="89">
        <f t="shared" si="57"/>
        <v>0.44999999999999996</v>
      </c>
      <c r="F472" s="147">
        <f t="shared" si="58"/>
        <v>8.4887486604022514E-51</v>
      </c>
      <c r="I472" s="66">
        <f t="shared" si="61"/>
        <v>96754147.321957067</v>
      </c>
      <c r="J472" s="66">
        <f t="shared" si="62"/>
        <v>8.4887486604022514E-51</v>
      </c>
    </row>
    <row r="473" spans="1:10" x14ac:dyDescent="0.25">
      <c r="A473" s="66">
        <f t="shared" si="60"/>
        <v>96.976060503888164</v>
      </c>
      <c r="B473" s="146">
        <f t="shared" si="59"/>
        <v>437</v>
      </c>
      <c r="C473" s="141">
        <f t="shared" si="55"/>
        <v>3.6138086505670046E-59</v>
      </c>
      <c r="D473" s="66">
        <f t="shared" si="56"/>
        <v>215502356.67530704</v>
      </c>
      <c r="E473" s="89">
        <f t="shared" si="57"/>
        <v>0.44999999999999996</v>
      </c>
      <c r="F473" s="147">
        <f t="shared" si="58"/>
        <v>3.5045292634686026E-51</v>
      </c>
      <c r="I473" s="66">
        <f t="shared" si="61"/>
        <v>96976060.50388816</v>
      </c>
      <c r="J473" s="66">
        <f t="shared" si="62"/>
        <v>3.5045292634686026E-51</v>
      </c>
    </row>
    <row r="474" spans="1:10" x14ac:dyDescent="0.25">
      <c r="A474" s="66">
        <f t="shared" si="60"/>
        <v>97.19797368581925</v>
      </c>
      <c r="B474" s="146">
        <f t="shared" si="59"/>
        <v>438</v>
      </c>
      <c r="C474" s="141">
        <f t="shared" si="55"/>
        <v>1.4851268426988276E-59</v>
      </c>
      <c r="D474" s="66">
        <f t="shared" si="56"/>
        <v>215995497.07959837</v>
      </c>
      <c r="E474" s="89">
        <f t="shared" si="57"/>
        <v>0.44999999999999996</v>
      </c>
      <c r="F474" s="147">
        <f t="shared" si="58"/>
        <v>1.4435131977674447E-51</v>
      </c>
      <c r="I474" s="66">
        <f t="shared" si="61"/>
        <v>97197973.685819253</v>
      </c>
      <c r="J474" s="66">
        <f t="shared" si="62"/>
        <v>1.4435131977674447E-51</v>
      </c>
    </row>
    <row r="475" spans="1:10" x14ac:dyDescent="0.25">
      <c r="A475" s="66">
        <f t="shared" si="60"/>
        <v>97.419886867750364</v>
      </c>
      <c r="B475" s="146">
        <f t="shared" si="59"/>
        <v>439</v>
      </c>
      <c r="C475" s="141">
        <f t="shared" si="55"/>
        <v>6.0893583527508585E-60</v>
      </c>
      <c r="D475" s="66">
        <f t="shared" si="56"/>
        <v>216488637.4838897</v>
      </c>
      <c r="E475" s="89">
        <f t="shared" si="57"/>
        <v>0.44999999999999996</v>
      </c>
      <c r="F475" s="147">
        <f t="shared" si="58"/>
        <v>5.9322460182217937E-52</v>
      </c>
      <c r="I475" s="66">
        <f t="shared" si="61"/>
        <v>97419886.867750362</v>
      </c>
      <c r="J475" s="66">
        <f t="shared" si="62"/>
        <v>5.9322460182217937E-52</v>
      </c>
    </row>
    <row r="476" spans="1:10" x14ac:dyDescent="0.25">
      <c r="A476" s="66">
        <f t="shared" si="60"/>
        <v>97.641800049681436</v>
      </c>
      <c r="B476" s="146">
        <f t="shared" si="59"/>
        <v>440</v>
      </c>
      <c r="C476" s="141">
        <f t="shared" si="55"/>
        <v>2.491101144307214E-60</v>
      </c>
      <c r="D476" s="66">
        <f t="shared" si="56"/>
        <v>216981777.888181</v>
      </c>
      <c r="E476" s="89">
        <f t="shared" si="57"/>
        <v>0.44999999999999996</v>
      </c>
      <c r="F476" s="147">
        <f t="shared" si="58"/>
        <v>2.432355998359776E-52</v>
      </c>
      <c r="I476" s="66">
        <f t="shared" si="61"/>
        <v>97641800.04968144</v>
      </c>
      <c r="J476" s="66">
        <f t="shared" si="62"/>
        <v>2.432355998359776E-52</v>
      </c>
    </row>
    <row r="477" spans="1:10" x14ac:dyDescent="0.25">
      <c r="A477" s="66">
        <f t="shared" si="60"/>
        <v>97.863713231612536</v>
      </c>
      <c r="B477" s="146">
        <f t="shared" si="59"/>
        <v>441</v>
      </c>
      <c r="C477" s="141">
        <f t="shared" si="55"/>
        <v>1.0167759772682514E-60</v>
      </c>
      <c r="D477" s="66">
        <f t="shared" si="56"/>
        <v>217474918.29247233</v>
      </c>
      <c r="E477" s="89">
        <f t="shared" si="57"/>
        <v>0.44999999999999996</v>
      </c>
      <c r="F477" s="147">
        <f t="shared" si="58"/>
        <v>9.9505472660172734E-53</v>
      </c>
      <c r="I477" s="66">
        <f t="shared" si="61"/>
        <v>97863713.231612533</v>
      </c>
      <c r="J477" s="66">
        <f t="shared" si="62"/>
        <v>9.9505472660172734E-53</v>
      </c>
    </row>
    <row r="478" spans="1:10" x14ac:dyDescent="0.25">
      <c r="A478" s="66">
        <f t="shared" si="60"/>
        <v>98.085626413543636</v>
      </c>
      <c r="B478" s="146">
        <f t="shared" si="59"/>
        <v>442</v>
      </c>
      <c r="C478" s="141">
        <f t="shared" si="55"/>
        <v>4.1407166495087014E-61</v>
      </c>
      <c r="D478" s="66">
        <f t="shared" si="56"/>
        <v>217968058.69676366</v>
      </c>
      <c r="E478" s="89">
        <f t="shared" si="57"/>
        <v>0.44999999999999996</v>
      </c>
      <c r="F478" s="147">
        <f t="shared" si="58"/>
        <v>4.0614478636805062E-53</v>
      </c>
      <c r="I478" s="66">
        <f t="shared" si="61"/>
        <v>98085626.413543642</v>
      </c>
      <c r="J478" s="66">
        <f t="shared" si="62"/>
        <v>4.0614478636805062E-53</v>
      </c>
    </row>
    <row r="479" spans="1:10" x14ac:dyDescent="0.25">
      <c r="A479" s="66">
        <f t="shared" si="60"/>
        <v>98.307539595474722</v>
      </c>
      <c r="B479" s="146">
        <f t="shared" si="59"/>
        <v>443</v>
      </c>
      <c r="C479" s="141">
        <f t="shared" si="55"/>
        <v>1.6824582323059885E-61</v>
      </c>
      <c r="D479" s="66">
        <f t="shared" si="56"/>
        <v>218461199.10105497</v>
      </c>
      <c r="E479" s="89">
        <f t="shared" si="57"/>
        <v>0.44999999999999996</v>
      </c>
      <c r="F479" s="147">
        <f t="shared" si="58"/>
        <v>1.6539832929015337E-53</v>
      </c>
      <c r="I479" s="66">
        <f t="shared" si="61"/>
        <v>98307539.59547472</v>
      </c>
      <c r="J479" s="66">
        <f t="shared" si="62"/>
        <v>1.6539832929015337E-53</v>
      </c>
    </row>
    <row r="480" spans="1:10" x14ac:dyDescent="0.25">
      <c r="A480" s="66">
        <f t="shared" si="60"/>
        <v>98.529452777405822</v>
      </c>
      <c r="B480" s="146">
        <f t="shared" si="59"/>
        <v>444</v>
      </c>
      <c r="C480" s="141">
        <f t="shared" si="55"/>
        <v>6.8207766174571489E-62</v>
      </c>
      <c r="D480" s="66">
        <f t="shared" si="56"/>
        <v>218954339.5053463</v>
      </c>
      <c r="E480" s="89">
        <f t="shared" si="57"/>
        <v>0.44999999999999996</v>
      </c>
      <c r="F480" s="147">
        <f t="shared" si="58"/>
        <v>6.7204738763497798E-54</v>
      </c>
      <c r="I480" s="66">
        <f t="shared" si="61"/>
        <v>98529452.777405828</v>
      </c>
      <c r="J480" s="66">
        <f t="shared" si="62"/>
        <v>6.7204738763497798E-54</v>
      </c>
    </row>
    <row r="481" spans="1:10" x14ac:dyDescent="0.25">
      <c r="A481" s="66">
        <f t="shared" si="60"/>
        <v>98.751365959336908</v>
      </c>
      <c r="B481" s="146">
        <f t="shared" si="59"/>
        <v>445</v>
      </c>
      <c r="C481" s="141">
        <f t="shared" si="55"/>
        <v>2.7589658227917395E-62</v>
      </c>
      <c r="D481" s="66">
        <f t="shared" si="56"/>
        <v>219447479.9096376</v>
      </c>
      <c r="E481" s="89">
        <f t="shared" si="57"/>
        <v>0.44999999999999996</v>
      </c>
      <c r="F481" s="147">
        <f t="shared" si="58"/>
        <v>2.7245164363581014E-54</v>
      </c>
      <c r="I481" s="66">
        <f t="shared" si="61"/>
        <v>98751365.959336907</v>
      </c>
      <c r="J481" s="66">
        <f t="shared" si="62"/>
        <v>2.7245164363581014E-54</v>
      </c>
    </row>
    <row r="482" spans="1:10" x14ac:dyDescent="0.25">
      <c r="A482" s="66">
        <f t="shared" si="60"/>
        <v>98.973279141268009</v>
      </c>
      <c r="B482" s="146">
        <f t="shared" si="59"/>
        <v>446</v>
      </c>
      <c r="C482" s="141">
        <f t="shared" si="55"/>
        <v>1.1134839643553606E-62</v>
      </c>
      <c r="D482" s="66">
        <f t="shared" si="56"/>
        <v>219940620.31392893</v>
      </c>
      <c r="E482" s="89">
        <f t="shared" si="57"/>
        <v>0.44999999999999996</v>
      </c>
      <c r="F482" s="147">
        <f t="shared" si="58"/>
        <v>1.1020515922346883E-54</v>
      </c>
      <c r="I482" s="66">
        <f t="shared" si="61"/>
        <v>98973279.141268015</v>
      </c>
      <c r="J482" s="66">
        <f t="shared" si="62"/>
        <v>1.1020515922346883E-54</v>
      </c>
    </row>
    <row r="483" spans="1:10" x14ac:dyDescent="0.25">
      <c r="A483" s="66">
        <f t="shared" si="60"/>
        <v>99.195192323199109</v>
      </c>
      <c r="B483" s="146">
        <f t="shared" si="59"/>
        <v>447</v>
      </c>
      <c r="C483" s="141">
        <f t="shared" si="55"/>
        <v>4.483828044384017E-63</v>
      </c>
      <c r="D483" s="66">
        <f t="shared" si="56"/>
        <v>220433760.71822026</v>
      </c>
      <c r="E483" s="89">
        <f t="shared" si="57"/>
        <v>0.44999999999999996</v>
      </c>
      <c r="F483" s="147">
        <f t="shared" si="58"/>
        <v>4.4477418520682629E-55</v>
      </c>
      <c r="I483" s="66">
        <f t="shared" si="61"/>
        <v>99195192.323199108</v>
      </c>
      <c r="J483" s="66">
        <f t="shared" si="62"/>
        <v>4.4477418520682629E-55</v>
      </c>
    </row>
    <row r="484" spans="1:10" x14ac:dyDescent="0.25">
      <c r="A484" s="66">
        <f t="shared" si="60"/>
        <v>99.417105505130195</v>
      </c>
      <c r="B484" s="146">
        <f t="shared" si="59"/>
        <v>448</v>
      </c>
      <c r="C484" s="141">
        <f t="shared" ref="C484:C547" si="63">POISSON(B484,$C$33,0)</f>
        <v>1.8015380535471731E-63</v>
      </c>
      <c r="D484" s="66">
        <f t="shared" ref="D484:D547" si="64">+B484*$C$32</f>
        <v>220926901.12251157</v>
      </c>
      <c r="E484" s="89">
        <f t="shared" ref="E484:E547" si="65">1-$E$34</f>
        <v>0.44999999999999996</v>
      </c>
      <c r="F484" s="147">
        <f t="shared" ref="F484:F547" si="66">+D484*E484*C484</f>
        <v>1.791036987410062E-55</v>
      </c>
      <c r="I484" s="66">
        <f t="shared" si="61"/>
        <v>99417105.505130202</v>
      </c>
      <c r="J484" s="66">
        <f t="shared" si="62"/>
        <v>1.791036987410062E-55</v>
      </c>
    </row>
    <row r="485" spans="1:10" x14ac:dyDescent="0.25">
      <c r="A485" s="66">
        <f t="shared" si="60"/>
        <v>99.639018687061295</v>
      </c>
      <c r="B485" s="146">
        <f t="shared" ref="B485:B548" si="67">+B484+1</f>
        <v>449</v>
      </c>
      <c r="C485" s="141">
        <f t="shared" si="63"/>
        <v>7.2222015509688453E-64</v>
      </c>
      <c r="D485" s="66">
        <f t="shared" si="64"/>
        <v>221420041.5268029</v>
      </c>
      <c r="E485" s="89">
        <f t="shared" si="65"/>
        <v>0.44999999999999996</v>
      </c>
      <c r="F485" s="147">
        <f t="shared" si="66"/>
        <v>7.1961307529870788E-56</v>
      </c>
      <c r="I485" s="66">
        <f t="shared" si="61"/>
        <v>99639018.687061295</v>
      </c>
      <c r="J485" s="66">
        <f t="shared" si="62"/>
        <v>7.1961307529870788E-56</v>
      </c>
    </row>
    <row r="486" spans="1:10" x14ac:dyDescent="0.25">
      <c r="A486" s="66">
        <f t="shared" ref="A486:A549" si="68">D486*E486/1000000</f>
        <v>99.860931868992367</v>
      </c>
      <c r="B486" s="146">
        <f t="shared" si="67"/>
        <v>450</v>
      </c>
      <c r="C486" s="141">
        <f t="shared" si="63"/>
        <v>2.8888806203874896E-64</v>
      </c>
      <c r="D486" s="66">
        <f t="shared" si="64"/>
        <v>221913181.9310942</v>
      </c>
      <c r="E486" s="89">
        <f t="shared" si="65"/>
        <v>0.44999999999999996</v>
      </c>
      <c r="F486" s="147">
        <f t="shared" si="66"/>
        <v>2.8848631081016749E-56</v>
      </c>
      <c r="I486" s="66">
        <f t="shared" si="61"/>
        <v>99860931.868992373</v>
      </c>
      <c r="J486" s="66">
        <f t="shared" si="62"/>
        <v>2.8848631081016749E-56</v>
      </c>
    </row>
    <row r="487" spans="1:10" x14ac:dyDescent="0.25">
      <c r="A487" s="66">
        <f t="shared" si="68"/>
        <v>100.08284505092348</v>
      </c>
      <c r="B487" s="146">
        <f t="shared" si="67"/>
        <v>451</v>
      </c>
      <c r="C487" s="141">
        <f t="shared" si="63"/>
        <v>1.1529900480481962E-64</v>
      </c>
      <c r="D487" s="66">
        <f t="shared" si="64"/>
        <v>222406322.33538553</v>
      </c>
      <c r="E487" s="89">
        <f t="shared" si="65"/>
        <v>0.44999999999999996</v>
      </c>
      <c r="F487" s="147">
        <f t="shared" si="66"/>
        <v>1.1539452432406443E-56</v>
      </c>
      <c r="I487" s="66">
        <f t="shared" si="61"/>
        <v>100082845.05092348</v>
      </c>
      <c r="J487" s="66">
        <f t="shared" si="62"/>
        <v>1.1539452432406443E-56</v>
      </c>
    </row>
    <row r="488" spans="1:10" x14ac:dyDescent="0.25">
      <c r="A488" s="66">
        <f t="shared" si="68"/>
        <v>100.30475823285458</v>
      </c>
      <c r="B488" s="146">
        <f t="shared" si="67"/>
        <v>452</v>
      </c>
      <c r="C488" s="141">
        <f t="shared" si="63"/>
        <v>4.5915532886876539E-65</v>
      </c>
      <c r="D488" s="66">
        <f t="shared" si="64"/>
        <v>222899462.73967686</v>
      </c>
      <c r="E488" s="89">
        <f t="shared" si="65"/>
        <v>0.44999999999999996</v>
      </c>
      <c r="F488" s="147">
        <f t="shared" si="66"/>
        <v>4.6055464253508343E-57</v>
      </c>
      <c r="I488" s="66">
        <f t="shared" si="61"/>
        <v>100304758.23285457</v>
      </c>
      <c r="J488" s="66">
        <f t="shared" si="62"/>
        <v>4.6055464253508343E-57</v>
      </c>
    </row>
    <row r="489" spans="1:10" x14ac:dyDescent="0.25">
      <c r="A489" s="66">
        <f t="shared" si="68"/>
        <v>100.52667141478567</v>
      </c>
      <c r="B489" s="146">
        <f t="shared" si="67"/>
        <v>453</v>
      </c>
      <c r="C489" s="141">
        <f t="shared" si="63"/>
        <v>1.824458260405601E-65</v>
      </c>
      <c r="D489" s="66">
        <f t="shared" si="64"/>
        <v>223392603.14396816</v>
      </c>
      <c r="E489" s="89">
        <f t="shared" si="65"/>
        <v>0.44999999999999996</v>
      </c>
      <c r="F489" s="147">
        <f t="shared" si="66"/>
        <v>1.8340671605378531E-57</v>
      </c>
      <c r="I489" s="66">
        <f t="shared" si="61"/>
        <v>100526671.41478567</v>
      </c>
      <c r="J489" s="66">
        <f t="shared" si="62"/>
        <v>1.8340671605378531E-57</v>
      </c>
    </row>
    <row r="490" spans="1:10" x14ac:dyDescent="0.25">
      <c r="A490" s="66">
        <f t="shared" si="68"/>
        <v>100.74858459671677</v>
      </c>
      <c r="B490" s="146">
        <f t="shared" si="67"/>
        <v>454</v>
      </c>
      <c r="C490" s="141">
        <f t="shared" si="63"/>
        <v>7.2335349531500696E-66</v>
      </c>
      <c r="D490" s="66">
        <f t="shared" si="64"/>
        <v>223885743.5482595</v>
      </c>
      <c r="E490" s="89">
        <f t="shared" si="65"/>
        <v>0.44999999999999996</v>
      </c>
      <c r="F490" s="147">
        <f t="shared" si="66"/>
        <v>7.2876840816074735E-58</v>
      </c>
      <c r="I490" s="66">
        <f t="shared" si="61"/>
        <v>100748584.59671676</v>
      </c>
      <c r="J490" s="66">
        <f t="shared" si="62"/>
        <v>7.2876840816074735E-58</v>
      </c>
    </row>
    <row r="491" spans="1:10" x14ac:dyDescent="0.25">
      <c r="A491" s="66">
        <f t="shared" si="68"/>
        <v>100.97049777864787</v>
      </c>
      <c r="B491" s="146">
        <f t="shared" si="67"/>
        <v>455</v>
      </c>
      <c r="C491" s="141">
        <f t="shared" si="63"/>
        <v>2.8616182232242338E-66</v>
      </c>
      <c r="D491" s="66">
        <f t="shared" si="64"/>
        <v>224378883.95255083</v>
      </c>
      <c r="E491" s="89">
        <f t="shared" si="65"/>
        <v>0.44999999999999996</v>
      </c>
      <c r="F491" s="147">
        <f t="shared" si="66"/>
        <v>2.8893901645140077E-58</v>
      </c>
      <c r="I491" s="66">
        <f t="shared" si="61"/>
        <v>100970497.77864787</v>
      </c>
      <c r="J491" s="66">
        <f t="shared" si="62"/>
        <v>2.8893901645140077E-58</v>
      </c>
    </row>
    <row r="492" spans="1:10" x14ac:dyDescent="0.25">
      <c r="A492" s="66">
        <f t="shared" si="68"/>
        <v>101.19241096057895</v>
      </c>
      <c r="B492" s="146">
        <f t="shared" si="67"/>
        <v>456</v>
      </c>
      <c r="C492" s="141">
        <f t="shared" si="63"/>
        <v>1.1295861407464092E-66</v>
      </c>
      <c r="D492" s="66">
        <f t="shared" si="64"/>
        <v>224872024.35684213</v>
      </c>
      <c r="E492" s="89">
        <f t="shared" si="65"/>
        <v>0.44999999999999996</v>
      </c>
      <c r="F492" s="147">
        <f t="shared" si="66"/>
        <v>1.1430554496978501E-58</v>
      </c>
      <c r="I492" s="66">
        <f t="shared" si="61"/>
        <v>101192410.96057895</v>
      </c>
      <c r="J492" s="66">
        <f t="shared" si="62"/>
        <v>1.1430554496978501E-58</v>
      </c>
    </row>
    <row r="493" spans="1:10" x14ac:dyDescent="0.25">
      <c r="A493" s="66">
        <f t="shared" si="68"/>
        <v>101.41432414251004</v>
      </c>
      <c r="B493" s="146">
        <f t="shared" si="67"/>
        <v>457</v>
      </c>
      <c r="C493" s="141">
        <f t="shared" si="63"/>
        <v>4.4491357841216937E-67</v>
      </c>
      <c r="D493" s="66">
        <f t="shared" si="64"/>
        <v>225365164.76113346</v>
      </c>
      <c r="E493" s="89">
        <f t="shared" si="65"/>
        <v>0.44999999999999996</v>
      </c>
      <c r="F493" s="147">
        <f t="shared" si="66"/>
        <v>4.5120609856495805E-59</v>
      </c>
      <c r="I493" s="66">
        <f t="shared" si="61"/>
        <v>101414324.14251004</v>
      </c>
      <c r="J493" s="66">
        <f t="shared" si="62"/>
        <v>4.5120609856495805E-59</v>
      </c>
    </row>
    <row r="494" spans="1:10" x14ac:dyDescent="0.25">
      <c r="A494" s="66">
        <f t="shared" si="68"/>
        <v>101.63623732444114</v>
      </c>
      <c r="B494" s="146">
        <f t="shared" si="67"/>
        <v>458</v>
      </c>
      <c r="C494" s="141">
        <f t="shared" si="63"/>
        <v>1.7485686487815046E-67</v>
      </c>
      <c r="D494" s="66">
        <f t="shared" si="64"/>
        <v>225858305.16542476</v>
      </c>
      <c r="E494" s="89">
        <f t="shared" si="65"/>
        <v>0.44999999999999996</v>
      </c>
      <c r="F494" s="147">
        <f t="shared" si="66"/>
        <v>1.7771793816563435E-59</v>
      </c>
      <c r="I494" s="66">
        <f t="shared" si="61"/>
        <v>101636237.32444113</v>
      </c>
      <c r="J494" s="66">
        <f t="shared" si="62"/>
        <v>1.7771793816563435E-59</v>
      </c>
    </row>
    <row r="495" spans="1:10" x14ac:dyDescent="0.25">
      <c r="A495" s="66">
        <f t="shared" si="68"/>
        <v>101.85815050637223</v>
      </c>
      <c r="B495" s="146">
        <f t="shared" si="67"/>
        <v>459</v>
      </c>
      <c r="C495" s="141">
        <f t="shared" si="63"/>
        <v>6.8571319560052478E-68</v>
      </c>
      <c r="D495" s="66">
        <f t="shared" si="64"/>
        <v>226351445.5697161</v>
      </c>
      <c r="E495" s="89">
        <f t="shared" si="65"/>
        <v>0.44999999999999996</v>
      </c>
      <c r="F495" s="147">
        <f t="shared" si="66"/>
        <v>6.9845477881683709E-60</v>
      </c>
      <c r="I495" s="66">
        <f t="shared" si="61"/>
        <v>101858150.50637223</v>
      </c>
      <c r="J495" s="66">
        <f t="shared" si="62"/>
        <v>6.9845477881683709E-60</v>
      </c>
    </row>
    <row r="496" spans="1:10" x14ac:dyDescent="0.25">
      <c r="A496" s="66">
        <f t="shared" si="68"/>
        <v>102.08006368830334</v>
      </c>
      <c r="B496" s="146">
        <f t="shared" si="67"/>
        <v>460</v>
      </c>
      <c r="C496" s="141">
        <f t="shared" si="63"/>
        <v>2.6832255480021791E-68</v>
      </c>
      <c r="D496" s="66">
        <f t="shared" si="64"/>
        <v>226844585.97400743</v>
      </c>
      <c r="E496" s="89">
        <f t="shared" si="65"/>
        <v>0.44999999999999996</v>
      </c>
      <c r="F496" s="147">
        <f t="shared" si="66"/>
        <v>2.7390383483014504E-60</v>
      </c>
      <c r="I496" s="66">
        <f t="shared" si="61"/>
        <v>102080063.68830334</v>
      </c>
      <c r="J496" s="66">
        <f t="shared" si="62"/>
        <v>2.7390383483014504E-60</v>
      </c>
    </row>
    <row r="497" spans="1:10" x14ac:dyDescent="0.25">
      <c r="A497" s="66">
        <f t="shared" si="68"/>
        <v>102.30197687023441</v>
      </c>
      <c r="B497" s="146">
        <f t="shared" si="67"/>
        <v>461</v>
      </c>
      <c r="C497" s="141">
        <f t="shared" si="63"/>
        <v>1.0476802573544186E-68</v>
      </c>
      <c r="D497" s="66">
        <f t="shared" si="64"/>
        <v>227337726.37829873</v>
      </c>
      <c r="E497" s="89">
        <f t="shared" si="65"/>
        <v>0.44999999999999996</v>
      </c>
      <c r="F497" s="147">
        <f t="shared" si="66"/>
        <v>1.0717976145527297E-60</v>
      </c>
      <c r="I497" s="66">
        <f t="shared" si="61"/>
        <v>102301976.87023441</v>
      </c>
      <c r="J497" s="66">
        <f t="shared" si="62"/>
        <v>1.0717976145527297E-60</v>
      </c>
    </row>
    <row r="498" spans="1:10" x14ac:dyDescent="0.25">
      <c r="A498" s="66">
        <f t="shared" si="68"/>
        <v>102.52389005216553</v>
      </c>
      <c r="B498" s="146">
        <f t="shared" si="67"/>
        <v>462</v>
      </c>
      <c r="C498" s="141">
        <f t="shared" si="63"/>
        <v>4.081871132549399E-69</v>
      </c>
      <c r="D498" s="66">
        <f t="shared" si="64"/>
        <v>227830866.78259006</v>
      </c>
      <c r="E498" s="89">
        <f t="shared" si="65"/>
        <v>0.44999999999999996</v>
      </c>
      <c r="F498" s="147">
        <f t="shared" si="66"/>
        <v>4.1848930720060295E-61</v>
      </c>
      <c r="I498" s="66">
        <f t="shared" si="61"/>
        <v>102523890.05216552</v>
      </c>
      <c r="J498" s="66">
        <f t="shared" si="62"/>
        <v>4.1848930720060295E-61</v>
      </c>
    </row>
    <row r="499" spans="1:10" x14ac:dyDescent="0.25">
      <c r="A499" s="66">
        <f t="shared" si="68"/>
        <v>102.74580323409661</v>
      </c>
      <c r="B499" s="146">
        <f t="shared" si="67"/>
        <v>463</v>
      </c>
      <c r="C499" s="141">
        <f t="shared" si="63"/>
        <v>1.5869045439717285E-69</v>
      </c>
      <c r="D499" s="66">
        <f t="shared" si="64"/>
        <v>228324007.18688139</v>
      </c>
      <c r="E499" s="89">
        <f t="shared" si="65"/>
        <v>0.44999999999999996</v>
      </c>
      <c r="F499" s="147">
        <f t="shared" si="66"/>
        <v>1.6304778202621304E-61</v>
      </c>
      <c r="I499" s="66">
        <f t="shared" si="61"/>
        <v>102745803.23409662</v>
      </c>
      <c r="J499" s="66">
        <f t="shared" si="62"/>
        <v>1.6304778202621304E-61</v>
      </c>
    </row>
    <row r="500" spans="1:10" x14ac:dyDescent="0.25">
      <c r="A500" s="66">
        <f t="shared" si="68"/>
        <v>102.96771641602771</v>
      </c>
      <c r="B500" s="146">
        <f t="shared" si="67"/>
        <v>464</v>
      </c>
      <c r="C500" s="141">
        <f t="shared" si="63"/>
        <v>6.1560952136834381E-70</v>
      </c>
      <c r="D500" s="66">
        <f t="shared" si="64"/>
        <v>228817147.5911727</v>
      </c>
      <c r="E500" s="89">
        <f t="shared" si="65"/>
        <v>0.44999999999999996</v>
      </c>
      <c r="F500" s="147">
        <f t="shared" si="66"/>
        <v>6.3387906619262177E-62</v>
      </c>
      <c r="I500" s="66">
        <f t="shared" si="61"/>
        <v>102967716.41602771</v>
      </c>
      <c r="J500" s="66">
        <f t="shared" si="62"/>
        <v>6.3387906619262177E-62</v>
      </c>
    </row>
    <row r="501" spans="1:10" x14ac:dyDescent="0.25">
      <c r="A501" s="66">
        <f t="shared" si="68"/>
        <v>103.1896295979588</v>
      </c>
      <c r="B501" s="146">
        <f t="shared" si="67"/>
        <v>465</v>
      </c>
      <c r="C501" s="141">
        <f t="shared" si="63"/>
        <v>2.3830045988451083E-70</v>
      </c>
      <c r="D501" s="66">
        <f t="shared" si="64"/>
        <v>229310287.99546403</v>
      </c>
      <c r="E501" s="89">
        <f t="shared" si="65"/>
        <v>0.44999999999999996</v>
      </c>
      <c r="F501" s="147">
        <f t="shared" si="66"/>
        <v>2.4590136188505913E-62</v>
      </c>
      <c r="I501" s="66">
        <f t="shared" si="61"/>
        <v>103189629.5979588</v>
      </c>
      <c r="J501" s="66">
        <f t="shared" si="62"/>
        <v>2.4590136188505913E-62</v>
      </c>
    </row>
    <row r="502" spans="1:10" x14ac:dyDescent="0.25">
      <c r="A502" s="66">
        <f t="shared" si="68"/>
        <v>103.41154277988988</v>
      </c>
      <c r="B502" s="146">
        <f t="shared" si="67"/>
        <v>466</v>
      </c>
      <c r="C502" s="141">
        <f t="shared" si="63"/>
        <v>9.2047387938225597E-71</v>
      </c>
      <c r="D502" s="66">
        <f t="shared" si="64"/>
        <v>229803428.39975533</v>
      </c>
      <c r="E502" s="89">
        <f t="shared" si="65"/>
        <v>0.44999999999999996</v>
      </c>
      <c r="F502" s="147">
        <f t="shared" si="66"/>
        <v>9.5187623955509357E-63</v>
      </c>
      <c r="I502" s="66">
        <f t="shared" si="61"/>
        <v>103411542.77988988</v>
      </c>
      <c r="J502" s="66">
        <f t="shared" si="62"/>
        <v>9.5187623955509357E-63</v>
      </c>
    </row>
    <row r="503" spans="1:10" x14ac:dyDescent="0.25">
      <c r="A503" s="66">
        <f t="shared" si="68"/>
        <v>103.63345596182099</v>
      </c>
      <c r="B503" s="146">
        <f t="shared" si="67"/>
        <v>467</v>
      </c>
      <c r="C503" s="141">
        <f t="shared" si="63"/>
        <v>3.547865059717631E-71</v>
      </c>
      <c r="D503" s="66">
        <f t="shared" si="64"/>
        <v>230296568.80404666</v>
      </c>
      <c r="E503" s="89">
        <f t="shared" si="65"/>
        <v>0.44999999999999996</v>
      </c>
      <c r="F503" s="147">
        <f t="shared" si="66"/>
        <v>3.676775174247305E-63</v>
      </c>
      <c r="I503" s="66">
        <f t="shared" si="61"/>
        <v>103633455.96182099</v>
      </c>
      <c r="J503" s="66">
        <f t="shared" si="62"/>
        <v>3.676775174247305E-63</v>
      </c>
    </row>
    <row r="504" spans="1:10" x14ac:dyDescent="0.25">
      <c r="A504" s="66">
        <f t="shared" si="68"/>
        <v>103.85536914375209</v>
      </c>
      <c r="B504" s="146">
        <f t="shared" si="67"/>
        <v>468</v>
      </c>
      <c r="C504" s="141">
        <f t="shared" si="63"/>
        <v>1.3645634845067712E-71</v>
      </c>
      <c r="D504" s="66">
        <f t="shared" si="64"/>
        <v>230789709.20833799</v>
      </c>
      <c r="E504" s="89">
        <f t="shared" si="65"/>
        <v>0.44999999999999996</v>
      </c>
      <c r="F504" s="147">
        <f t="shared" si="66"/>
        <v>1.4171724440353536E-63</v>
      </c>
      <c r="I504" s="66">
        <f t="shared" si="61"/>
        <v>103855369.14375208</v>
      </c>
      <c r="J504" s="66">
        <f t="shared" si="62"/>
        <v>1.4171724440353536E-63</v>
      </c>
    </row>
    <row r="505" spans="1:10" x14ac:dyDescent="0.25">
      <c r="A505" s="66">
        <f t="shared" si="68"/>
        <v>104.07728232568317</v>
      </c>
      <c r="B505" s="146">
        <f t="shared" si="67"/>
        <v>469</v>
      </c>
      <c r="C505" s="141">
        <f t="shared" si="63"/>
        <v>5.2371306441624876E-72</v>
      </c>
      <c r="D505" s="66">
        <f t="shared" si="64"/>
        <v>231282849.61262929</v>
      </c>
      <c r="E505" s="89">
        <f t="shared" si="65"/>
        <v>0.44999999999999996</v>
      </c>
      <c r="F505" s="147">
        <f t="shared" si="66"/>
        <v>5.4506632462898622E-64</v>
      </c>
      <c r="I505" s="66">
        <f t="shared" si="61"/>
        <v>104077282.32568318</v>
      </c>
      <c r="J505" s="66">
        <f t="shared" si="62"/>
        <v>5.4506632462898622E-64</v>
      </c>
    </row>
    <row r="506" spans="1:10" x14ac:dyDescent="0.25">
      <c r="A506" s="66">
        <f t="shared" si="68"/>
        <v>104.29919550761427</v>
      </c>
      <c r="B506" s="146">
        <f t="shared" si="67"/>
        <v>470</v>
      </c>
      <c r="C506" s="141">
        <f t="shared" si="63"/>
        <v>2.0057096084026664E-72</v>
      </c>
      <c r="D506" s="66">
        <f t="shared" si="64"/>
        <v>231775990.01692063</v>
      </c>
      <c r="E506" s="89">
        <f t="shared" si="65"/>
        <v>0.44999999999999996</v>
      </c>
      <c r="F506" s="147">
        <f t="shared" si="66"/>
        <v>2.0919389857829017E-64</v>
      </c>
      <c r="I506" s="66">
        <f t="shared" si="61"/>
        <v>104299195.50761427</v>
      </c>
      <c r="J506" s="66">
        <f t="shared" si="62"/>
        <v>2.0919389857829017E-64</v>
      </c>
    </row>
    <row r="507" spans="1:10" x14ac:dyDescent="0.25">
      <c r="A507" s="66">
        <f t="shared" si="68"/>
        <v>104.52110868954537</v>
      </c>
      <c r="B507" s="146">
        <f t="shared" si="67"/>
        <v>471</v>
      </c>
      <c r="C507" s="141">
        <f t="shared" si="63"/>
        <v>7.6651322614113853E-73</v>
      </c>
      <c r="D507" s="66">
        <f t="shared" si="64"/>
        <v>232269130.42121196</v>
      </c>
      <c r="E507" s="89">
        <f t="shared" si="65"/>
        <v>0.44999999999999996</v>
      </c>
      <c r="F507" s="147">
        <f t="shared" si="66"/>
        <v>8.0116812221472014E-65</v>
      </c>
      <c r="I507" s="66">
        <f t="shared" si="61"/>
        <v>104521108.68954538</v>
      </c>
      <c r="J507" s="66">
        <f t="shared" si="62"/>
        <v>8.0116812221472014E-65</v>
      </c>
    </row>
    <row r="508" spans="1:10" x14ac:dyDescent="0.25">
      <c r="A508" s="66">
        <f t="shared" si="68"/>
        <v>104.74302187147646</v>
      </c>
      <c r="B508" s="146">
        <f t="shared" si="67"/>
        <v>472</v>
      </c>
      <c r="C508" s="141">
        <f t="shared" si="63"/>
        <v>2.9231436590128033E-73</v>
      </c>
      <c r="D508" s="66">
        <f t="shared" si="64"/>
        <v>232762270.82550326</v>
      </c>
      <c r="E508" s="89">
        <f t="shared" si="65"/>
        <v>0.44999999999999996</v>
      </c>
      <c r="F508" s="147">
        <f t="shared" si="66"/>
        <v>3.0617890020944576E-65</v>
      </c>
      <c r="I508" s="66">
        <f t="shared" si="61"/>
        <v>104743021.87147646</v>
      </c>
      <c r="J508" s="66">
        <f t="shared" si="62"/>
        <v>3.0617890020944576E-65</v>
      </c>
    </row>
    <row r="509" spans="1:10" x14ac:dyDescent="0.25">
      <c r="A509" s="66">
        <f t="shared" si="68"/>
        <v>104.96493505340754</v>
      </c>
      <c r="B509" s="146">
        <f t="shared" si="67"/>
        <v>473</v>
      </c>
      <c r="C509" s="141">
        <f t="shared" si="63"/>
        <v>1.1124013924361643E-73</v>
      </c>
      <c r="D509" s="66">
        <f t="shared" si="64"/>
        <v>233255411.22979459</v>
      </c>
      <c r="E509" s="89">
        <f t="shared" si="65"/>
        <v>0.44999999999999996</v>
      </c>
      <c r="F509" s="147">
        <f t="shared" si="66"/>
        <v>1.1676313991038212E-65</v>
      </c>
      <c r="I509" s="66">
        <f t="shared" si="61"/>
        <v>104964935.05340755</v>
      </c>
      <c r="J509" s="66">
        <f t="shared" si="62"/>
        <v>1.1676313991038212E-65</v>
      </c>
    </row>
    <row r="510" spans="1:10" x14ac:dyDescent="0.25">
      <c r="A510" s="66">
        <f t="shared" si="68"/>
        <v>105.18684823533864</v>
      </c>
      <c r="B510" s="146">
        <f t="shared" si="67"/>
        <v>474</v>
      </c>
      <c r="C510" s="141">
        <f t="shared" si="63"/>
        <v>4.2243090852005156E-74</v>
      </c>
      <c r="D510" s="66">
        <f t="shared" si="64"/>
        <v>233748551.63408589</v>
      </c>
      <c r="E510" s="89">
        <f t="shared" si="65"/>
        <v>0.44999999999999996</v>
      </c>
      <c r="F510" s="147">
        <f t="shared" si="66"/>
        <v>4.4434175864414887E-66</v>
      </c>
      <c r="I510" s="66">
        <f t="shared" si="61"/>
        <v>105186848.23533864</v>
      </c>
      <c r="J510" s="66">
        <f t="shared" si="62"/>
        <v>4.4434175864414887E-66</v>
      </c>
    </row>
    <row r="511" spans="1:10" x14ac:dyDescent="0.25">
      <c r="A511" s="66">
        <f t="shared" si="68"/>
        <v>105.40876141726973</v>
      </c>
      <c r="B511" s="146">
        <f t="shared" si="67"/>
        <v>475</v>
      </c>
      <c r="C511" s="141">
        <f t="shared" si="63"/>
        <v>1.6007908112339305E-74</v>
      </c>
      <c r="D511" s="66">
        <f t="shared" si="64"/>
        <v>234241692.03837723</v>
      </c>
      <c r="E511" s="89">
        <f t="shared" si="65"/>
        <v>0.44999999999999996</v>
      </c>
      <c r="F511" s="147">
        <f t="shared" si="66"/>
        <v>1.6873737670031505E-66</v>
      </c>
      <c r="I511" s="66">
        <f t="shared" si="61"/>
        <v>105408761.41726974</v>
      </c>
      <c r="J511" s="66">
        <f t="shared" si="62"/>
        <v>1.6873737670031505E-66</v>
      </c>
    </row>
    <row r="512" spans="1:10" x14ac:dyDescent="0.25">
      <c r="A512" s="66">
        <f t="shared" si="68"/>
        <v>105.63067459920084</v>
      </c>
      <c r="B512" s="146">
        <f t="shared" si="67"/>
        <v>476</v>
      </c>
      <c r="C512" s="141">
        <f t="shared" si="63"/>
        <v>6.0534106307166361E-75</v>
      </c>
      <c r="D512" s="66">
        <f t="shared" si="64"/>
        <v>234734832.44266856</v>
      </c>
      <c r="E512" s="89">
        <f t="shared" si="65"/>
        <v>0.44999999999999996</v>
      </c>
      <c r="F512" s="147">
        <f t="shared" si="66"/>
        <v>6.3942584854857216E-67</v>
      </c>
      <c r="I512" s="66">
        <f t="shared" ref="I512:I575" si="69">D512*E512</f>
        <v>105630674.59920084</v>
      </c>
      <c r="J512" s="66">
        <f t="shared" ref="J512:J575" si="70">I512*C512</f>
        <v>6.3942584854857216E-67</v>
      </c>
    </row>
    <row r="513" spans="1:10" x14ac:dyDescent="0.25">
      <c r="A513" s="66">
        <f t="shared" si="68"/>
        <v>105.85258778113192</v>
      </c>
      <c r="B513" s="146">
        <f t="shared" si="67"/>
        <v>477</v>
      </c>
      <c r="C513" s="141">
        <f t="shared" si="63"/>
        <v>2.2843058983836496E-75</v>
      </c>
      <c r="D513" s="66">
        <f t="shared" si="64"/>
        <v>235227972.84695986</v>
      </c>
      <c r="E513" s="89">
        <f t="shared" si="65"/>
        <v>0.44999999999999996</v>
      </c>
      <c r="F513" s="147">
        <f t="shared" si="66"/>
        <v>2.4179969062761269E-67</v>
      </c>
      <c r="I513" s="66">
        <f t="shared" si="69"/>
        <v>105852587.78113192</v>
      </c>
      <c r="J513" s="66">
        <f t="shared" si="70"/>
        <v>2.4179969062761269E-67</v>
      </c>
    </row>
    <row r="514" spans="1:10" x14ac:dyDescent="0.25">
      <c r="A514" s="66">
        <f t="shared" si="68"/>
        <v>106.07450096306303</v>
      </c>
      <c r="B514" s="146">
        <f t="shared" si="67"/>
        <v>478</v>
      </c>
      <c r="C514" s="141">
        <f t="shared" si="63"/>
        <v>8.6019887386830396E-76</v>
      </c>
      <c r="D514" s="66">
        <f t="shared" si="64"/>
        <v>235721113.25125119</v>
      </c>
      <c r="E514" s="89">
        <f t="shared" si="65"/>
        <v>0.44999999999999996</v>
      </c>
      <c r="F514" s="147">
        <f t="shared" si="66"/>
        <v>9.1245166274569145E-68</v>
      </c>
      <c r="I514" s="66">
        <f t="shared" si="69"/>
        <v>106074500.96306303</v>
      </c>
      <c r="J514" s="66">
        <f t="shared" si="70"/>
        <v>9.1245166274569145E-68</v>
      </c>
    </row>
    <row r="515" spans="1:10" x14ac:dyDescent="0.25">
      <c r="A515" s="66">
        <f t="shared" si="68"/>
        <v>106.29641414499413</v>
      </c>
      <c r="B515" s="146">
        <f t="shared" si="67"/>
        <v>479</v>
      </c>
      <c r="C515" s="141">
        <f t="shared" si="63"/>
        <v>3.2324801105698386E-76</v>
      </c>
      <c r="D515" s="66">
        <f t="shared" si="64"/>
        <v>236214253.65554252</v>
      </c>
      <c r="E515" s="89">
        <f t="shared" si="65"/>
        <v>0.44999999999999996</v>
      </c>
      <c r="F515" s="147">
        <f t="shared" si="66"/>
        <v>3.4360104454858798E-68</v>
      </c>
      <c r="I515" s="66">
        <f t="shared" si="69"/>
        <v>106296414.14499412</v>
      </c>
      <c r="J515" s="66">
        <f t="shared" si="70"/>
        <v>3.4360104454858798E-68</v>
      </c>
    </row>
    <row r="516" spans="1:10" x14ac:dyDescent="0.25">
      <c r="A516" s="66">
        <f t="shared" si="68"/>
        <v>106.5183273269252</v>
      </c>
      <c r="B516" s="146">
        <f t="shared" si="67"/>
        <v>480</v>
      </c>
      <c r="C516" s="141">
        <f t="shared" si="63"/>
        <v>1.2121800414637529E-76</v>
      </c>
      <c r="D516" s="66">
        <f t="shared" si="64"/>
        <v>236707394.05983382</v>
      </c>
      <c r="E516" s="89">
        <f t="shared" si="65"/>
        <v>0.44999999999999996</v>
      </c>
      <c r="F516" s="147">
        <f t="shared" si="66"/>
        <v>1.291193904358018E-68</v>
      </c>
      <c r="I516" s="66">
        <f t="shared" si="69"/>
        <v>106518327.3269252</v>
      </c>
      <c r="J516" s="66">
        <f t="shared" si="70"/>
        <v>1.291193904358018E-68</v>
      </c>
    </row>
    <row r="517" spans="1:10" x14ac:dyDescent="0.25">
      <c r="A517" s="66">
        <f t="shared" si="68"/>
        <v>106.74024050885632</v>
      </c>
      <c r="B517" s="146">
        <f t="shared" si="67"/>
        <v>481</v>
      </c>
      <c r="C517" s="141">
        <f t="shared" si="63"/>
        <v>4.5362246873901817E-77</v>
      </c>
      <c r="D517" s="66">
        <f t="shared" si="64"/>
        <v>237200534.46412516</v>
      </c>
      <c r="E517" s="89">
        <f t="shared" si="65"/>
        <v>0.44999999999999996</v>
      </c>
      <c r="F517" s="147">
        <f t="shared" si="66"/>
        <v>4.8419771413423956E-69</v>
      </c>
      <c r="I517" s="66">
        <f t="shared" si="69"/>
        <v>106740240.50885631</v>
      </c>
      <c r="J517" s="66">
        <f t="shared" si="70"/>
        <v>4.8419771413423956E-69</v>
      </c>
    </row>
    <row r="518" spans="1:10" x14ac:dyDescent="0.25">
      <c r="A518" s="66">
        <f t="shared" si="68"/>
        <v>106.96215369078739</v>
      </c>
      <c r="B518" s="146">
        <f t="shared" si="67"/>
        <v>482</v>
      </c>
      <c r="C518" s="141">
        <f t="shared" si="63"/>
        <v>1.6940258168677325E-77</v>
      </c>
      <c r="D518" s="66">
        <f t="shared" si="64"/>
        <v>237693674.86841646</v>
      </c>
      <c r="E518" s="89">
        <f t="shared" si="65"/>
        <v>0.44999999999999996</v>
      </c>
      <c r="F518" s="147">
        <f t="shared" si="66"/>
        <v>1.8119664977996806E-69</v>
      </c>
      <c r="I518" s="66">
        <f t="shared" si="69"/>
        <v>106962153.69078739</v>
      </c>
      <c r="J518" s="66">
        <f t="shared" si="70"/>
        <v>1.8119664977996806E-69</v>
      </c>
    </row>
    <row r="519" spans="1:10" x14ac:dyDescent="0.25">
      <c r="A519" s="66">
        <f t="shared" si="68"/>
        <v>107.1840668727185</v>
      </c>
      <c r="B519" s="146">
        <f t="shared" si="67"/>
        <v>483</v>
      </c>
      <c r="C519" s="141">
        <f t="shared" si="63"/>
        <v>6.3131396901900853E-78</v>
      </c>
      <c r="D519" s="66">
        <f t="shared" si="64"/>
        <v>238186815.27270779</v>
      </c>
      <c r="E519" s="89">
        <f t="shared" si="65"/>
        <v>0.44999999999999996</v>
      </c>
      <c r="F519" s="147">
        <f t="shared" si="66"/>
        <v>6.7666798673014751E-70</v>
      </c>
      <c r="I519" s="66">
        <f t="shared" si="69"/>
        <v>107184066.8727185</v>
      </c>
      <c r="J519" s="66">
        <f t="shared" si="70"/>
        <v>6.7666798673014751E-70</v>
      </c>
    </row>
    <row r="520" spans="1:10" x14ac:dyDescent="0.25">
      <c r="A520" s="66">
        <f t="shared" si="68"/>
        <v>107.40598005464959</v>
      </c>
      <c r="B520" s="146">
        <f t="shared" si="67"/>
        <v>484</v>
      </c>
      <c r="C520" s="141">
        <f t="shared" si="63"/>
        <v>2.3478618682523736E-78</v>
      </c>
      <c r="D520" s="66">
        <f t="shared" si="64"/>
        <v>238679955.67699912</v>
      </c>
      <c r="E520" s="89">
        <f t="shared" si="65"/>
        <v>0.44999999999999996</v>
      </c>
      <c r="F520" s="147">
        <f t="shared" si="66"/>
        <v>2.5217440499258676E-70</v>
      </c>
      <c r="I520" s="66">
        <f t="shared" si="69"/>
        <v>107405980.05464959</v>
      </c>
      <c r="J520" s="66">
        <f t="shared" si="70"/>
        <v>2.5217440499258676E-70</v>
      </c>
    </row>
    <row r="521" spans="1:10" x14ac:dyDescent="0.25">
      <c r="A521" s="66">
        <f t="shared" si="68"/>
        <v>107.62789323658069</v>
      </c>
      <c r="B521" s="146">
        <f t="shared" si="67"/>
        <v>485</v>
      </c>
      <c r="C521" s="141">
        <f t="shared" si="63"/>
        <v>8.7137141502149353E-79</v>
      </c>
      <c r="D521" s="66">
        <f t="shared" si="64"/>
        <v>239173096.08129042</v>
      </c>
      <c r="E521" s="89">
        <f t="shared" si="65"/>
        <v>0.44999999999999996</v>
      </c>
      <c r="F521" s="147">
        <f t="shared" si="66"/>
        <v>9.3783869625341549E-71</v>
      </c>
      <c r="I521" s="66">
        <f t="shared" si="69"/>
        <v>107627893.23658068</v>
      </c>
      <c r="J521" s="66">
        <f t="shared" si="70"/>
        <v>9.3783869625341549E-71</v>
      </c>
    </row>
    <row r="522" spans="1:10" x14ac:dyDescent="0.25">
      <c r="A522" s="66">
        <f t="shared" si="68"/>
        <v>107.84980641851178</v>
      </c>
      <c r="B522" s="146">
        <f t="shared" si="67"/>
        <v>486</v>
      </c>
      <c r="C522" s="141">
        <f t="shared" si="63"/>
        <v>3.2273015371167175E-79</v>
      </c>
      <c r="D522" s="66">
        <f t="shared" si="64"/>
        <v>239666236.48558176</v>
      </c>
      <c r="E522" s="89">
        <f t="shared" si="65"/>
        <v>0.44999999999999996</v>
      </c>
      <c r="F522" s="147">
        <f t="shared" si="66"/>
        <v>3.480638460322035E-71</v>
      </c>
      <c r="I522" s="66">
        <f t="shared" si="69"/>
        <v>107849806.41851178</v>
      </c>
      <c r="J522" s="66">
        <f t="shared" si="70"/>
        <v>3.480638460322035E-71</v>
      </c>
    </row>
    <row r="523" spans="1:10" x14ac:dyDescent="0.25">
      <c r="A523" s="66">
        <f t="shared" si="68"/>
        <v>108.07171960044288</v>
      </c>
      <c r="B523" s="146">
        <f t="shared" si="67"/>
        <v>487</v>
      </c>
      <c r="C523" s="141">
        <f t="shared" si="63"/>
        <v>1.1928424572505147E-79</v>
      </c>
      <c r="D523" s="66">
        <f t="shared" si="64"/>
        <v>240159376.88987306</v>
      </c>
      <c r="E523" s="89">
        <f t="shared" si="65"/>
        <v>0.44999999999999996</v>
      </c>
      <c r="F523" s="147">
        <f t="shared" si="66"/>
        <v>1.2891253556748089E-71</v>
      </c>
      <c r="I523" s="66">
        <f t="shared" si="69"/>
        <v>108071719.60044287</v>
      </c>
      <c r="J523" s="66">
        <f t="shared" si="70"/>
        <v>1.2891253556748089E-71</v>
      </c>
    </row>
    <row r="524" spans="1:10" x14ac:dyDescent="0.25">
      <c r="A524" s="66">
        <f t="shared" si="68"/>
        <v>108.29363278237396</v>
      </c>
      <c r="B524" s="146">
        <f t="shared" si="67"/>
        <v>488</v>
      </c>
      <c r="C524" s="141">
        <f t="shared" si="63"/>
        <v>4.3998287357600219E-80</v>
      </c>
      <c r="D524" s="66">
        <f t="shared" si="64"/>
        <v>240652517.29416439</v>
      </c>
      <c r="E524" s="89">
        <f t="shared" si="65"/>
        <v>0.44999999999999996</v>
      </c>
      <c r="F524" s="147">
        <f t="shared" si="66"/>
        <v>4.7647343741573247E-72</v>
      </c>
      <c r="I524" s="66">
        <f t="shared" si="69"/>
        <v>108293632.78237396</v>
      </c>
      <c r="J524" s="66">
        <f t="shared" si="70"/>
        <v>4.7647343741573247E-72</v>
      </c>
    </row>
    <row r="525" spans="1:10" x14ac:dyDescent="0.25">
      <c r="A525" s="66">
        <f t="shared" si="68"/>
        <v>108.51554596430506</v>
      </c>
      <c r="B525" s="146">
        <f t="shared" si="67"/>
        <v>489</v>
      </c>
      <c r="C525" s="141">
        <f t="shared" si="63"/>
        <v>1.6195688597890402E-80</v>
      </c>
      <c r="D525" s="66">
        <f t="shared" si="64"/>
        <v>241145657.69845572</v>
      </c>
      <c r="E525" s="89">
        <f t="shared" si="65"/>
        <v>0.44999999999999996</v>
      </c>
      <c r="F525" s="147">
        <f t="shared" si="66"/>
        <v>1.7574839904679472E-72</v>
      </c>
      <c r="I525" s="66">
        <f t="shared" si="69"/>
        <v>108515545.96430506</v>
      </c>
      <c r="J525" s="66">
        <f t="shared" si="70"/>
        <v>1.7574839904679472E-72</v>
      </c>
    </row>
    <row r="526" spans="1:10" x14ac:dyDescent="0.25">
      <c r="A526" s="66">
        <f t="shared" si="68"/>
        <v>108.73745914623615</v>
      </c>
      <c r="B526" s="146">
        <f t="shared" si="67"/>
        <v>490</v>
      </c>
      <c r="C526" s="141">
        <f t="shared" si="63"/>
        <v>5.949436627796538E-81</v>
      </c>
      <c r="D526" s="66">
        <f t="shared" si="64"/>
        <v>241638798.10274702</v>
      </c>
      <c r="E526" s="89">
        <f t="shared" si="65"/>
        <v>0.44999999999999996</v>
      </c>
      <c r="F526" s="147">
        <f t="shared" si="66"/>
        <v>6.4692662225814701E-73</v>
      </c>
      <c r="I526" s="66">
        <f t="shared" si="69"/>
        <v>108737459.14623615</v>
      </c>
      <c r="J526" s="66">
        <f t="shared" si="70"/>
        <v>6.4692662225814701E-73</v>
      </c>
    </row>
    <row r="527" spans="1:10" x14ac:dyDescent="0.25">
      <c r="A527" s="66">
        <f t="shared" si="68"/>
        <v>108.95937232816725</v>
      </c>
      <c r="B527" s="146">
        <f t="shared" si="67"/>
        <v>491</v>
      </c>
      <c r="C527" s="141">
        <f t="shared" si="63"/>
        <v>2.1810561975628646E-81</v>
      </c>
      <c r="D527" s="66">
        <f t="shared" si="64"/>
        <v>242131938.50703835</v>
      </c>
      <c r="E527" s="89">
        <f t="shared" si="65"/>
        <v>0.44999999999999996</v>
      </c>
      <c r="F527" s="147">
        <f t="shared" si="66"/>
        <v>2.3764651429890887E-73</v>
      </c>
      <c r="I527" s="66">
        <f t="shared" si="69"/>
        <v>108959372.32816724</v>
      </c>
      <c r="J527" s="66">
        <f t="shared" si="70"/>
        <v>2.3764651429890887E-73</v>
      </c>
    </row>
    <row r="528" spans="1:10" x14ac:dyDescent="0.25">
      <c r="A528" s="66">
        <f t="shared" si="68"/>
        <v>109.18128551009835</v>
      </c>
      <c r="B528" s="146">
        <f t="shared" si="67"/>
        <v>492</v>
      </c>
      <c r="C528" s="141">
        <f t="shared" si="63"/>
        <v>7.9794738935229876E-82</v>
      </c>
      <c r="D528" s="66">
        <f t="shared" si="64"/>
        <v>242625078.91132969</v>
      </c>
      <c r="E528" s="89">
        <f t="shared" si="65"/>
        <v>0.44999999999999996</v>
      </c>
      <c r="F528" s="147">
        <f t="shared" si="66"/>
        <v>8.7120921738910948E-74</v>
      </c>
      <c r="I528" s="66">
        <f t="shared" si="69"/>
        <v>109181285.51009835</v>
      </c>
      <c r="J528" s="66">
        <f t="shared" si="70"/>
        <v>8.7120921738910948E-74</v>
      </c>
    </row>
    <row r="529" spans="1:10" x14ac:dyDescent="0.25">
      <c r="A529" s="66">
        <f t="shared" si="68"/>
        <v>109.40319869202943</v>
      </c>
      <c r="B529" s="146">
        <f t="shared" si="67"/>
        <v>493</v>
      </c>
      <c r="C529" s="141">
        <f t="shared" si="63"/>
        <v>2.9133981761340992E-82</v>
      </c>
      <c r="D529" s="66">
        <f t="shared" si="64"/>
        <v>243118219.31562099</v>
      </c>
      <c r="E529" s="89">
        <f t="shared" si="65"/>
        <v>0.44999999999999996</v>
      </c>
      <c r="F529" s="147">
        <f t="shared" si="66"/>
        <v>3.1873507953259502E-74</v>
      </c>
      <c r="I529" s="66">
        <f t="shared" si="69"/>
        <v>109403198.69202943</v>
      </c>
      <c r="J529" s="66">
        <f t="shared" si="70"/>
        <v>3.1873507953259502E-74</v>
      </c>
    </row>
    <row r="530" spans="1:10" x14ac:dyDescent="0.25">
      <c r="A530" s="66">
        <f t="shared" si="68"/>
        <v>109.62511187396053</v>
      </c>
      <c r="B530" s="146">
        <f t="shared" si="67"/>
        <v>494</v>
      </c>
      <c r="C530" s="141">
        <f t="shared" si="63"/>
        <v>1.0615620884698755E-82</v>
      </c>
      <c r="D530" s="66">
        <f t="shared" si="64"/>
        <v>243611359.71991232</v>
      </c>
      <c r="E530" s="89">
        <f t="shared" si="65"/>
        <v>0.44999999999999996</v>
      </c>
      <c r="F530" s="147">
        <f t="shared" si="66"/>
        <v>1.1637386270966529E-74</v>
      </c>
      <c r="I530" s="66">
        <f t="shared" si="69"/>
        <v>109625111.87396054</v>
      </c>
      <c r="J530" s="66">
        <f t="shared" si="70"/>
        <v>1.1637386270966529E-74</v>
      </c>
    </row>
    <row r="531" spans="1:10" x14ac:dyDescent="0.25">
      <c r="A531" s="66">
        <f t="shared" si="68"/>
        <v>109.84702505589162</v>
      </c>
      <c r="B531" s="146">
        <f t="shared" si="67"/>
        <v>495</v>
      </c>
      <c r="C531" s="141">
        <f t="shared" si="63"/>
        <v>3.8602257762542447E-83</v>
      </c>
      <c r="D531" s="66">
        <f t="shared" si="64"/>
        <v>244104500.12420362</v>
      </c>
      <c r="E531" s="89">
        <f t="shared" si="65"/>
        <v>0.44999999999999996</v>
      </c>
      <c r="F531" s="147">
        <f t="shared" si="66"/>
        <v>4.2403431756559871E-75</v>
      </c>
      <c r="I531" s="66">
        <f t="shared" si="69"/>
        <v>109847025.05589162</v>
      </c>
      <c r="J531" s="66">
        <f t="shared" si="70"/>
        <v>4.2403431756559871E-75</v>
      </c>
    </row>
    <row r="532" spans="1:10" x14ac:dyDescent="0.25">
      <c r="A532" s="66">
        <f t="shared" si="68"/>
        <v>110.06893823782271</v>
      </c>
      <c r="B532" s="146">
        <f t="shared" si="67"/>
        <v>496</v>
      </c>
      <c r="C532" s="141">
        <f t="shared" si="63"/>
        <v>1.4008883865439595E-83</v>
      </c>
      <c r="D532" s="66">
        <f t="shared" si="64"/>
        <v>244597640.52849495</v>
      </c>
      <c r="E532" s="89">
        <f t="shared" si="65"/>
        <v>0.44999999999999996</v>
      </c>
      <c r="F532" s="147">
        <f t="shared" si="66"/>
        <v>1.5419429729659019E-75</v>
      </c>
      <c r="I532" s="66">
        <f t="shared" si="69"/>
        <v>110068938.23782271</v>
      </c>
      <c r="J532" s="66">
        <f t="shared" si="70"/>
        <v>1.5419429729659019E-75</v>
      </c>
    </row>
    <row r="533" spans="1:10" x14ac:dyDescent="0.25">
      <c r="A533" s="66">
        <f t="shared" si="68"/>
        <v>110.29085141975382</v>
      </c>
      <c r="B533" s="146">
        <f t="shared" si="67"/>
        <v>497</v>
      </c>
      <c r="C533" s="141">
        <f t="shared" si="63"/>
        <v>5.0736400317486901E-84</v>
      </c>
      <c r="D533" s="66">
        <f t="shared" si="64"/>
        <v>245090780.93278629</v>
      </c>
      <c r="E533" s="89">
        <f t="shared" si="65"/>
        <v>0.44999999999999996</v>
      </c>
      <c r="F533" s="147">
        <f t="shared" si="66"/>
        <v>5.5957607889890985E-76</v>
      </c>
      <c r="I533" s="66">
        <f t="shared" si="69"/>
        <v>110290851.41975382</v>
      </c>
      <c r="J533" s="66">
        <f t="shared" si="70"/>
        <v>5.5957607889890985E-76</v>
      </c>
    </row>
    <row r="534" spans="1:10" x14ac:dyDescent="0.25">
      <c r="A534" s="66">
        <f t="shared" si="68"/>
        <v>110.51276460168489</v>
      </c>
      <c r="B534" s="146">
        <f t="shared" si="67"/>
        <v>498</v>
      </c>
      <c r="C534" s="141">
        <f t="shared" si="63"/>
        <v>1.8338457946078082E-84</v>
      </c>
      <c r="D534" s="66">
        <f t="shared" si="64"/>
        <v>245583921.33707759</v>
      </c>
      <c r="E534" s="89">
        <f t="shared" si="65"/>
        <v>0.44999999999999996</v>
      </c>
      <c r="F534" s="147">
        <f t="shared" si="66"/>
        <v>2.0266336861528249E-76</v>
      </c>
      <c r="I534" s="66">
        <f t="shared" si="69"/>
        <v>110512764.6016849</v>
      </c>
      <c r="J534" s="66">
        <f t="shared" si="70"/>
        <v>2.0266336861528249E-76</v>
      </c>
    </row>
    <row r="535" spans="1:10" x14ac:dyDescent="0.25">
      <c r="A535" s="66">
        <f t="shared" si="68"/>
        <v>110.73467778361601</v>
      </c>
      <c r="B535" s="146">
        <f t="shared" si="67"/>
        <v>499</v>
      </c>
      <c r="C535" s="141">
        <f t="shared" si="63"/>
        <v>6.6150750106089963E-85</v>
      </c>
      <c r="D535" s="66">
        <f t="shared" si="64"/>
        <v>246077061.74136892</v>
      </c>
      <c r="E535" s="89">
        <f t="shared" si="65"/>
        <v>0.44999999999999996</v>
      </c>
      <c r="F535" s="147">
        <f t="shared" si="66"/>
        <v>7.3251819981423743E-77</v>
      </c>
      <c r="I535" s="66">
        <f t="shared" si="69"/>
        <v>110734677.78361601</v>
      </c>
      <c r="J535" s="66">
        <f t="shared" si="70"/>
        <v>7.3251819981423743E-77</v>
      </c>
    </row>
    <row r="536" spans="1:10" x14ac:dyDescent="0.25">
      <c r="A536" s="66">
        <f t="shared" si="68"/>
        <v>110.95659096554709</v>
      </c>
      <c r="B536" s="146">
        <f t="shared" si="67"/>
        <v>500</v>
      </c>
      <c r="C536" s="141">
        <f t="shared" si="63"/>
        <v>2.3814270038196273E-85</v>
      </c>
      <c r="D536" s="66">
        <f t="shared" si="64"/>
        <v>246570202.14566025</v>
      </c>
      <c r="E536" s="89">
        <f t="shared" si="65"/>
        <v>0.44999999999999996</v>
      </c>
      <c r="F536" s="147">
        <f t="shared" si="66"/>
        <v>2.6423502197712276E-77</v>
      </c>
      <c r="I536" s="66">
        <f t="shared" si="69"/>
        <v>110956590.9655471</v>
      </c>
      <c r="J536" s="66">
        <f t="shared" si="70"/>
        <v>2.6423502197712276E-77</v>
      </c>
    </row>
    <row r="537" spans="1:10" x14ac:dyDescent="0.25">
      <c r="A537" s="66">
        <f t="shared" si="68"/>
        <v>111.17850414747819</v>
      </c>
      <c r="B537" s="146">
        <f t="shared" si="67"/>
        <v>501</v>
      </c>
      <c r="C537" s="141">
        <f t="shared" si="63"/>
        <v>8.5560251634232324E-86</v>
      </c>
      <c r="D537" s="66">
        <f t="shared" si="64"/>
        <v>247063342.54995155</v>
      </c>
      <c r="E537" s="89">
        <f t="shared" si="65"/>
        <v>0.44999999999999996</v>
      </c>
      <c r="F537" s="147">
        <f t="shared" si="66"/>
        <v>9.5124607911757764E-78</v>
      </c>
      <c r="I537" s="66">
        <f t="shared" si="69"/>
        <v>111178504.14747819</v>
      </c>
      <c r="J537" s="66">
        <f t="shared" si="70"/>
        <v>9.5124607911757764E-78</v>
      </c>
    </row>
    <row r="538" spans="1:10" x14ac:dyDescent="0.25">
      <c r="A538" s="66">
        <f t="shared" si="68"/>
        <v>111.40041732940928</v>
      </c>
      <c r="B538" s="146">
        <f t="shared" si="67"/>
        <v>502</v>
      </c>
      <c r="C538" s="141">
        <f t="shared" si="63"/>
        <v>3.0678974689565887E-86</v>
      </c>
      <c r="D538" s="66">
        <f t="shared" si="64"/>
        <v>247556482.95424289</v>
      </c>
      <c r="E538" s="89">
        <f t="shared" si="65"/>
        <v>0.44999999999999996</v>
      </c>
      <c r="F538" s="147">
        <f t="shared" si="66"/>
        <v>3.4176505836560244E-78</v>
      </c>
      <c r="I538" s="66">
        <f t="shared" si="69"/>
        <v>111400417.32940929</v>
      </c>
      <c r="J538" s="66">
        <f t="shared" si="70"/>
        <v>3.4176505836560244E-78</v>
      </c>
    </row>
    <row r="539" spans="1:10" x14ac:dyDescent="0.25">
      <c r="A539" s="66">
        <f t="shared" si="68"/>
        <v>111.62233051134038</v>
      </c>
      <c r="B539" s="146">
        <f t="shared" si="67"/>
        <v>503</v>
      </c>
      <c r="C539" s="141">
        <f t="shared" si="63"/>
        <v>1.0978559531056455E-86</v>
      </c>
      <c r="D539" s="66">
        <f t="shared" si="64"/>
        <v>248049623.35853419</v>
      </c>
      <c r="E539" s="89">
        <f t="shared" si="65"/>
        <v>0.44999999999999996</v>
      </c>
      <c r="F539" s="147">
        <f t="shared" si="66"/>
        <v>1.2254524005140098E-78</v>
      </c>
      <c r="I539" s="66">
        <f t="shared" si="69"/>
        <v>111622330.51134038</v>
      </c>
      <c r="J539" s="66">
        <f t="shared" si="70"/>
        <v>1.2254524005140098E-78</v>
      </c>
    </row>
    <row r="540" spans="1:10" x14ac:dyDescent="0.25">
      <c r="A540" s="66">
        <f t="shared" si="68"/>
        <v>111.84424369327148</v>
      </c>
      <c r="B540" s="146">
        <f t="shared" si="67"/>
        <v>504</v>
      </c>
      <c r="C540" s="141">
        <f t="shared" si="63"/>
        <v>3.9209141182346568E-87</v>
      </c>
      <c r="D540" s="66">
        <f t="shared" si="64"/>
        <v>248542763.76282552</v>
      </c>
      <c r="E540" s="89">
        <f t="shared" si="65"/>
        <v>0.44999999999999996</v>
      </c>
      <c r="F540" s="147">
        <f t="shared" si="66"/>
        <v>4.3853167414022561E-79</v>
      </c>
      <c r="I540" s="66">
        <f t="shared" si="69"/>
        <v>111844243.69327147</v>
      </c>
      <c r="J540" s="66">
        <f t="shared" si="70"/>
        <v>4.3853167414022561E-79</v>
      </c>
    </row>
    <row r="541" spans="1:10" x14ac:dyDescent="0.25">
      <c r="A541" s="66">
        <f t="shared" si="68"/>
        <v>112.06615687520257</v>
      </c>
      <c r="B541" s="146">
        <f t="shared" si="67"/>
        <v>505</v>
      </c>
      <c r="C541" s="141">
        <f t="shared" si="63"/>
        <v>1.397553547093694E-87</v>
      </c>
      <c r="D541" s="66">
        <f t="shared" si="64"/>
        <v>249035904.16711685</v>
      </c>
      <c r="E541" s="89">
        <f t="shared" si="65"/>
        <v>0.44999999999999996</v>
      </c>
      <c r="F541" s="147">
        <f t="shared" si="66"/>
        <v>1.5661845505009771E-79</v>
      </c>
      <c r="I541" s="66">
        <f t="shared" si="69"/>
        <v>112066156.87520257</v>
      </c>
      <c r="J541" s="66">
        <f t="shared" si="70"/>
        <v>1.5661845505009771E-79</v>
      </c>
    </row>
    <row r="542" spans="1:10" x14ac:dyDescent="0.25">
      <c r="A542" s="66">
        <f t="shared" si="68"/>
        <v>112.28807005713367</v>
      </c>
      <c r="B542" s="146">
        <f t="shared" si="67"/>
        <v>506</v>
      </c>
      <c r="C542" s="141">
        <f t="shared" si="63"/>
        <v>4.9715343572501488E-88</v>
      </c>
      <c r="D542" s="66">
        <f t="shared" si="64"/>
        <v>249529044.57140815</v>
      </c>
      <c r="E542" s="89">
        <f t="shared" si="65"/>
        <v>0.44999999999999996</v>
      </c>
      <c r="F542" s="147">
        <f t="shared" si="66"/>
        <v>5.5824399819835166E-80</v>
      </c>
      <c r="I542" s="66">
        <f t="shared" si="69"/>
        <v>112288070.05713366</v>
      </c>
      <c r="J542" s="66">
        <f t="shared" si="70"/>
        <v>5.5824399819835166E-80</v>
      </c>
    </row>
    <row r="543" spans="1:10" x14ac:dyDescent="0.25">
      <c r="A543" s="66">
        <f t="shared" si="68"/>
        <v>112.50998323906475</v>
      </c>
      <c r="B543" s="146">
        <f t="shared" si="67"/>
        <v>507</v>
      </c>
      <c r="C543" s="141">
        <f t="shared" si="63"/>
        <v>1.765041783638971E-88</v>
      </c>
      <c r="D543" s="66">
        <f t="shared" si="64"/>
        <v>250022184.97569948</v>
      </c>
      <c r="E543" s="89">
        <f t="shared" si="65"/>
        <v>0.44999999999999996</v>
      </c>
      <c r="F543" s="147">
        <f t="shared" si="66"/>
        <v>1.9858482149346958E-80</v>
      </c>
      <c r="I543" s="66">
        <f t="shared" si="69"/>
        <v>112509983.23906475</v>
      </c>
      <c r="J543" s="66">
        <f t="shared" si="70"/>
        <v>1.9858482149346958E-80</v>
      </c>
    </row>
    <row r="544" spans="1:10" x14ac:dyDescent="0.25">
      <c r="A544" s="66">
        <f t="shared" si="68"/>
        <v>112.73189642099587</v>
      </c>
      <c r="B544" s="146">
        <f t="shared" si="67"/>
        <v>508</v>
      </c>
      <c r="C544" s="141">
        <f t="shared" si="63"/>
        <v>6.2540850601382338E-89</v>
      </c>
      <c r="D544" s="66">
        <f t="shared" si="64"/>
        <v>250515325.37999082</v>
      </c>
      <c r="E544" s="89">
        <f t="shared" si="65"/>
        <v>0.44999999999999996</v>
      </c>
      <c r="F544" s="147">
        <f t="shared" si="66"/>
        <v>7.0503486920760101E-81</v>
      </c>
      <c r="I544" s="66">
        <f t="shared" si="69"/>
        <v>112731896.42099586</v>
      </c>
      <c r="J544" s="66">
        <f t="shared" si="70"/>
        <v>7.0503486920760101E-81</v>
      </c>
    </row>
    <row r="545" spans="1:10" x14ac:dyDescent="0.25">
      <c r="A545" s="66">
        <f t="shared" si="68"/>
        <v>112.95380960292694</v>
      </c>
      <c r="B545" s="146">
        <f t="shared" si="67"/>
        <v>509</v>
      </c>
      <c r="C545" s="141">
        <f t="shared" si="63"/>
        <v>2.2116607285359771E-89</v>
      </c>
      <c r="D545" s="66">
        <f t="shared" si="64"/>
        <v>251008465.78428212</v>
      </c>
      <c r="E545" s="89">
        <f t="shared" si="65"/>
        <v>0.44999999999999996</v>
      </c>
      <c r="F545" s="147">
        <f t="shared" si="66"/>
        <v>2.4981550483732345E-81</v>
      </c>
      <c r="I545" s="66">
        <f t="shared" si="69"/>
        <v>112953809.60292694</v>
      </c>
      <c r="J545" s="66">
        <f t="shared" si="70"/>
        <v>2.4981550483732345E-81</v>
      </c>
    </row>
    <row r="546" spans="1:10" x14ac:dyDescent="0.25">
      <c r="A546" s="66">
        <f t="shared" si="68"/>
        <v>113.17572278485805</v>
      </c>
      <c r="B546" s="146">
        <f t="shared" si="67"/>
        <v>510</v>
      </c>
      <c r="C546" s="141">
        <f t="shared" si="63"/>
        <v>7.8058613948326413E-90</v>
      </c>
      <c r="D546" s="66">
        <f t="shared" si="64"/>
        <v>251501606.18857345</v>
      </c>
      <c r="E546" s="89">
        <f t="shared" si="65"/>
        <v>0.44999999999999996</v>
      </c>
      <c r="F546" s="147">
        <f t="shared" si="66"/>
        <v>8.8343400531860436E-82</v>
      </c>
      <c r="I546" s="66">
        <f t="shared" si="69"/>
        <v>113175722.78485805</v>
      </c>
      <c r="J546" s="66">
        <f t="shared" si="70"/>
        <v>8.8343400531860436E-82</v>
      </c>
    </row>
    <row r="547" spans="1:10" x14ac:dyDescent="0.25">
      <c r="A547" s="66">
        <f t="shared" si="68"/>
        <v>113.39763596678912</v>
      </c>
      <c r="B547" s="146">
        <f t="shared" si="67"/>
        <v>511</v>
      </c>
      <c r="C547" s="141">
        <f t="shared" si="63"/>
        <v>2.7496184952441918E-90</v>
      </c>
      <c r="D547" s="66">
        <f t="shared" si="64"/>
        <v>251994746.59286475</v>
      </c>
      <c r="E547" s="89">
        <f t="shared" si="65"/>
        <v>0.44999999999999996</v>
      </c>
      <c r="F547" s="147">
        <f t="shared" si="66"/>
        <v>3.1180023717125138E-82</v>
      </c>
      <c r="I547" s="66">
        <f t="shared" si="69"/>
        <v>113397635.96678913</v>
      </c>
      <c r="J547" s="66">
        <f t="shared" si="70"/>
        <v>3.1180023717125138E-82</v>
      </c>
    </row>
    <row r="548" spans="1:10" x14ac:dyDescent="0.25">
      <c r="A548" s="66">
        <f t="shared" si="68"/>
        <v>113.61954914872022</v>
      </c>
      <c r="B548" s="146">
        <f t="shared" si="67"/>
        <v>512</v>
      </c>
      <c r="C548" s="141">
        <f t="shared" ref="C548:C578" si="71">POISSON(B548,$C$33,0)</f>
        <v>9.6666275223437436E-91</v>
      </c>
      <c r="D548" s="66">
        <f t="shared" ref="D548:D578" si="72">+B548*$C$32</f>
        <v>252487886.99715608</v>
      </c>
      <c r="E548" s="89">
        <f t="shared" ref="E548:E578" si="73">1-$E$34</f>
        <v>0.44999999999999996</v>
      </c>
      <c r="F548" s="147">
        <f t="shared" ref="F548:F578" si="74">+D548*E548*C548</f>
        <v>1.0983178608773065E-82</v>
      </c>
      <c r="I548" s="66">
        <f t="shared" si="69"/>
        <v>113619549.14872022</v>
      </c>
      <c r="J548" s="66">
        <f t="shared" si="70"/>
        <v>1.0983178608773065E-82</v>
      </c>
    </row>
    <row r="549" spans="1:10" x14ac:dyDescent="0.25">
      <c r="A549" s="66">
        <f t="shared" si="68"/>
        <v>113.84146233065132</v>
      </c>
      <c r="B549" s="146">
        <f t="shared" ref="B549:B578" si="75">+B548+1</f>
        <v>513</v>
      </c>
      <c r="C549" s="141">
        <f t="shared" si="71"/>
        <v>3.3917991306470949E-91</v>
      </c>
      <c r="D549" s="66">
        <f t="shared" si="72"/>
        <v>252981027.40144742</v>
      </c>
      <c r="E549" s="89">
        <f t="shared" si="73"/>
        <v>0.44999999999999996</v>
      </c>
      <c r="F549" s="147">
        <f t="shared" si="74"/>
        <v>3.8612737296469717E-83</v>
      </c>
      <c r="I549" s="66">
        <f t="shared" si="69"/>
        <v>113841462.33065133</v>
      </c>
      <c r="J549" s="66">
        <f t="shared" si="70"/>
        <v>3.8612737296469717E-83</v>
      </c>
    </row>
    <row r="550" spans="1:10" x14ac:dyDescent="0.25">
      <c r="A550" s="66">
        <f t="shared" ref="A550:A578" si="76">D550*E550/1000000</f>
        <v>114.06337551258241</v>
      </c>
      <c r="B550" s="146">
        <f t="shared" si="75"/>
        <v>514</v>
      </c>
      <c r="C550" s="141">
        <f t="shared" si="71"/>
        <v>1.1877895788257385E-91</v>
      </c>
      <c r="D550" s="66">
        <f t="shared" si="72"/>
        <v>253474167.80573872</v>
      </c>
      <c r="E550" s="89">
        <f t="shared" si="73"/>
        <v>0.44999999999999996</v>
      </c>
      <c r="F550" s="147">
        <f t="shared" si="74"/>
        <v>1.3548328875953232E-83</v>
      </c>
      <c r="I550" s="66">
        <f t="shared" si="69"/>
        <v>114063375.51258241</v>
      </c>
      <c r="J550" s="66">
        <f t="shared" si="70"/>
        <v>1.3548328875953232E-83</v>
      </c>
    </row>
    <row r="551" spans="1:10" x14ac:dyDescent="0.25">
      <c r="A551" s="66">
        <f t="shared" si="76"/>
        <v>114.28528869451351</v>
      </c>
      <c r="B551" s="146">
        <f t="shared" si="75"/>
        <v>515</v>
      </c>
      <c r="C551" s="141">
        <f t="shared" si="71"/>
        <v>4.1514975570609145E-92</v>
      </c>
      <c r="D551" s="66">
        <f t="shared" si="72"/>
        <v>253967308.21003005</v>
      </c>
      <c r="E551" s="89">
        <f t="shared" si="73"/>
        <v>0.44999999999999996</v>
      </c>
      <c r="F551" s="147">
        <f t="shared" si="74"/>
        <v>4.744550968232742E-84</v>
      </c>
      <c r="I551" s="66">
        <f t="shared" si="69"/>
        <v>114285288.69451351</v>
      </c>
      <c r="J551" s="66">
        <f t="shared" si="70"/>
        <v>4.744550968232742E-84</v>
      </c>
    </row>
    <row r="552" spans="1:10" x14ac:dyDescent="0.25">
      <c r="A552" s="66">
        <f t="shared" si="76"/>
        <v>114.5072018764446</v>
      </c>
      <c r="B552" s="146">
        <f t="shared" si="75"/>
        <v>516</v>
      </c>
      <c r="C552" s="141">
        <f t="shared" si="71"/>
        <v>1.4481968222306157E-92</v>
      </c>
      <c r="D552" s="66">
        <f t="shared" si="72"/>
        <v>254460448.61432135</v>
      </c>
      <c r="E552" s="89">
        <f t="shared" si="73"/>
        <v>0.44999999999999996</v>
      </c>
      <c r="F552" s="147">
        <f t="shared" si="74"/>
        <v>1.6582896587998665E-84</v>
      </c>
      <c r="I552" s="66">
        <f t="shared" si="69"/>
        <v>114507201.87644459</v>
      </c>
      <c r="J552" s="66">
        <f t="shared" si="70"/>
        <v>1.6582896587998665E-84</v>
      </c>
    </row>
    <row r="553" spans="1:10" x14ac:dyDescent="0.25">
      <c r="A553" s="66">
        <f t="shared" si="76"/>
        <v>114.7291150583757</v>
      </c>
      <c r="B553" s="146">
        <f t="shared" si="75"/>
        <v>517</v>
      </c>
      <c r="C553" s="141">
        <f t="shared" si="71"/>
        <v>5.0420779110546102E-93</v>
      </c>
      <c r="D553" s="66">
        <f t="shared" si="72"/>
        <v>254953589.01861268</v>
      </c>
      <c r="E553" s="89">
        <f t="shared" si="73"/>
        <v>0.44999999999999996</v>
      </c>
      <c r="F553" s="147">
        <f t="shared" si="74"/>
        <v>5.7847313679067898E-85</v>
      </c>
      <c r="I553" s="66">
        <f t="shared" si="69"/>
        <v>114729115.0583757</v>
      </c>
      <c r="J553" s="66">
        <f t="shared" si="70"/>
        <v>5.7847313679067898E-85</v>
      </c>
    </row>
    <row r="554" spans="1:10" x14ac:dyDescent="0.25">
      <c r="A554" s="66">
        <f t="shared" si="76"/>
        <v>114.9510282403068</v>
      </c>
      <c r="B554" s="146">
        <f t="shared" si="75"/>
        <v>518</v>
      </c>
      <c r="C554" s="141">
        <f t="shared" si="71"/>
        <v>1.7520734053855413E-93</v>
      </c>
      <c r="D554" s="66">
        <f t="shared" si="72"/>
        <v>255446729.42290401</v>
      </c>
      <c r="E554" s="89">
        <f t="shared" si="73"/>
        <v>0.44999999999999996</v>
      </c>
      <c r="F554" s="147">
        <f t="shared" si="74"/>
        <v>2.0140263950156385E-85</v>
      </c>
      <c r="I554" s="66">
        <f t="shared" si="69"/>
        <v>114951028.24030679</v>
      </c>
      <c r="J554" s="66">
        <f t="shared" si="70"/>
        <v>2.0140263950156385E-85</v>
      </c>
    </row>
    <row r="555" spans="1:10" x14ac:dyDescent="0.25">
      <c r="A555" s="66">
        <f t="shared" si="76"/>
        <v>115.17294142223788</v>
      </c>
      <c r="B555" s="146">
        <f t="shared" si="75"/>
        <v>519</v>
      </c>
      <c r="C555" s="141">
        <f t="shared" si="71"/>
        <v>6.0765551631872774E-94</v>
      </c>
      <c r="D555" s="66">
        <f t="shared" si="72"/>
        <v>255939869.82719532</v>
      </c>
      <c r="E555" s="89">
        <f t="shared" si="73"/>
        <v>0.44999999999999996</v>
      </c>
      <c r="F555" s="147">
        <f t="shared" si="74"/>
        <v>6.998547318587655E-86</v>
      </c>
      <c r="I555" s="66">
        <f t="shared" si="69"/>
        <v>115172941.42223789</v>
      </c>
      <c r="J555" s="66">
        <f t="shared" si="70"/>
        <v>6.998547318587655E-86</v>
      </c>
    </row>
    <row r="556" spans="1:10" x14ac:dyDescent="0.25">
      <c r="A556" s="66">
        <f t="shared" si="76"/>
        <v>115.39485460416898</v>
      </c>
      <c r="B556" s="146">
        <f t="shared" si="75"/>
        <v>520</v>
      </c>
      <c r="C556" s="141">
        <f t="shared" si="71"/>
        <v>2.103422941103435E-94</v>
      </c>
      <c r="D556" s="66">
        <f t="shared" si="72"/>
        <v>256433010.23148665</v>
      </c>
      <c r="E556" s="89">
        <f t="shared" si="73"/>
        <v>0.44999999999999996</v>
      </c>
      <c r="F556" s="147">
        <f t="shared" si="74"/>
        <v>2.4272418445970439E-86</v>
      </c>
      <c r="I556" s="66">
        <f t="shared" si="69"/>
        <v>115394854.60416898</v>
      </c>
      <c r="J556" s="66">
        <f t="shared" si="70"/>
        <v>2.4272418445970439E-86</v>
      </c>
    </row>
    <row r="557" spans="1:10" x14ac:dyDescent="0.25">
      <c r="A557" s="66">
        <f t="shared" si="76"/>
        <v>115.61676778610007</v>
      </c>
      <c r="B557" s="146">
        <f t="shared" si="75"/>
        <v>521</v>
      </c>
      <c r="C557" s="141">
        <f t="shared" si="71"/>
        <v>7.2671042111058534E-95</v>
      </c>
      <c r="D557" s="66">
        <f t="shared" si="72"/>
        <v>256926150.63577798</v>
      </c>
      <c r="E557" s="89">
        <f t="shared" si="73"/>
        <v>0.44999999999999996</v>
      </c>
      <c r="F557" s="147">
        <f t="shared" si="74"/>
        <v>8.4019910005281551E-87</v>
      </c>
      <c r="I557" s="66">
        <f t="shared" si="69"/>
        <v>115616767.78610007</v>
      </c>
      <c r="J557" s="66">
        <f t="shared" si="70"/>
        <v>8.4019910005281551E-87</v>
      </c>
    </row>
    <row r="558" spans="1:10" x14ac:dyDescent="0.25">
      <c r="A558" s="66">
        <f t="shared" si="76"/>
        <v>115.83868096803117</v>
      </c>
      <c r="B558" s="146">
        <f t="shared" si="75"/>
        <v>522</v>
      </c>
      <c r="C558" s="141">
        <f t="shared" si="71"/>
        <v>2.5058980038296931E-95</v>
      </c>
      <c r="D558" s="66">
        <f t="shared" si="72"/>
        <v>257419291.04006928</v>
      </c>
      <c r="E558" s="89">
        <f t="shared" si="73"/>
        <v>0.44999999999999996</v>
      </c>
      <c r="F558" s="147">
        <f t="shared" si="74"/>
        <v>2.9027991940405395E-87</v>
      </c>
      <c r="I558" s="66">
        <f t="shared" si="69"/>
        <v>115838680.96803117</v>
      </c>
      <c r="J558" s="66">
        <f t="shared" si="70"/>
        <v>2.9027991940405395E-87</v>
      </c>
    </row>
    <row r="559" spans="1:10" x14ac:dyDescent="0.25">
      <c r="A559" s="66">
        <f t="shared" si="76"/>
        <v>116.06059414996226</v>
      </c>
      <c r="B559" s="146">
        <f t="shared" si="75"/>
        <v>523</v>
      </c>
      <c r="C559" s="141">
        <f t="shared" si="71"/>
        <v>8.6245055581131428E-96</v>
      </c>
      <c r="D559" s="66">
        <f t="shared" si="72"/>
        <v>257912431.44436061</v>
      </c>
      <c r="E559" s="89">
        <f t="shared" si="73"/>
        <v>0.44999999999999996</v>
      </c>
      <c r="F559" s="147">
        <f t="shared" si="74"/>
        <v>1.0009652393242632E-87</v>
      </c>
      <c r="I559" s="66">
        <f t="shared" si="69"/>
        <v>116060594.14996226</v>
      </c>
      <c r="J559" s="66">
        <f t="shared" si="70"/>
        <v>1.0009652393242632E-87</v>
      </c>
    </row>
    <row r="560" spans="1:10" x14ac:dyDescent="0.25">
      <c r="A560" s="66">
        <f t="shared" si="76"/>
        <v>116.28250733189336</v>
      </c>
      <c r="B560" s="146">
        <f t="shared" si="75"/>
        <v>524</v>
      </c>
      <c r="C560" s="141">
        <f t="shared" si="71"/>
        <v>2.9626164130921364E-96</v>
      </c>
      <c r="D560" s="66">
        <f t="shared" si="72"/>
        <v>258405571.84865192</v>
      </c>
      <c r="E560" s="89">
        <f t="shared" si="73"/>
        <v>0.44999999999999996</v>
      </c>
      <c r="F560" s="147">
        <f t="shared" si="74"/>
        <v>3.4450046477697395E-88</v>
      </c>
      <c r="I560" s="66">
        <f t="shared" si="69"/>
        <v>116282507.33189335</v>
      </c>
      <c r="J560" s="66">
        <f t="shared" si="70"/>
        <v>3.4450046477697395E-88</v>
      </c>
    </row>
    <row r="561" spans="1:10" x14ac:dyDescent="0.25">
      <c r="A561" s="66">
        <f t="shared" si="76"/>
        <v>116.50442051382444</v>
      </c>
      <c r="B561" s="146">
        <f t="shared" si="75"/>
        <v>525</v>
      </c>
      <c r="C561" s="141">
        <f t="shared" si="71"/>
        <v>1.0157541987744416E-96</v>
      </c>
      <c r="D561" s="66">
        <f t="shared" si="72"/>
        <v>258898712.25294325</v>
      </c>
      <c r="E561" s="89">
        <f t="shared" si="73"/>
        <v>0.44999999999999996</v>
      </c>
      <c r="F561" s="147">
        <f t="shared" si="74"/>
        <v>1.1833985431270037E-88</v>
      </c>
      <c r="I561" s="66">
        <f t="shared" si="69"/>
        <v>116504420.51382445</v>
      </c>
      <c r="J561" s="66">
        <f t="shared" si="70"/>
        <v>1.1833985431270037E-88</v>
      </c>
    </row>
    <row r="562" spans="1:10" x14ac:dyDescent="0.25">
      <c r="A562" s="66">
        <f t="shared" si="76"/>
        <v>116.72633369575556</v>
      </c>
      <c r="B562" s="146">
        <f t="shared" si="75"/>
        <v>526</v>
      </c>
      <c r="C562" s="141">
        <f t="shared" si="71"/>
        <v>3.475964938772083E-97</v>
      </c>
      <c r="D562" s="66">
        <f t="shared" si="72"/>
        <v>259391852.65723458</v>
      </c>
      <c r="E562" s="89">
        <f t="shared" si="73"/>
        <v>0.44999999999999996</v>
      </c>
      <c r="F562" s="147">
        <f t="shared" si="74"/>
        <v>4.0573664335785671E-89</v>
      </c>
      <c r="I562" s="66">
        <f t="shared" si="69"/>
        <v>116726333.69575556</v>
      </c>
      <c r="J562" s="66">
        <f t="shared" si="70"/>
        <v>4.0573664335785671E-89</v>
      </c>
    </row>
    <row r="563" spans="1:10" x14ac:dyDescent="0.25">
      <c r="A563" s="66">
        <f t="shared" si="76"/>
        <v>116.94824687768663</v>
      </c>
      <c r="B563" s="146">
        <f t="shared" si="75"/>
        <v>527</v>
      </c>
      <c r="C563" s="141">
        <f t="shared" si="71"/>
        <v>1.1872366014782388E-97</v>
      </c>
      <c r="D563" s="66">
        <f t="shared" si="72"/>
        <v>259884993.06152588</v>
      </c>
      <c r="E563" s="89">
        <f t="shared" si="73"/>
        <v>0.44999999999999996</v>
      </c>
      <c r="F563" s="147">
        <f t="shared" si="74"/>
        <v>1.3884523917190272E-89</v>
      </c>
      <c r="I563" s="66">
        <f t="shared" si="69"/>
        <v>116948246.87768663</v>
      </c>
      <c r="J563" s="66">
        <f t="shared" si="70"/>
        <v>1.3884523917190272E-89</v>
      </c>
    </row>
    <row r="564" spans="1:10" x14ac:dyDescent="0.25">
      <c r="A564" s="66">
        <f t="shared" si="76"/>
        <v>117.17016005961773</v>
      </c>
      <c r="B564" s="146">
        <f t="shared" si="75"/>
        <v>528</v>
      </c>
      <c r="C564" s="141">
        <f t="shared" si="71"/>
        <v>4.0473975050394183E-98</v>
      </c>
      <c r="D564" s="66">
        <f t="shared" si="72"/>
        <v>260378133.46581721</v>
      </c>
      <c r="E564" s="89">
        <f t="shared" si="73"/>
        <v>0.44999999999999996</v>
      </c>
      <c r="F564" s="147">
        <f t="shared" si="74"/>
        <v>4.7423421349036612E-90</v>
      </c>
      <c r="I564" s="66">
        <f t="shared" si="69"/>
        <v>117170160.05961773</v>
      </c>
      <c r="J564" s="66">
        <f t="shared" si="70"/>
        <v>4.7423421349036612E-90</v>
      </c>
    </row>
    <row r="565" spans="1:10" x14ac:dyDescent="0.25">
      <c r="A565" s="66">
        <f t="shared" si="76"/>
        <v>117.39207324154884</v>
      </c>
      <c r="B565" s="146">
        <f t="shared" si="75"/>
        <v>529</v>
      </c>
      <c r="C565" s="141">
        <f t="shared" si="71"/>
        <v>1.3771862966104459E-98</v>
      </c>
      <c r="D565" s="66">
        <f t="shared" si="72"/>
        <v>260871273.87010854</v>
      </c>
      <c r="E565" s="89">
        <f t="shared" si="73"/>
        <v>0.44999999999999996</v>
      </c>
      <c r="F565" s="147">
        <f t="shared" si="74"/>
        <v>1.6167075459895087E-90</v>
      </c>
      <c r="I565" s="66">
        <f t="shared" si="69"/>
        <v>117392073.24154884</v>
      </c>
      <c r="J565" s="66">
        <f t="shared" si="70"/>
        <v>1.6167075459895087E-90</v>
      </c>
    </row>
    <row r="566" spans="1:10" x14ac:dyDescent="0.25">
      <c r="A566" s="66">
        <f t="shared" si="76"/>
        <v>117.61398642347991</v>
      </c>
      <c r="B566" s="146">
        <f t="shared" si="75"/>
        <v>530</v>
      </c>
      <c r="C566" s="141">
        <f t="shared" si="71"/>
        <v>4.6772364790544531E-99</v>
      </c>
      <c r="D566" s="66">
        <f t="shared" si="72"/>
        <v>261364414.27439985</v>
      </c>
      <c r="E566" s="89">
        <f t="shared" si="73"/>
        <v>0.44999999999999996</v>
      </c>
      <c r="F566" s="147">
        <f t="shared" si="74"/>
        <v>5.5010842774691541E-91</v>
      </c>
      <c r="I566" s="66">
        <f t="shared" si="69"/>
        <v>117613986.42347991</v>
      </c>
      <c r="J566" s="66">
        <f t="shared" si="70"/>
        <v>5.5010842774691541E-91</v>
      </c>
    </row>
    <row r="567" spans="1:10" x14ac:dyDescent="0.25">
      <c r="A567" s="66">
        <f t="shared" si="76"/>
        <v>117.83589960541103</v>
      </c>
      <c r="B567" s="146">
        <f t="shared" si="75"/>
        <v>531</v>
      </c>
      <c r="C567" s="141">
        <f t="shared" si="71"/>
        <v>1.5855038912051263E-99</v>
      </c>
      <c r="D567" s="66">
        <f t="shared" si="72"/>
        <v>261857554.67869118</v>
      </c>
      <c r="E567" s="89">
        <f t="shared" si="73"/>
        <v>0.44999999999999996</v>
      </c>
      <c r="F567" s="147">
        <f t="shared" si="74"/>
        <v>1.8682927734803579E-91</v>
      </c>
      <c r="I567" s="66">
        <f t="shared" si="69"/>
        <v>117835899.60541102</v>
      </c>
      <c r="J567" s="66">
        <f t="shared" si="70"/>
        <v>1.8682927734803579E-91</v>
      </c>
    </row>
    <row r="568" spans="1:10" x14ac:dyDescent="0.25">
      <c r="A568" s="66">
        <f t="shared" si="76"/>
        <v>118.0578127873421</v>
      </c>
      <c r="B568" s="146">
        <f t="shared" si="75"/>
        <v>532</v>
      </c>
      <c r="C568" s="141">
        <f t="shared" si="71"/>
        <v>5.3644868499417222E-100</v>
      </c>
      <c r="D568" s="66">
        <f t="shared" si="72"/>
        <v>262350695.08298248</v>
      </c>
      <c r="E568" s="89">
        <f t="shared" si="73"/>
        <v>0.44999999999999996</v>
      </c>
      <c r="F568" s="147">
        <f t="shared" si="74"/>
        <v>6.3331958423057839E-92</v>
      </c>
      <c r="I568" s="66">
        <f t="shared" si="69"/>
        <v>118057812.7873421</v>
      </c>
      <c r="J568" s="66">
        <f t="shared" si="70"/>
        <v>6.3331958423057839E-92</v>
      </c>
    </row>
    <row r="569" spans="1:10" x14ac:dyDescent="0.25">
      <c r="A569" s="66">
        <f t="shared" si="76"/>
        <v>118.27972596927322</v>
      </c>
      <c r="B569" s="146">
        <f t="shared" si="75"/>
        <v>533</v>
      </c>
      <c r="C569" s="141">
        <f t="shared" si="71"/>
        <v>1.8116465909747126E-100</v>
      </c>
      <c r="D569" s="66">
        <f t="shared" si="72"/>
        <v>262843835.48727381</v>
      </c>
      <c r="E569" s="89">
        <f t="shared" si="73"/>
        <v>0.44999999999999996</v>
      </c>
      <c r="F569" s="147">
        <f t="shared" si="74"/>
        <v>2.1428106233365698E-92</v>
      </c>
      <c r="I569" s="66">
        <f t="shared" si="69"/>
        <v>118279725.96927321</v>
      </c>
      <c r="J569" s="66">
        <f t="shared" si="70"/>
        <v>2.1428106233365698E-92</v>
      </c>
    </row>
    <row r="570" spans="1:10" x14ac:dyDescent="0.25">
      <c r="A570" s="66">
        <f t="shared" si="76"/>
        <v>118.5016391512043</v>
      </c>
      <c r="B570" s="146">
        <f t="shared" si="75"/>
        <v>534</v>
      </c>
      <c r="C570" s="141">
        <f t="shared" si="71"/>
        <v>6.1066739021622404E-101</v>
      </c>
      <c r="D570" s="66">
        <f t="shared" si="72"/>
        <v>263336975.89156514</v>
      </c>
      <c r="E570" s="89">
        <f t="shared" si="73"/>
        <v>0.44999999999999996</v>
      </c>
      <c r="F570" s="147">
        <f t="shared" si="74"/>
        <v>7.2365086716810652E-93</v>
      </c>
      <c r="I570" s="66">
        <f t="shared" si="69"/>
        <v>118501639.1512043</v>
      </c>
      <c r="J570" s="66">
        <f t="shared" si="70"/>
        <v>7.2365086716810652E-93</v>
      </c>
    </row>
    <row r="571" spans="1:10" x14ac:dyDescent="0.25">
      <c r="A571" s="66">
        <f t="shared" si="76"/>
        <v>118.7235523331354</v>
      </c>
      <c r="B571" s="146">
        <f t="shared" si="75"/>
        <v>535</v>
      </c>
      <c r="C571" s="141">
        <f t="shared" si="71"/>
        <v>2.054581873624565E-101</v>
      </c>
      <c r="D571" s="66">
        <f t="shared" si="72"/>
        <v>263830116.29585645</v>
      </c>
      <c r="E571" s="89">
        <f t="shared" si="73"/>
        <v>0.44999999999999996</v>
      </c>
      <c r="F571" s="147">
        <f t="shared" si="74"/>
        <v>2.4392725859597741E-93</v>
      </c>
      <c r="I571" s="66">
        <f t="shared" si="69"/>
        <v>118723552.3331354</v>
      </c>
      <c r="J571" s="66">
        <f t="shared" si="70"/>
        <v>2.4392725859597741E-93</v>
      </c>
    </row>
    <row r="572" spans="1:10" x14ac:dyDescent="0.25">
      <c r="A572" s="66">
        <f t="shared" si="76"/>
        <v>118.94546551506649</v>
      </c>
      <c r="B572" s="146">
        <f t="shared" si="75"/>
        <v>536</v>
      </c>
      <c r="C572" s="141">
        <f t="shared" si="71"/>
        <v>6.8997152472462431E-102</v>
      </c>
      <c r="D572" s="66">
        <f t="shared" si="72"/>
        <v>264323256.70014778</v>
      </c>
      <c r="E572" s="89">
        <f t="shared" si="73"/>
        <v>0.44999999999999996</v>
      </c>
      <c r="F572" s="147">
        <f t="shared" si="74"/>
        <v>8.2068984200510642E-94</v>
      </c>
      <c r="I572" s="66">
        <f t="shared" si="69"/>
        <v>118945465.51506649</v>
      </c>
      <c r="J572" s="66">
        <f t="shared" si="70"/>
        <v>8.2068984200510642E-94</v>
      </c>
    </row>
    <row r="573" spans="1:10" x14ac:dyDescent="0.25">
      <c r="A573" s="66">
        <f t="shared" si="76"/>
        <v>119.16737869699759</v>
      </c>
      <c r="B573" s="146">
        <f t="shared" si="75"/>
        <v>537</v>
      </c>
      <c r="C573" s="141">
        <f t="shared" si="71"/>
        <v>2.312753714160988E-102</v>
      </c>
      <c r="D573" s="66">
        <f t="shared" si="72"/>
        <v>264816397.10443911</v>
      </c>
      <c r="E573" s="89">
        <f t="shared" si="73"/>
        <v>0.44999999999999996</v>
      </c>
      <c r="F573" s="147">
        <f t="shared" si="74"/>
        <v>2.7560479768831017E-94</v>
      </c>
      <c r="I573" s="66">
        <f t="shared" si="69"/>
        <v>119167378.69699758</v>
      </c>
      <c r="J573" s="66">
        <f t="shared" si="70"/>
        <v>2.7560479768831017E-94</v>
      </c>
    </row>
    <row r="574" spans="1:10" x14ac:dyDescent="0.25">
      <c r="A574" s="66">
        <f t="shared" si="76"/>
        <v>119.38929187892867</v>
      </c>
      <c r="B574" s="146">
        <f t="shared" si="75"/>
        <v>538</v>
      </c>
      <c r="C574" s="141">
        <f t="shared" si="71"/>
        <v>7.7378377053712941E-103</v>
      </c>
      <c r="D574" s="66">
        <f t="shared" si="72"/>
        <v>265309537.50873041</v>
      </c>
      <c r="E574" s="89">
        <f t="shared" si="73"/>
        <v>0.44999999999999996</v>
      </c>
      <c r="F574" s="147">
        <f t="shared" si="74"/>
        <v>9.2381496431835309E-95</v>
      </c>
      <c r="I574" s="66">
        <f t="shared" si="69"/>
        <v>119389291.87892868</v>
      </c>
      <c r="J574" s="66">
        <f t="shared" si="70"/>
        <v>9.2381496431835309E-95</v>
      </c>
    </row>
    <row r="575" spans="1:10" x14ac:dyDescent="0.25">
      <c r="A575" s="66">
        <f t="shared" si="76"/>
        <v>119.61120506085977</v>
      </c>
      <c r="B575" s="146">
        <f t="shared" si="75"/>
        <v>539</v>
      </c>
      <c r="C575" s="141">
        <f t="shared" si="71"/>
        <v>2.5840645398271967E-103</v>
      </c>
      <c r="D575" s="66">
        <f t="shared" si="72"/>
        <v>265802677.91302174</v>
      </c>
      <c r="E575" s="89">
        <f t="shared" si="73"/>
        <v>0.44999999999999996</v>
      </c>
      <c r="F575" s="147">
        <f t="shared" si="74"/>
        <v>3.0908307356376707E-95</v>
      </c>
      <c r="I575" s="66">
        <f t="shared" si="69"/>
        <v>119611205.06085977</v>
      </c>
      <c r="J575" s="66">
        <f t="shared" si="70"/>
        <v>3.0908307356376707E-95</v>
      </c>
    </row>
    <row r="576" spans="1:10" x14ac:dyDescent="0.25">
      <c r="A576" s="66">
        <f t="shared" si="76"/>
        <v>119.83311824279086</v>
      </c>
      <c r="B576" s="146">
        <f t="shared" si="75"/>
        <v>540</v>
      </c>
      <c r="C576" s="141">
        <f t="shared" si="71"/>
        <v>8.6135484660897019E-104</v>
      </c>
      <c r="D576" s="66">
        <f t="shared" si="72"/>
        <v>266295818.31731305</v>
      </c>
      <c r="E576" s="89">
        <f t="shared" si="73"/>
        <v>0.44999999999999996</v>
      </c>
      <c r="F576" s="147">
        <f t="shared" si="74"/>
        <v>1.0321883718269372E-95</v>
      </c>
      <c r="I576" s="66">
        <f>D576*E576</f>
        <v>119833118.24279086</v>
      </c>
      <c r="J576" s="66">
        <f>I576*C576</f>
        <v>1.0321883718269372E-95</v>
      </c>
    </row>
    <row r="577" spans="1:10" x14ac:dyDescent="0.25">
      <c r="A577" s="66">
        <f t="shared" si="76"/>
        <v>120.05503142472196</v>
      </c>
      <c r="B577" s="146">
        <f t="shared" si="75"/>
        <v>541</v>
      </c>
      <c r="C577" s="141">
        <f t="shared" si="71"/>
        <v>2.8658756449099008E-104</v>
      </c>
      <c r="D577" s="66">
        <f t="shared" si="72"/>
        <v>266788958.72160438</v>
      </c>
      <c r="E577" s="89">
        <f t="shared" si="73"/>
        <v>0.44999999999999996</v>
      </c>
      <c r="F577" s="147">
        <f t="shared" si="74"/>
        <v>3.4406279060900344E-96</v>
      </c>
      <c r="I577" s="66">
        <f>D577*E577</f>
        <v>120055031.42472196</v>
      </c>
      <c r="J577" s="66">
        <f>I577*C577</f>
        <v>3.4406279060900344E-96</v>
      </c>
    </row>
    <row r="578" spans="1:10" x14ac:dyDescent="0.25">
      <c r="A578" s="66">
        <f t="shared" si="76"/>
        <v>120.27694460665306</v>
      </c>
      <c r="B578" s="146">
        <f t="shared" si="75"/>
        <v>542</v>
      </c>
      <c r="C578" s="141">
        <f t="shared" si="71"/>
        <v>9.5176681934277984E-105</v>
      </c>
      <c r="D578" s="66">
        <f t="shared" si="72"/>
        <v>267282099.12589571</v>
      </c>
      <c r="E578" s="89">
        <f t="shared" si="73"/>
        <v>0.44999999999999996</v>
      </c>
      <c r="F578" s="147">
        <f t="shared" si="74"/>
        <v>1.144756050085419E-96</v>
      </c>
      <c r="I578" s="66">
        <f>D578*E578</f>
        <v>120276944.60665306</v>
      </c>
      <c r="J578" s="66">
        <f>I578*C578</f>
        <v>1.144756050085419E-96</v>
      </c>
    </row>
    <row r="579" spans="1:10" x14ac:dyDescent="0.25">
      <c r="B579" s="146"/>
      <c r="D579" s="66"/>
      <c r="E579" s="89"/>
      <c r="F579" s="147"/>
    </row>
    <row r="580" spans="1:10" x14ac:dyDescent="0.25">
      <c r="B580" s="146"/>
      <c r="D580" s="66"/>
      <c r="E580" s="89"/>
      <c r="F580" s="147"/>
    </row>
    <row r="581" spans="1:10" x14ac:dyDescent="0.25">
      <c r="B581" s="146"/>
      <c r="D581" s="66"/>
      <c r="E581" s="89"/>
      <c r="F581" s="147"/>
    </row>
    <row r="582" spans="1:10" x14ac:dyDescent="0.25">
      <c r="B582" s="146"/>
      <c r="D582" s="66"/>
      <c r="E582" s="89"/>
      <c r="F582" s="147"/>
    </row>
    <row r="583" spans="1:10" x14ac:dyDescent="0.25">
      <c r="B583" s="146"/>
      <c r="D583" s="66"/>
      <c r="E583" s="89"/>
      <c r="F583" s="147"/>
    </row>
    <row r="584" spans="1:10" x14ac:dyDescent="0.25">
      <c r="B584" s="146"/>
      <c r="D584" s="66"/>
      <c r="E584" s="89"/>
      <c r="F584" s="147"/>
    </row>
    <row r="585" spans="1:10" x14ac:dyDescent="0.25">
      <c r="B585" s="146"/>
      <c r="D585" s="66"/>
      <c r="E585" s="89"/>
      <c r="F585" s="147"/>
    </row>
    <row r="586" spans="1:10" x14ac:dyDescent="0.25">
      <c r="B586" s="146"/>
      <c r="D586" s="66"/>
      <c r="E586" s="89"/>
      <c r="F586" s="147"/>
    </row>
    <row r="587" spans="1:10" x14ac:dyDescent="0.25">
      <c r="B587" s="146"/>
      <c r="D587" s="66"/>
      <c r="E587" s="89"/>
      <c r="F587" s="147"/>
    </row>
    <row r="588" spans="1:10" x14ac:dyDescent="0.25">
      <c r="B588" s="146"/>
      <c r="D588" s="66"/>
      <c r="E588" s="89"/>
      <c r="F588" s="147"/>
    </row>
    <row r="589" spans="1:10" x14ac:dyDescent="0.25">
      <c r="B589" s="146"/>
      <c r="D589" s="66"/>
      <c r="E589" s="89"/>
      <c r="F589" s="147"/>
    </row>
    <row r="590" spans="1:10" x14ac:dyDescent="0.25">
      <c r="B590" s="146"/>
      <c r="D590" s="66"/>
      <c r="E590" s="89"/>
      <c r="F590" s="147"/>
    </row>
    <row r="591" spans="1:10" x14ac:dyDescent="0.25">
      <c r="B591" s="146"/>
      <c r="D591" s="66"/>
      <c r="E591" s="89"/>
      <c r="F591" s="147"/>
    </row>
    <row r="592" spans="1:10" x14ac:dyDescent="0.25">
      <c r="B592" s="146"/>
      <c r="D592" s="66"/>
      <c r="E592" s="89"/>
      <c r="F592" s="147"/>
    </row>
    <row r="593" spans="2:6" x14ac:dyDescent="0.25">
      <c r="B593" s="146"/>
      <c r="D593" s="66"/>
      <c r="E593" s="89"/>
      <c r="F593" s="147"/>
    </row>
    <row r="594" spans="2:6" x14ac:dyDescent="0.25">
      <c r="B594" s="146"/>
      <c r="D594" s="66"/>
      <c r="E594" s="89"/>
      <c r="F594" s="147"/>
    </row>
    <row r="595" spans="2:6" x14ac:dyDescent="0.25">
      <c r="B595" s="146"/>
      <c r="D595" s="66"/>
      <c r="E595" s="89"/>
      <c r="F595" s="147"/>
    </row>
    <row r="596" spans="2:6" x14ac:dyDescent="0.25">
      <c r="B596" s="146"/>
      <c r="D596" s="66"/>
      <c r="E596" s="89"/>
      <c r="F596" s="147"/>
    </row>
    <row r="597" spans="2:6" x14ac:dyDescent="0.25">
      <c r="B597" s="146"/>
      <c r="D597" s="66"/>
      <c r="E597" s="89"/>
      <c r="F597" s="147"/>
    </row>
    <row r="598" spans="2:6" x14ac:dyDescent="0.25">
      <c r="B598" s="146"/>
      <c r="D598" s="66"/>
      <c r="E598" s="89"/>
      <c r="F598" s="147"/>
    </row>
    <row r="599" spans="2:6" x14ac:dyDescent="0.25">
      <c r="B599" s="146"/>
      <c r="D599" s="66"/>
      <c r="E599" s="89"/>
      <c r="F599" s="147"/>
    </row>
    <row r="600" spans="2:6" x14ac:dyDescent="0.25">
      <c r="B600" s="146"/>
      <c r="D600" s="66"/>
      <c r="E600" s="89"/>
      <c r="F600" s="147"/>
    </row>
    <row r="601" spans="2:6" x14ac:dyDescent="0.25">
      <c r="B601" s="146"/>
      <c r="D601" s="66"/>
      <c r="E601" s="89"/>
      <c r="F601" s="147"/>
    </row>
    <row r="602" spans="2:6" x14ac:dyDescent="0.25">
      <c r="B602" s="146"/>
      <c r="D602" s="66"/>
      <c r="E602" s="89"/>
      <c r="F602" s="147"/>
    </row>
    <row r="603" spans="2:6" x14ac:dyDescent="0.25">
      <c r="B603" s="146"/>
      <c r="D603" s="66"/>
      <c r="E603" s="89"/>
      <c r="F603" s="147"/>
    </row>
    <row r="604" spans="2:6" x14ac:dyDescent="0.25">
      <c r="B604" s="146"/>
      <c r="D604" s="66"/>
      <c r="E604" s="89"/>
      <c r="F604" s="147"/>
    </row>
    <row r="605" spans="2:6" x14ac:dyDescent="0.25">
      <c r="B605" s="146"/>
      <c r="D605" s="66"/>
      <c r="E605" s="89"/>
      <c r="F605" s="147"/>
    </row>
    <row r="606" spans="2:6" x14ac:dyDescent="0.25">
      <c r="B606" s="146"/>
      <c r="D606" s="66"/>
      <c r="E606" s="89"/>
      <c r="F606" s="147"/>
    </row>
    <row r="607" spans="2:6" x14ac:dyDescent="0.25">
      <c r="B607" s="146"/>
      <c r="D607" s="66"/>
      <c r="E607" s="89"/>
      <c r="F607" s="147"/>
    </row>
    <row r="608" spans="2:6" x14ac:dyDescent="0.25">
      <c r="B608" s="146"/>
      <c r="D608" s="66"/>
      <c r="E608" s="89"/>
      <c r="F608" s="147"/>
    </row>
    <row r="609" spans="2:6" x14ac:dyDescent="0.25">
      <c r="B609" s="146"/>
      <c r="D609" s="66"/>
      <c r="E609" s="89"/>
      <c r="F609" s="147"/>
    </row>
    <row r="610" spans="2:6" x14ac:dyDescent="0.25">
      <c r="B610" s="146"/>
      <c r="D610" s="66"/>
      <c r="E610" s="89"/>
      <c r="F610" s="147"/>
    </row>
    <row r="611" spans="2:6" x14ac:dyDescent="0.25">
      <c r="B611" s="146"/>
      <c r="D611" s="66"/>
      <c r="E611" s="89"/>
      <c r="F611" s="147"/>
    </row>
    <row r="612" spans="2:6" x14ac:dyDescent="0.25">
      <c r="B612" s="146"/>
      <c r="D612" s="66"/>
      <c r="E612" s="89"/>
      <c r="F612" s="147"/>
    </row>
    <row r="613" spans="2:6" x14ac:dyDescent="0.25">
      <c r="B613" s="146"/>
      <c r="D613" s="66"/>
      <c r="E613" s="89"/>
      <c r="F613" s="147"/>
    </row>
    <row r="614" spans="2:6" x14ac:dyDescent="0.25">
      <c r="B614" s="146"/>
      <c r="D614" s="66"/>
      <c r="E614" s="89"/>
      <c r="F614" s="147"/>
    </row>
    <row r="615" spans="2:6" x14ac:dyDescent="0.25">
      <c r="B615" s="146"/>
      <c r="D615" s="66"/>
      <c r="E615" s="89"/>
      <c r="F615" s="147"/>
    </row>
    <row r="616" spans="2:6" x14ac:dyDescent="0.25">
      <c r="B616" s="146"/>
      <c r="D616" s="66"/>
      <c r="E616" s="89"/>
      <c r="F616" s="147"/>
    </row>
    <row r="617" spans="2:6" x14ac:dyDescent="0.25">
      <c r="B617" s="146"/>
      <c r="D617" s="66"/>
      <c r="E617" s="89"/>
      <c r="F617" s="147"/>
    </row>
    <row r="618" spans="2:6" x14ac:dyDescent="0.25">
      <c r="B618" s="146"/>
      <c r="D618" s="66"/>
      <c r="E618" s="89"/>
      <c r="F618" s="147"/>
    </row>
    <row r="619" spans="2:6" x14ac:dyDescent="0.25">
      <c r="B619" s="146"/>
      <c r="D619" s="66"/>
      <c r="E619" s="89"/>
      <c r="F619" s="147"/>
    </row>
    <row r="620" spans="2:6" x14ac:dyDescent="0.25">
      <c r="B620" s="146"/>
      <c r="D620" s="66"/>
      <c r="E620" s="89"/>
      <c r="F620" s="147"/>
    </row>
    <row r="621" spans="2:6" x14ac:dyDescent="0.25">
      <c r="B621" s="146"/>
      <c r="D621" s="66"/>
      <c r="E621" s="89"/>
      <c r="F621" s="147"/>
    </row>
    <row r="622" spans="2:6" x14ac:dyDescent="0.25">
      <c r="B622" s="146"/>
      <c r="D622" s="66"/>
      <c r="E622" s="89"/>
      <c r="F622" s="147"/>
    </row>
    <row r="623" spans="2:6" x14ac:dyDescent="0.25">
      <c r="B623" s="146"/>
      <c r="D623" s="66"/>
      <c r="E623" s="89"/>
      <c r="F623" s="147"/>
    </row>
    <row r="624" spans="2:6" x14ac:dyDescent="0.25">
      <c r="B624" s="146"/>
      <c r="D624" s="66"/>
      <c r="E624" s="89"/>
      <c r="F624" s="147"/>
    </row>
    <row r="625" spans="2:6" x14ac:dyDescent="0.25">
      <c r="B625" s="146"/>
      <c r="D625" s="66"/>
      <c r="E625" s="89"/>
      <c r="F625" s="147"/>
    </row>
    <row r="626" spans="2:6" x14ac:dyDescent="0.25">
      <c r="B626" s="146"/>
      <c r="D626" s="66"/>
      <c r="E626" s="89"/>
      <c r="F626" s="147"/>
    </row>
    <row r="627" spans="2:6" x14ac:dyDescent="0.25">
      <c r="B627" s="146"/>
      <c r="D627" s="66"/>
      <c r="E627" s="89"/>
      <c r="F627" s="147"/>
    </row>
    <row r="628" spans="2:6" x14ac:dyDescent="0.25">
      <c r="B628" s="146"/>
      <c r="D628" s="66"/>
      <c r="E628" s="89"/>
      <c r="F628" s="147"/>
    </row>
    <row r="629" spans="2:6" x14ac:dyDescent="0.25">
      <c r="B629" s="146"/>
      <c r="D629" s="66"/>
      <c r="E629" s="89"/>
      <c r="F629" s="147"/>
    </row>
    <row r="630" spans="2:6" x14ac:dyDescent="0.25">
      <c r="B630" s="146"/>
      <c r="D630" s="66"/>
      <c r="E630" s="89"/>
      <c r="F630" s="147"/>
    </row>
    <row r="631" spans="2:6" x14ac:dyDescent="0.25">
      <c r="B631" s="146"/>
      <c r="D631" s="66"/>
      <c r="E631" s="89"/>
      <c r="F631" s="147"/>
    </row>
    <row r="632" spans="2:6" x14ac:dyDescent="0.25">
      <c r="B632" s="146"/>
      <c r="D632" s="66"/>
      <c r="E632" s="89"/>
      <c r="F632" s="147"/>
    </row>
    <row r="633" spans="2:6" x14ac:dyDescent="0.25">
      <c r="B633" s="146"/>
      <c r="D633" s="66"/>
      <c r="E633" s="89"/>
      <c r="F633" s="147"/>
    </row>
    <row r="634" spans="2:6" x14ac:dyDescent="0.25">
      <c r="B634" s="146"/>
      <c r="D634" s="66"/>
      <c r="E634" s="89"/>
      <c r="F634" s="147"/>
    </row>
    <row r="635" spans="2:6" x14ac:dyDescent="0.25">
      <c r="B635" s="146"/>
      <c r="D635" s="66"/>
      <c r="E635" s="89"/>
      <c r="F635" s="147"/>
    </row>
    <row r="636" spans="2:6" x14ac:dyDescent="0.25">
      <c r="B636" s="146"/>
      <c r="D636" s="66"/>
      <c r="E636" s="89"/>
      <c r="F636" s="147"/>
    </row>
    <row r="637" spans="2:6" x14ac:dyDescent="0.25">
      <c r="B637" s="146"/>
      <c r="D637" s="66"/>
      <c r="E637" s="89"/>
      <c r="F637" s="147"/>
    </row>
    <row r="638" spans="2:6" x14ac:dyDescent="0.25">
      <c r="B638" s="146"/>
      <c r="D638" s="66"/>
      <c r="E638" s="89"/>
      <c r="F638" s="147"/>
    </row>
    <row r="639" spans="2:6" x14ac:dyDescent="0.25">
      <c r="B639" s="146"/>
      <c r="D639" s="66"/>
      <c r="E639" s="89"/>
      <c r="F639" s="147"/>
    </row>
  </sheetData>
  <phoneticPr fontId="0" type="noConversion"/>
  <hyperlinks>
    <hyperlink ref="H34" r:id="rId1" xr:uid="{00000000-0004-0000-0A00-000000000000}"/>
    <hyperlink ref="H190" r:id="rId2" xr:uid="{00000000-0004-0000-0A00-000001000000}"/>
    <hyperlink ref="H35" r:id="rId3" xr:uid="{00000000-0004-0000-0A00-000002000000}"/>
  </hyperlinks>
  <pageMargins left="0.7" right="0.7" top="0.75" bottom="0.75" header="0.3" footer="0.3"/>
  <pageSetup orientation="portrait" r:id="rId4"/>
  <headerFooter alignWithMargins="0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I1370"/>
  <sheetViews>
    <sheetView zoomScale="120" zoomScaleNormal="120" workbookViewId="0">
      <selection activeCell="B17" sqref="B17"/>
    </sheetView>
  </sheetViews>
  <sheetFormatPr defaultColWidth="11.42578125" defaultRowHeight="12.75" x14ac:dyDescent="0.2"/>
  <cols>
    <col min="1" max="1" width="8" style="149" customWidth="1"/>
    <col min="2" max="2" width="5.5703125" style="149" customWidth="1"/>
    <col min="3" max="3" width="8.140625" style="149" customWidth="1"/>
    <col min="4" max="4" width="6.85546875" style="149" customWidth="1"/>
    <col min="5" max="5" width="6.7109375" style="149" customWidth="1"/>
    <col min="6" max="6" width="6.85546875" style="149" customWidth="1"/>
    <col min="7" max="7" width="6.7109375" style="149" customWidth="1"/>
    <col min="8" max="8" width="6.85546875" style="149" customWidth="1"/>
    <col min="9" max="9" width="5" style="149" customWidth="1"/>
    <col min="10" max="10" width="11.42578125" style="149"/>
    <col min="11" max="11" width="9.5703125" style="149" customWidth="1"/>
    <col min="12" max="12" width="11.42578125" style="149"/>
    <col min="13" max="13" width="12.42578125" style="149" bestFit="1" customWidth="1"/>
    <col min="14" max="14" width="11.42578125" style="149"/>
    <col min="15" max="15" width="9.85546875" style="149" bestFit="1" customWidth="1"/>
    <col min="16" max="16" width="11.42578125" style="149"/>
    <col min="17" max="17" width="17.85546875" style="149" customWidth="1"/>
    <col min="18" max="19" width="11.42578125" style="149"/>
    <col min="20" max="20" width="13.42578125" style="149" customWidth="1"/>
    <col min="21" max="16384" width="11.42578125" style="149"/>
  </cols>
  <sheetData>
    <row r="1" spans="1:35" x14ac:dyDescent="0.2">
      <c r="E1" s="149">
        <v>1</v>
      </c>
      <c r="F1" s="149">
        <v>1</v>
      </c>
      <c r="G1" s="149">
        <v>2</v>
      </c>
      <c r="H1" s="149">
        <v>2</v>
      </c>
      <c r="U1" s="149">
        <v>1</v>
      </c>
      <c r="V1" s="149">
        <v>2</v>
      </c>
      <c r="W1" s="149">
        <v>1</v>
      </c>
      <c r="X1" s="149">
        <v>2</v>
      </c>
    </row>
    <row r="2" spans="1:35" ht="26.25" customHeight="1" x14ac:dyDescent="0.2">
      <c r="A2" s="150" t="s">
        <v>1353</v>
      </c>
      <c r="B2" s="150" t="s">
        <v>1354</v>
      </c>
      <c r="C2" s="150" t="s">
        <v>1355</v>
      </c>
      <c r="D2" s="150" t="s">
        <v>1356</v>
      </c>
      <c r="E2" s="150" t="str">
        <f>"Beta dens "&amp;E1</f>
        <v>Beta dens 1</v>
      </c>
      <c r="F2" s="150" t="str">
        <f>"Beta Acum "&amp;F1</f>
        <v>Beta Acum 1</v>
      </c>
      <c r="G2" s="150" t="str">
        <f>"Beta dens "&amp;G1</f>
        <v>Beta dens 2</v>
      </c>
      <c r="H2" s="150" t="str">
        <f>"Beta Acum "&amp;H1</f>
        <v>Beta Acum 2</v>
      </c>
      <c r="J2" s="151" t="s">
        <v>1357</v>
      </c>
      <c r="K2" s="151"/>
      <c r="L2" s="151" t="s">
        <v>1328</v>
      </c>
      <c r="M2" s="151" t="s">
        <v>1358</v>
      </c>
      <c r="N2" s="151" t="s">
        <v>1327</v>
      </c>
      <c r="U2" s="150" t="s">
        <v>1359</v>
      </c>
      <c r="V2" s="150" t="s">
        <v>1360</v>
      </c>
      <c r="W2" s="152" t="s">
        <v>1361</v>
      </c>
      <c r="X2" s="152" t="s">
        <v>1362</v>
      </c>
    </row>
    <row r="3" spans="1:35" x14ac:dyDescent="0.2">
      <c r="A3" s="149">
        <v>0</v>
      </c>
      <c r="B3" s="149">
        <v>0</v>
      </c>
      <c r="C3" s="153">
        <f t="shared" ref="C3:C45" si="0">B3/SUM($B$3:$B$45)</f>
        <v>0</v>
      </c>
      <c r="D3" s="153">
        <f>SUM($C$3:C3)</f>
        <v>0</v>
      </c>
      <c r="E3" s="153">
        <f>BETADIST(A3,0.8,9,0,420)</f>
        <v>0</v>
      </c>
      <c r="F3" s="153">
        <f t="shared" ref="F3:F45" si="1">BETADIST(A3/420,$K$8,$L$8)</f>
        <v>0</v>
      </c>
      <c r="G3" s="153">
        <f>BETADIST(C3,0.8,9,0,420)</f>
        <v>0</v>
      </c>
      <c r="H3" s="153">
        <f t="shared" ref="H3:H45" si="2">BETADIST(A3/420,$K$9,$L$9)</f>
        <v>0</v>
      </c>
      <c r="J3" s="151" t="s">
        <v>1363</v>
      </c>
      <c r="K3" s="151">
        <f t="array" ref="K3">MMULT(TRANSPOSE(A3:A45),C3:C45)</f>
        <v>80.273842651151</v>
      </c>
      <c r="L3" s="151">
        <f t="array" ref="L3">SQRT(SUM((A3:A45-K3)^2*C3:C45))</f>
        <v>30.181081643645612</v>
      </c>
      <c r="M3" s="154">
        <f ca="1">OFFSET($D$2,MATCH(0.99,$D$2:$D$45,1),-3,1,1)</f>
        <v>180</v>
      </c>
      <c r="N3" s="154">
        <f ca="1">M3-K3</f>
        <v>99.726157348849</v>
      </c>
      <c r="Q3" s="155"/>
      <c r="T3" s="156"/>
      <c r="U3" s="157">
        <f t="shared" ref="U3:U44" si="3">E3*SUM($B$2:$B$44)</f>
        <v>0</v>
      </c>
      <c r="V3" s="152">
        <f t="shared" ref="V3:V44" si="4">G3*SUM($B$2:$B$44)</f>
        <v>0</v>
      </c>
      <c r="W3" s="152">
        <f>(U3/43-$B3/43)^2/(IF(U3/43&lt;1,1,U3/43))</f>
        <v>0</v>
      </c>
      <c r="X3" s="152">
        <f t="shared" ref="X3:X44" si="5">(V3/43-$B3)^2/(IF(V3&lt;1,1,V3))</f>
        <v>0</v>
      </c>
      <c r="AB3" s="187" t="s">
        <v>1381</v>
      </c>
      <c r="AF3" s="187" t="s">
        <v>1386</v>
      </c>
      <c r="AG3" s="149">
        <v>10</v>
      </c>
    </row>
    <row r="4" spans="1:35" x14ac:dyDescent="0.2">
      <c r="A4" s="149">
        <v>10</v>
      </c>
      <c r="B4" s="149">
        <v>0</v>
      </c>
      <c r="C4" s="153">
        <f t="shared" si="0"/>
        <v>0</v>
      </c>
      <c r="D4" s="153">
        <f>SUM($C$3:C4)</f>
        <v>0</v>
      </c>
      <c r="E4" s="153">
        <f t="shared" ref="E4:E45" si="6">F4-F3</f>
        <v>1.3570401903629164E-4</v>
      </c>
      <c r="F4" s="153">
        <f t="shared" si="1"/>
        <v>1.3570401903629164E-4</v>
      </c>
      <c r="G4" s="153">
        <f t="shared" ref="G4:G45" si="7">H4-H3</f>
        <v>2.9012250286449986E-3</v>
      </c>
      <c r="H4" s="153">
        <f t="shared" si="2"/>
        <v>2.9012250286449986E-3</v>
      </c>
      <c r="J4" s="151" t="s">
        <v>1364</v>
      </c>
      <c r="K4" s="151">
        <f t="array" ref="K4">MMULT(TRANSPOSE(A3:A45),E3:E45)</f>
        <v>85.27385006534746</v>
      </c>
      <c r="L4" s="151">
        <f t="array" ref="L4">SQRT(SUM((A3:A45-K4)^2*E3:E45))</f>
        <v>30.31880249351585</v>
      </c>
      <c r="M4" s="154">
        <f>BETAINV(0.99,K8,L8)*420</f>
        <v>161.6630440640586</v>
      </c>
      <c r="N4" s="154">
        <f>M4-K4</f>
        <v>76.389193998711136</v>
      </c>
      <c r="Q4" s="155"/>
      <c r="T4" s="156"/>
      <c r="U4" s="157">
        <f t="shared" si="3"/>
        <v>2.1456162449828073</v>
      </c>
      <c r="V4" s="152">
        <f t="shared" si="4"/>
        <v>45.871268927906073</v>
      </c>
      <c r="W4" s="152">
        <f t="shared" ref="W4:W44" si="8">(U4-$B4)^2/(IF(U4&lt;1,1,U4))</f>
        <v>2.1456162449828073</v>
      </c>
      <c r="X4" s="152">
        <f t="shared" si="5"/>
        <v>2.4808690604600361E-2</v>
      </c>
      <c r="AB4" s="149">
        <f ca="1">RAND()*1000</f>
        <v>265.05379758452864</v>
      </c>
      <c r="AF4" s="187" t="s">
        <v>1383</v>
      </c>
      <c r="AG4" s="149">
        <f ca="1">MIN(AB4:AB1370)</f>
        <v>0.44813851274760896</v>
      </c>
    </row>
    <row r="5" spans="1:35" x14ac:dyDescent="0.2">
      <c r="A5" s="149">
        <v>20</v>
      </c>
      <c r="B5" s="149">
        <v>7</v>
      </c>
      <c r="C5" s="153">
        <f>B5/SUM($B$3:$B$45)</f>
        <v>4.4270174550973943E-4</v>
      </c>
      <c r="D5" s="153">
        <f>SUM($C$3:C5)</f>
        <v>4.4270174550973943E-4</v>
      </c>
      <c r="E5" s="153">
        <f t="shared" si="6"/>
        <v>3.8345052999808438E-3</v>
      </c>
      <c r="F5" s="153">
        <f t="shared" si="1"/>
        <v>3.9702093190171353E-3</v>
      </c>
      <c r="G5" s="153">
        <f t="shared" si="7"/>
        <v>2.1336900286297693E-2</v>
      </c>
      <c r="H5" s="153">
        <f t="shared" si="2"/>
        <v>2.4238125314942693E-2</v>
      </c>
      <c r="J5" s="151" t="s">
        <v>1365</v>
      </c>
      <c r="K5" s="151">
        <f t="array" ref="K5">MMULT(TRANSPOSE(A3:A45),G3:G45)</f>
        <v>81.626364696183813</v>
      </c>
      <c r="L5" s="151">
        <f t="array" ref="L5">SQRT(SUM((A3:A45-K5)^2*G3:G45))</f>
        <v>36.468126270474087</v>
      </c>
      <c r="M5" s="154">
        <f>BETAINV(0.99,K9,L9)*420</f>
        <v>178.04413935721021</v>
      </c>
      <c r="N5" s="154">
        <f>M5-K5</f>
        <v>96.417774661026399</v>
      </c>
      <c r="Q5" s="155"/>
      <c r="T5" s="156"/>
      <c r="U5" s="157">
        <f t="shared" si="3"/>
        <v>60.627363297997121</v>
      </c>
      <c r="V5" s="152">
        <f t="shared" si="4"/>
        <v>337.35773042665284</v>
      </c>
      <c r="W5" s="152">
        <f>(U5-$B5)^2/(IF(U5&lt;1,1,U5))</f>
        <v>47.435579214614741</v>
      </c>
      <c r="X5" s="152">
        <f t="shared" si="5"/>
        <v>2.1191707602435279E-3</v>
      </c>
      <c r="AB5" s="149">
        <f t="shared" ref="AB5:AB68" ca="1" si="9">RAND()*1000</f>
        <v>136.32077378651408</v>
      </c>
      <c r="AF5" s="187" t="s">
        <v>1384</v>
      </c>
      <c r="AG5" s="149">
        <f ca="1">MAX(AB4:AB1370)</f>
        <v>999.97873371196863</v>
      </c>
    </row>
    <row r="6" spans="1:35" x14ac:dyDescent="0.2">
      <c r="A6" s="149">
        <v>30</v>
      </c>
      <c r="B6" s="149">
        <v>168</v>
      </c>
      <c r="C6" s="153">
        <f t="shared" si="0"/>
        <v>1.0624841892233746E-2</v>
      </c>
      <c r="D6" s="153">
        <f>SUM($C$3:C6)</f>
        <v>1.1067543637743486E-2</v>
      </c>
      <c r="E6" s="153">
        <f t="shared" si="6"/>
        <v>1.9619483887285013E-2</v>
      </c>
      <c r="F6" s="153">
        <f>BETADIST(A6/420,$K$8,$L$8)</f>
        <v>2.3589693206302147E-2</v>
      </c>
      <c r="G6" s="153">
        <f t="shared" si="7"/>
        <v>5.0782231908596945E-2</v>
      </c>
      <c r="H6" s="153">
        <f t="shared" si="2"/>
        <v>7.5020357223539641E-2</v>
      </c>
      <c r="J6" s="158"/>
      <c r="K6" s="158"/>
      <c r="Q6" s="155"/>
      <c r="T6" s="156"/>
      <c r="U6" s="157">
        <f t="shared" si="3"/>
        <v>310.20365974186336</v>
      </c>
      <c r="V6" s="152">
        <f t="shared" si="4"/>
        <v>802.91786870682631</v>
      </c>
      <c r="W6" s="152">
        <f t="shared" si="8"/>
        <v>65.189046643767298</v>
      </c>
      <c r="X6" s="152">
        <f t="shared" si="5"/>
        <v>27.772080513445037</v>
      </c>
      <c r="AB6" s="149">
        <f t="shared" ca="1" si="9"/>
        <v>452.75727327708751</v>
      </c>
      <c r="AF6" s="187" t="s">
        <v>1385</v>
      </c>
      <c r="AG6" s="149">
        <f ca="1">AG5-AG4</f>
        <v>999.53059519922101</v>
      </c>
    </row>
    <row r="7" spans="1:35" x14ac:dyDescent="0.2">
      <c r="A7" s="149">
        <v>40</v>
      </c>
      <c r="B7" s="149">
        <v>795</v>
      </c>
      <c r="C7" s="153">
        <f t="shared" si="0"/>
        <v>5.0278269668606122E-2</v>
      </c>
      <c r="D7" s="153">
        <f>SUM($C$3:C7)</f>
        <v>6.1345813306349611E-2</v>
      </c>
      <c r="E7" s="153">
        <f t="shared" si="6"/>
        <v>4.9336172342984277E-2</v>
      </c>
      <c r="F7" s="153">
        <f t="shared" si="1"/>
        <v>7.2925865549286428E-2</v>
      </c>
      <c r="G7" s="153">
        <f t="shared" si="7"/>
        <v>7.9656776684818409E-2</v>
      </c>
      <c r="H7" s="153">
        <f t="shared" si="2"/>
        <v>0.15467713390835805</v>
      </c>
      <c r="J7" s="159" t="s">
        <v>1366</v>
      </c>
      <c r="K7" s="151" t="s">
        <v>1367</v>
      </c>
      <c r="L7" s="151" t="s">
        <v>1368</v>
      </c>
      <c r="M7" s="159" t="s">
        <v>1369</v>
      </c>
      <c r="N7" s="151" t="s">
        <v>1370</v>
      </c>
      <c r="O7" s="151" t="s">
        <v>1371</v>
      </c>
      <c r="Q7" s="155"/>
      <c r="T7" s="156"/>
      <c r="U7" s="157">
        <f t="shared" si="3"/>
        <v>780.05422091492437</v>
      </c>
      <c r="V7" s="152">
        <f t="shared" si="4"/>
        <v>1259.4532961636639</v>
      </c>
      <c r="W7" s="152">
        <f t="shared" si="8"/>
        <v>0.28635998174317467</v>
      </c>
      <c r="X7" s="152">
        <f t="shared" si="5"/>
        <v>465.52929019559298</v>
      </c>
      <c r="AB7" s="149">
        <f t="shared" ca="1" si="9"/>
        <v>829.23746657022173</v>
      </c>
    </row>
    <row r="8" spans="1:35" x14ac:dyDescent="0.2">
      <c r="A8" s="149">
        <v>50</v>
      </c>
      <c r="B8" s="149">
        <v>1703</v>
      </c>
      <c r="C8" s="153">
        <f t="shared" si="0"/>
        <v>0.10770301037186947</v>
      </c>
      <c r="D8" s="153">
        <f>SUM($C$3:C8)</f>
        <v>0.16904882367821908</v>
      </c>
      <c r="E8" s="153">
        <f t="shared" si="6"/>
        <v>8.474093427024379E-2</v>
      </c>
      <c r="F8" s="153">
        <f t="shared" si="1"/>
        <v>0.15766679981953022</v>
      </c>
      <c r="G8" s="153">
        <f t="shared" si="7"/>
        <v>0.10076720820357757</v>
      </c>
      <c r="H8" s="153">
        <f t="shared" si="2"/>
        <v>0.25544434211193562</v>
      </c>
      <c r="J8" s="151" t="s">
        <v>1364</v>
      </c>
      <c r="K8" s="160">
        <f>K3/MAX(A3:A45)*((K3/MAX(A3:A45)*(1-K3/MAX(A3:A45)))/(L3/MAX(A3:A45))^2-1)</f>
        <v>5.5310081478780653</v>
      </c>
      <c r="L8" s="160">
        <f>(1-K3/MAX(A3:A45))*((K3/MAX(A3:A45)*(1-K3/MAX(A3:A45)))/(L3/MAX(A3:A45)) ^2-1)</f>
        <v>23.407726381176882</v>
      </c>
      <c r="M8" s="161">
        <f>SUMXMY2(D3:D45,F3:F45)</f>
        <v>4.7160269436738948E-2</v>
      </c>
      <c r="N8" s="152">
        <f>SUM(W3:W44)</f>
        <v>1511.8369926252324</v>
      </c>
      <c r="O8" s="155">
        <f>CHIDIST(N8,42)</f>
        <v>8.0125797988600601E-290</v>
      </c>
      <c r="Q8" s="155"/>
      <c r="T8" s="156"/>
      <c r="U8" s="157">
        <f t="shared" si="3"/>
        <v>1339.8389117468246</v>
      </c>
      <c r="V8" s="152">
        <f t="shared" si="4"/>
        <v>1593.230328906765</v>
      </c>
      <c r="W8" s="152">
        <f t="shared" si="8"/>
        <v>98.434203444116562</v>
      </c>
      <c r="X8" s="152">
        <f t="shared" si="5"/>
        <v>1741.9849018556424</v>
      </c>
      <c r="AB8" s="149">
        <f t="shared" ca="1" si="9"/>
        <v>370.88841157881933</v>
      </c>
      <c r="AF8" s="187" t="s">
        <v>1382</v>
      </c>
    </row>
    <row r="9" spans="1:35" x14ac:dyDescent="0.2">
      <c r="A9" s="149">
        <v>60</v>
      </c>
      <c r="B9" s="149">
        <v>2514</v>
      </c>
      <c r="C9" s="153">
        <f t="shared" si="0"/>
        <v>0.15899316974449784</v>
      </c>
      <c r="D9" s="153">
        <f>SUM($C$3:C9)</f>
        <v>0.32804199342271689</v>
      </c>
      <c r="E9" s="153">
        <f t="shared" si="6"/>
        <v>0.11455783645643267</v>
      </c>
      <c r="F9" s="153">
        <f t="shared" si="1"/>
        <v>0.27222463627596288</v>
      </c>
      <c r="G9" s="153">
        <f t="shared" si="7"/>
        <v>0.11153132422659512</v>
      </c>
      <c r="H9" s="153">
        <f t="shared" si="2"/>
        <v>0.36697566633853074</v>
      </c>
      <c r="J9" s="151" t="s">
        <v>1365</v>
      </c>
      <c r="K9" s="151">
        <v>3.4499275912481036</v>
      </c>
      <c r="L9" s="151">
        <v>15.459564075967934</v>
      </c>
      <c r="M9" s="188">
        <f t="array" aca="1" ref="M9" ca="1">SUMXMY2(D21:D45*A21:A45,H21:H45*A21:A45)+(K3-K5)^2+(M5-M3)^2+(L3-L5)^2</f>
        <v>47.387993901271315</v>
      </c>
      <c r="N9" s="152">
        <f>SUM(X3:X44)</f>
        <v>17820.671519382075</v>
      </c>
      <c r="O9" s="155">
        <f>CHIDIST(N9,42)</f>
        <v>0</v>
      </c>
      <c r="Q9" s="155"/>
      <c r="T9" s="156"/>
      <c r="U9" s="157">
        <f t="shared" si="3"/>
        <v>1811.2739522126569</v>
      </c>
      <c r="V9" s="152">
        <f t="shared" si="4"/>
        <v>1763.4217673466953</v>
      </c>
      <c r="W9" s="152">
        <f t="shared" si="8"/>
        <v>272.63898850616312</v>
      </c>
      <c r="X9" s="152">
        <f t="shared" si="5"/>
        <v>3468.0758740120673</v>
      </c>
      <c r="AB9" s="149">
        <f t="shared" ca="1" si="9"/>
        <v>211.33301375403479</v>
      </c>
      <c r="AF9" s="149">
        <f ca="1">AG4</f>
        <v>0.44813851274760896</v>
      </c>
      <c r="AG9" s="149">
        <f t="array" aca="1" ref="AG9:AG19" ca="1">FREQUENCY(AB4:AB1370,AF9:AF19)</f>
        <v>1</v>
      </c>
      <c r="AH9" s="149">
        <f ca="1">AG9/SUM($AG$9:$AG$19)</f>
        <v>7.3152889539136799E-4</v>
      </c>
      <c r="AI9" s="149">
        <f ca="1">SUM($AH$9:AH9)</f>
        <v>7.3152889539136799E-4</v>
      </c>
    </row>
    <row r="10" spans="1:35" x14ac:dyDescent="0.2">
      <c r="A10" s="149">
        <v>70</v>
      </c>
      <c r="B10" s="149">
        <v>2701</v>
      </c>
      <c r="C10" s="153">
        <f t="shared" si="0"/>
        <v>0.17081963066025804</v>
      </c>
      <c r="D10" s="153">
        <f>SUM($C$3:C10)</f>
        <v>0.49886162408297496</v>
      </c>
      <c r="E10" s="153">
        <f t="shared" si="6"/>
        <v>0.13105198182165506</v>
      </c>
      <c r="F10" s="153">
        <f t="shared" si="1"/>
        <v>0.40327661809761794</v>
      </c>
      <c r="G10" s="153">
        <f t="shared" si="7"/>
        <v>0.11247861718402136</v>
      </c>
      <c r="H10" s="153">
        <f t="shared" si="2"/>
        <v>0.47945428352255209</v>
      </c>
      <c r="L10" s="149">
        <f ca="1">SUMXMY2(D21:D45*A21:A45,H21:H45*A21:A45)+(K3-K5)^2+(M5-M3)^2+(L3-L5)^2</f>
        <v>47.387993901271315</v>
      </c>
      <c r="M10" s="149">
        <f ca="1">SUMXMY2(D21:D45,H21:H45)+(K3-K5)^2+(M5-M3)^2+(L3-L5)^2</f>
        <v>45.181672842036505</v>
      </c>
      <c r="O10" s="162"/>
      <c r="Q10" s="155"/>
      <c r="T10" s="156"/>
      <c r="U10" s="157">
        <f t="shared" si="3"/>
        <v>2072.062884582188</v>
      </c>
      <c r="V10" s="152">
        <f t="shared" si="4"/>
        <v>1778.3994162965616</v>
      </c>
      <c r="W10" s="152">
        <f t="shared" si="8"/>
        <v>190.90245672241727</v>
      </c>
      <c r="X10" s="152">
        <f t="shared" si="5"/>
        <v>3977.5625392835609</v>
      </c>
      <c r="AB10" s="149">
        <f t="shared" ca="1" si="9"/>
        <v>290.12815947974769</v>
      </c>
      <c r="AF10" s="149">
        <f t="shared" ref="AF10:AF19" ca="1" si="10">$AG$6/$AG$3+AF9</f>
        <v>100.40119803266971</v>
      </c>
      <c r="AG10" s="149">
        <f ca="1"/>
        <v>142</v>
      </c>
      <c r="AH10" s="149">
        <f t="shared" ref="AH10:AH19" ca="1" si="11">AG10/SUM($AG$9:$AG$19)</f>
        <v>0.10387710314557425</v>
      </c>
      <c r="AI10" s="149">
        <f ca="1">SUM($AH$9:AH10)</f>
        <v>0.10460863204096561</v>
      </c>
    </row>
    <row r="11" spans="1:35" x14ac:dyDescent="0.2">
      <c r="A11" s="149">
        <v>80</v>
      </c>
      <c r="B11" s="149">
        <v>2346</v>
      </c>
      <c r="C11" s="153">
        <f t="shared" si="0"/>
        <v>0.14836832785226411</v>
      </c>
      <c r="D11" s="153">
        <f>SUM($C$3:C11)</f>
        <v>0.64722995193523913</v>
      </c>
      <c r="E11" s="153">
        <f t="shared" si="6"/>
        <v>0.13224919055088058</v>
      </c>
      <c r="F11" s="153">
        <f t="shared" si="1"/>
        <v>0.53552580864849852</v>
      </c>
      <c r="G11" s="153">
        <f t="shared" si="7"/>
        <v>0.10575036954359945</v>
      </c>
      <c r="H11" s="153">
        <f t="shared" si="2"/>
        <v>0.58520465306615155</v>
      </c>
      <c r="K11" s="158"/>
      <c r="P11" s="157"/>
      <c r="Q11" s="155"/>
      <c r="T11" s="156"/>
      <c r="U11" s="157">
        <f t="shared" si="3"/>
        <v>2090.9919517999729</v>
      </c>
      <c r="V11" s="152">
        <f t="shared" si="4"/>
        <v>1672.0190928538509</v>
      </c>
      <c r="W11" s="152">
        <f t="shared" si="8"/>
        <v>31.099643683854854</v>
      </c>
      <c r="X11" s="152">
        <f t="shared" si="5"/>
        <v>3183.4465880727257</v>
      </c>
      <c r="AB11" s="149">
        <f t="shared" ca="1" si="9"/>
        <v>443.42253793974186</v>
      </c>
      <c r="AF11" s="149">
        <f t="shared" ca="1" si="10"/>
        <v>200.35425755259183</v>
      </c>
      <c r="AG11" s="149">
        <f ca="1"/>
        <v>152</v>
      </c>
      <c r="AH11" s="149">
        <f t="shared" ca="1" si="11"/>
        <v>0.11119239209948793</v>
      </c>
      <c r="AI11" s="149">
        <f ca="1">SUM($AH$9:AH11)</f>
        <v>0.21580102414045355</v>
      </c>
    </row>
    <row r="12" spans="1:35" x14ac:dyDescent="0.2">
      <c r="A12" s="149">
        <v>90</v>
      </c>
      <c r="B12" s="149">
        <v>1764</v>
      </c>
      <c r="C12" s="153">
        <f t="shared" si="0"/>
        <v>0.11156083986845435</v>
      </c>
      <c r="D12" s="153">
        <f>SUM($C$3:C12)</f>
        <v>0.75879079180369347</v>
      </c>
      <c r="E12" s="153">
        <f t="shared" si="6"/>
        <v>0.12079312308880519</v>
      </c>
      <c r="F12" s="153">
        <f t="shared" si="1"/>
        <v>0.65631893173730371</v>
      </c>
      <c r="G12" s="153">
        <f t="shared" si="7"/>
        <v>9.3998732796694795E-2</v>
      </c>
      <c r="H12" s="153">
        <f t="shared" si="2"/>
        <v>0.67920338586284634</v>
      </c>
      <c r="J12" s="151" t="s">
        <v>1364</v>
      </c>
      <c r="K12" s="151" t="s">
        <v>1372</v>
      </c>
      <c r="Q12" s="155"/>
      <c r="T12" s="156"/>
      <c r="U12" s="157">
        <f t="shared" si="3"/>
        <v>1909.8600691570989</v>
      </c>
      <c r="V12" s="152">
        <f t="shared" si="4"/>
        <v>1486.2139642485415</v>
      </c>
      <c r="W12" s="152">
        <f t="shared" si="8"/>
        <v>11.139643222083434</v>
      </c>
      <c r="X12" s="152">
        <f t="shared" si="5"/>
        <v>2012.4638912018661</v>
      </c>
      <c r="AB12" s="149">
        <f t="shared" ca="1" si="9"/>
        <v>77.320574474654904</v>
      </c>
      <c r="AF12" s="149">
        <f t="shared" ca="1" si="10"/>
        <v>300.30731707251391</v>
      </c>
      <c r="AG12" s="149">
        <f ca="1"/>
        <v>126</v>
      </c>
      <c r="AH12" s="149">
        <f t="shared" ca="1" si="11"/>
        <v>9.2172640819312368E-2</v>
      </c>
      <c r="AI12" s="149">
        <f ca="1">SUM($AH$9:AH12)</f>
        <v>0.30797366495976591</v>
      </c>
    </row>
    <row r="13" spans="1:35" x14ac:dyDescent="0.2">
      <c r="A13" s="149">
        <v>100</v>
      </c>
      <c r="B13" s="149">
        <v>1248</v>
      </c>
      <c r="C13" s="153">
        <f t="shared" si="0"/>
        <v>7.8927396913736403E-2</v>
      </c>
      <c r="D13" s="153">
        <f>SUM($C$3:C13)</f>
        <v>0.83771818871742987</v>
      </c>
      <c r="E13" s="153">
        <f t="shared" si="6"/>
        <v>0.10154971834602111</v>
      </c>
      <c r="F13" s="153">
        <f t="shared" si="1"/>
        <v>0.75786865008332482</v>
      </c>
      <c r="G13" s="153">
        <f t="shared" si="7"/>
        <v>7.971216444263618E-2</v>
      </c>
      <c r="H13" s="153">
        <f t="shared" si="2"/>
        <v>0.75891555030548252</v>
      </c>
      <c r="J13" s="151" t="s">
        <v>1365</v>
      </c>
      <c r="K13" s="151" t="s">
        <v>1373</v>
      </c>
      <c r="Q13" s="155"/>
      <c r="T13" s="156"/>
      <c r="U13" s="157">
        <f t="shared" si="3"/>
        <v>1605.6025967689397</v>
      </c>
      <c r="V13" s="152">
        <f t="shared" si="4"/>
        <v>1260.3290320025205</v>
      </c>
      <c r="W13" s="152">
        <f t="shared" si="8"/>
        <v>79.645870947910467</v>
      </c>
      <c r="X13" s="152">
        <f t="shared" si="5"/>
        <v>1178.4266911708175</v>
      </c>
      <c r="AB13" s="149">
        <f t="shared" ca="1" si="9"/>
        <v>614.69322996788151</v>
      </c>
      <c r="AF13" s="149">
        <f t="shared" ca="1" si="10"/>
        <v>400.26037659243605</v>
      </c>
      <c r="AG13" s="149">
        <f ca="1"/>
        <v>124</v>
      </c>
      <c r="AH13" s="149">
        <f t="shared" ca="1" si="11"/>
        <v>9.0709583028529633E-2</v>
      </c>
      <c r="AI13" s="149">
        <f ca="1">SUM($AH$9:AH13)</f>
        <v>0.39868324798829557</v>
      </c>
    </row>
    <row r="14" spans="1:35" x14ac:dyDescent="0.2">
      <c r="A14" s="149">
        <v>110</v>
      </c>
      <c r="B14" s="149">
        <v>900</v>
      </c>
      <c r="C14" s="153">
        <f t="shared" si="0"/>
        <v>5.6918795851252216E-2</v>
      </c>
      <c r="D14" s="153">
        <f>SUM($C$3:C14)</f>
        <v>0.89463698456868213</v>
      </c>
      <c r="E14" s="153">
        <f t="shared" si="6"/>
        <v>7.9473905200535655E-2</v>
      </c>
      <c r="F14" s="153">
        <f t="shared" si="1"/>
        <v>0.83734255528386048</v>
      </c>
      <c r="G14" s="153">
        <f t="shared" si="7"/>
        <v>6.4880964084210069E-2</v>
      </c>
      <c r="H14" s="153">
        <f t="shared" si="2"/>
        <v>0.82379651438969259</v>
      </c>
      <c r="L14" s="151"/>
      <c r="Q14" s="155"/>
      <c r="T14" s="156"/>
      <c r="U14" s="157">
        <f t="shared" si="3"/>
        <v>1256.5619151256692</v>
      </c>
      <c r="V14" s="152">
        <f t="shared" si="4"/>
        <v>1025.8329231354453</v>
      </c>
      <c r="W14" s="152">
        <f t="shared" si="8"/>
        <v>101.17798238805445</v>
      </c>
      <c r="X14" s="152">
        <f t="shared" si="5"/>
        <v>748.29660443174168</v>
      </c>
      <c r="AB14" s="149">
        <f t="shared" ca="1" si="9"/>
        <v>284.16187953456387</v>
      </c>
      <c r="AF14" s="149">
        <f t="shared" ca="1" si="10"/>
        <v>500.21343611235818</v>
      </c>
      <c r="AG14" s="149">
        <f ca="1"/>
        <v>144</v>
      </c>
      <c r="AH14" s="149">
        <f t="shared" ca="1" si="11"/>
        <v>0.10534016093635698</v>
      </c>
      <c r="AI14" s="149">
        <f ca="1">SUM($AH$9:AH14)</f>
        <v>0.50402340892465258</v>
      </c>
    </row>
    <row r="15" spans="1:35" x14ac:dyDescent="0.2">
      <c r="A15" s="149">
        <v>120</v>
      </c>
      <c r="B15" s="149">
        <v>591</v>
      </c>
      <c r="C15" s="153">
        <f t="shared" si="0"/>
        <v>3.7376675942322288E-2</v>
      </c>
      <c r="D15" s="153">
        <f>SUM($C$3:C15)</f>
        <v>0.93201366051100443</v>
      </c>
      <c r="E15" s="153">
        <f t="shared" si="6"/>
        <v>5.8353588333899031E-2</v>
      </c>
      <c r="F15" s="153">
        <f t="shared" si="1"/>
        <v>0.89569614361775951</v>
      </c>
      <c r="G15" s="153">
        <f t="shared" si="7"/>
        <v>5.089577461068906E-2</v>
      </c>
      <c r="H15" s="153">
        <f t="shared" si="2"/>
        <v>0.87469228900038165</v>
      </c>
      <c r="Q15" s="155"/>
      <c r="T15" s="156"/>
      <c r="U15" s="157">
        <f t="shared" si="3"/>
        <v>922.62858514727759</v>
      </c>
      <c r="V15" s="152">
        <f t="shared" si="4"/>
        <v>804.71309236960474</v>
      </c>
      <c r="W15" s="152">
        <f t="shared" si="8"/>
        <v>119.20020716595252</v>
      </c>
      <c r="X15" s="152">
        <f t="shared" si="5"/>
        <v>406.99098056859071</v>
      </c>
      <c r="AB15" s="149">
        <f t="shared" ca="1" si="9"/>
        <v>961.50652390014534</v>
      </c>
      <c r="AF15" s="149">
        <f t="shared" ca="1" si="10"/>
        <v>600.16649563228032</v>
      </c>
      <c r="AG15" s="149">
        <f ca="1"/>
        <v>139</v>
      </c>
      <c r="AH15" s="149">
        <f t="shared" ca="1" si="11"/>
        <v>0.10168251645940014</v>
      </c>
      <c r="AI15" s="149">
        <f ca="1">SUM($AH$9:AH15)</f>
        <v>0.60570592538405277</v>
      </c>
    </row>
    <row r="16" spans="1:35" x14ac:dyDescent="0.2">
      <c r="A16" s="149">
        <v>130</v>
      </c>
      <c r="B16" s="149">
        <v>352</v>
      </c>
      <c r="C16" s="153">
        <f t="shared" si="0"/>
        <v>2.2261573488489755E-2</v>
      </c>
      <c r="D16" s="153">
        <f>SUM($C$3:C16)</f>
        <v>0.95427523399949421</v>
      </c>
      <c r="E16" s="153">
        <f t="shared" si="6"/>
        <v>4.0415321930462711E-2</v>
      </c>
      <c r="F16" s="153">
        <f t="shared" si="1"/>
        <v>0.93611146554822222</v>
      </c>
      <c r="G16" s="153">
        <f t="shared" si="7"/>
        <v>3.8585146518667068E-2</v>
      </c>
      <c r="H16" s="153">
        <f t="shared" si="2"/>
        <v>0.91327743551904872</v>
      </c>
      <c r="Q16" s="155"/>
      <c r="T16" s="156"/>
      <c r="U16" s="157">
        <f t="shared" si="3"/>
        <v>639.00665504254596</v>
      </c>
      <c r="V16" s="152">
        <f t="shared" si="4"/>
        <v>610.06975160664501</v>
      </c>
      <c r="W16" s="152">
        <f t="shared" si="8"/>
        <v>128.90760900326848</v>
      </c>
      <c r="X16" s="152">
        <f t="shared" si="5"/>
        <v>187.05594059857017</v>
      </c>
      <c r="AB16" s="149">
        <f t="shared" ca="1" si="9"/>
        <v>587.54229420774709</v>
      </c>
      <c r="AF16" s="149">
        <f t="shared" ca="1" si="10"/>
        <v>700.11955515220245</v>
      </c>
      <c r="AG16" s="149">
        <f ca="1"/>
        <v>143</v>
      </c>
      <c r="AH16" s="149">
        <f t="shared" ca="1" si="11"/>
        <v>0.10460863204096561</v>
      </c>
      <c r="AI16" s="149">
        <f ca="1">SUM($AH$9:AH16)</f>
        <v>0.71031455742501837</v>
      </c>
    </row>
    <row r="17" spans="1:35" x14ac:dyDescent="0.2">
      <c r="A17" s="149">
        <v>140</v>
      </c>
      <c r="B17" s="149">
        <v>231</v>
      </c>
      <c r="C17" s="153">
        <f t="shared" si="0"/>
        <v>1.4609157601821401E-2</v>
      </c>
      <c r="D17" s="153">
        <f>SUM($C$3:C17)</f>
        <v>0.96888439160131556</v>
      </c>
      <c r="E17" s="153">
        <f t="shared" si="6"/>
        <v>2.6499903821549653E-2</v>
      </c>
      <c r="F17" s="153">
        <f t="shared" si="1"/>
        <v>0.96261136936977187</v>
      </c>
      <c r="G17" s="153">
        <f t="shared" si="7"/>
        <v>2.8321544269484633E-2</v>
      </c>
      <c r="H17" s="153">
        <f t="shared" si="2"/>
        <v>0.94159897978853335</v>
      </c>
      <c r="Q17" s="155"/>
      <c r="T17" s="156"/>
      <c r="U17" s="157">
        <f t="shared" si="3"/>
        <v>418.98997932252155</v>
      </c>
      <c r="V17" s="152">
        <f t="shared" si="4"/>
        <v>447.79193644482154</v>
      </c>
      <c r="W17" s="152">
        <f t="shared" si="8"/>
        <v>84.346247093605541</v>
      </c>
      <c r="X17" s="152">
        <f t="shared" si="5"/>
        <v>108.66271293890182</v>
      </c>
      <c r="AB17" s="149">
        <f t="shared" ca="1" si="9"/>
        <v>337.99214624119725</v>
      </c>
      <c r="AF17" s="149">
        <f t="shared" ca="1" si="10"/>
        <v>800.07261467212459</v>
      </c>
      <c r="AG17" s="149">
        <f ca="1"/>
        <v>108</v>
      </c>
      <c r="AH17" s="149">
        <f t="shared" ca="1" si="11"/>
        <v>7.9005120702267742E-2</v>
      </c>
      <c r="AI17" s="149">
        <f ca="1">SUM($AH$9:AH17)</f>
        <v>0.7893196781272861</v>
      </c>
    </row>
    <row r="18" spans="1:35" x14ac:dyDescent="0.2">
      <c r="A18" s="149">
        <v>150</v>
      </c>
      <c r="B18" s="149">
        <v>156</v>
      </c>
      <c r="C18" s="153">
        <f t="shared" si="0"/>
        <v>9.8659246142170504E-3</v>
      </c>
      <c r="D18" s="153">
        <f>SUM($C$3:C18)</f>
        <v>0.97875031621553266</v>
      </c>
      <c r="E18" s="153">
        <f t="shared" si="6"/>
        <v>1.6488419339867666E-2</v>
      </c>
      <c r="F18" s="153">
        <f t="shared" si="1"/>
        <v>0.97909978870963954</v>
      </c>
      <c r="G18" s="153">
        <f t="shared" si="7"/>
        <v>2.0148352455103491E-2</v>
      </c>
      <c r="H18" s="153">
        <f t="shared" si="2"/>
        <v>0.96174733224363684</v>
      </c>
      <c r="Q18" s="155"/>
      <c r="T18" s="156"/>
      <c r="U18" s="157">
        <f t="shared" si="3"/>
        <v>260.69839818264768</v>
      </c>
      <c r="V18" s="152">
        <f t="shared" si="4"/>
        <v>318.56560066764132</v>
      </c>
      <c r="W18" s="152">
        <f t="shared" si="8"/>
        <v>42.047648387668026</v>
      </c>
      <c r="X18" s="152">
        <f t="shared" si="5"/>
        <v>69.308905701805315</v>
      </c>
      <c r="AB18" s="149">
        <f t="shared" ca="1" si="9"/>
        <v>625.54842304813076</v>
      </c>
      <c r="AF18" s="149">
        <f t="shared" ca="1" si="10"/>
        <v>900.02567419204672</v>
      </c>
      <c r="AG18" s="149">
        <f ca="1"/>
        <v>130</v>
      </c>
      <c r="AH18" s="149">
        <f t="shared" ca="1" si="11"/>
        <v>9.5098756400877837E-2</v>
      </c>
      <c r="AI18" s="149">
        <f ca="1">SUM($AH$9:AH18)</f>
        <v>0.88441843452816393</v>
      </c>
    </row>
    <row r="19" spans="1:35" x14ac:dyDescent="0.2">
      <c r="A19" s="149">
        <v>160</v>
      </c>
      <c r="B19" s="149">
        <v>86</v>
      </c>
      <c r="C19" s="153">
        <f t="shared" si="0"/>
        <v>5.4389071591196556E-3</v>
      </c>
      <c r="D19" s="153">
        <f>SUM($C$3:C19)</f>
        <v>0.98418922337465231</v>
      </c>
      <c r="E19" s="153">
        <f t="shared" si="6"/>
        <v>9.7480762798365372E-3</v>
      </c>
      <c r="F19" s="153">
        <f t="shared" si="1"/>
        <v>0.98884786498947608</v>
      </c>
      <c r="G19" s="153">
        <f t="shared" si="7"/>
        <v>1.3899613704591141E-2</v>
      </c>
      <c r="H19" s="153">
        <f t="shared" si="2"/>
        <v>0.97564694594822798</v>
      </c>
      <c r="Q19" s="155"/>
      <c r="T19" s="156"/>
      <c r="U19" s="157">
        <f t="shared" si="3"/>
        <v>154.1268340604955</v>
      </c>
      <c r="V19" s="152">
        <f t="shared" si="4"/>
        <v>219.76679228329053</v>
      </c>
      <c r="W19" s="152">
        <f t="shared" si="8"/>
        <v>30.113286549988896</v>
      </c>
      <c r="X19" s="152">
        <f t="shared" si="5"/>
        <v>29.772713193853061</v>
      </c>
      <c r="AB19" s="149">
        <f t="shared" ca="1" si="9"/>
        <v>418.93225719103424</v>
      </c>
      <c r="AF19" s="149">
        <f t="shared" ca="1" si="10"/>
        <v>999.97873371196886</v>
      </c>
      <c r="AG19" s="149">
        <f ca="1"/>
        <v>158</v>
      </c>
      <c r="AH19" s="149">
        <f t="shared" ca="1" si="11"/>
        <v>0.11558156547183614</v>
      </c>
      <c r="AI19" s="149">
        <f ca="1">SUM($AH$9:AH19)</f>
        <v>1</v>
      </c>
    </row>
    <row r="20" spans="1:35" x14ac:dyDescent="0.2">
      <c r="A20" s="149">
        <v>170</v>
      </c>
      <c r="B20" s="149">
        <v>74</v>
      </c>
      <c r="C20" s="153">
        <f t="shared" si="0"/>
        <v>4.6799898811029595E-3</v>
      </c>
      <c r="D20" s="153">
        <f>SUM($C$3:C20)</f>
        <v>0.98886921325575527</v>
      </c>
      <c r="E20" s="153">
        <f t="shared" si="6"/>
        <v>5.478497582650288E-3</v>
      </c>
      <c r="F20" s="153">
        <f t="shared" si="1"/>
        <v>0.99432636257212637</v>
      </c>
      <c r="G20" s="153">
        <f t="shared" si="7"/>
        <v>9.2984155338362573E-3</v>
      </c>
      <c r="H20" s="153">
        <f t="shared" si="2"/>
        <v>0.98494536148206424</v>
      </c>
      <c r="Q20" s="155"/>
      <c r="T20" s="156"/>
      <c r="U20" s="157">
        <f t="shared" si="3"/>
        <v>86.620525279283697</v>
      </c>
      <c r="V20" s="152">
        <f t="shared" si="4"/>
        <v>147.01724800548507</v>
      </c>
      <c r="W20" s="152">
        <f t="shared" si="8"/>
        <v>1.8387981117811572</v>
      </c>
      <c r="X20" s="152">
        <f t="shared" si="5"/>
        <v>33.884981622377651</v>
      </c>
      <c r="AB20" s="149">
        <f t="shared" ca="1" si="9"/>
        <v>175.60072446355591</v>
      </c>
    </row>
    <row r="21" spans="1:35" x14ac:dyDescent="0.2">
      <c r="A21" s="149">
        <v>180</v>
      </c>
      <c r="B21" s="149">
        <v>56</v>
      </c>
      <c r="C21" s="153">
        <f t="shared" si="0"/>
        <v>3.5416139640779155E-3</v>
      </c>
      <c r="D21" s="153">
        <f>SUM($C$3:C21)</f>
        <v>0.9924108272198332</v>
      </c>
      <c r="E21" s="153">
        <f t="shared" si="6"/>
        <v>2.9260432411131188E-3</v>
      </c>
      <c r="F21" s="153">
        <f t="shared" si="1"/>
        <v>0.99725240581323948</v>
      </c>
      <c r="G21" s="153">
        <f t="shared" si="7"/>
        <v>6.0293793890003888E-3</v>
      </c>
      <c r="H21" s="153">
        <f t="shared" si="2"/>
        <v>0.99097474087106463</v>
      </c>
      <c r="Q21" s="155"/>
      <c r="T21" s="156"/>
      <c r="U21" s="157">
        <f t="shared" si="3"/>
        <v>46.26366968523952</v>
      </c>
      <c r="V21" s="152">
        <f t="shared" si="4"/>
        <v>95.330517519485142</v>
      </c>
      <c r="W21" s="152">
        <f t="shared" si="8"/>
        <v>2.0490403948299138</v>
      </c>
      <c r="X21" s="152">
        <f t="shared" si="5"/>
        <v>30.342983246164877</v>
      </c>
      <c r="AB21" s="149">
        <f t="shared" ca="1" si="9"/>
        <v>529.66929259694484</v>
      </c>
    </row>
    <row r="22" spans="1:35" x14ac:dyDescent="0.2">
      <c r="A22" s="149">
        <v>190</v>
      </c>
      <c r="B22" s="149">
        <v>37</v>
      </c>
      <c r="C22" s="153">
        <f t="shared" si="0"/>
        <v>2.3399949405514798E-3</v>
      </c>
      <c r="D22" s="153">
        <f>SUM($C$3:C22)</f>
        <v>0.99475082216038468</v>
      </c>
      <c r="E22" s="153">
        <f t="shared" si="6"/>
        <v>1.4837276540273781E-3</v>
      </c>
      <c r="F22" s="153">
        <f t="shared" si="1"/>
        <v>0.99873613346726686</v>
      </c>
      <c r="G22" s="153">
        <f t="shared" si="7"/>
        <v>3.7864532515975435E-3</v>
      </c>
      <c r="H22" s="153">
        <f t="shared" si="2"/>
        <v>0.99476119412266217</v>
      </c>
      <c r="Q22" s="155"/>
      <c r="T22" s="156"/>
      <c r="U22" s="157">
        <f t="shared" si="3"/>
        <v>23.459217937826875</v>
      </c>
      <c r="V22" s="152">
        <f t="shared" si="4"/>
        <v>59.86761236100876</v>
      </c>
      <c r="W22" s="152">
        <f t="shared" si="8"/>
        <v>7.8158095185100711</v>
      </c>
      <c r="X22" s="152">
        <f t="shared" si="5"/>
        <v>21.178570212505065</v>
      </c>
      <c r="AB22" s="149">
        <f t="shared" ca="1" si="9"/>
        <v>230.89066929756251</v>
      </c>
    </row>
    <row r="23" spans="1:35" x14ac:dyDescent="0.2">
      <c r="A23" s="149">
        <v>200</v>
      </c>
      <c r="B23" s="149">
        <v>18</v>
      </c>
      <c r="C23" s="153">
        <f t="shared" si="0"/>
        <v>1.1383759170250443E-3</v>
      </c>
      <c r="D23" s="153">
        <f>SUM($C$3:C23)</f>
        <v>0.99588919807740972</v>
      </c>
      <c r="E23" s="153">
        <f t="shared" si="6"/>
        <v>7.1313774671410979E-4</v>
      </c>
      <c r="F23" s="153">
        <f t="shared" si="1"/>
        <v>0.99944927121398097</v>
      </c>
      <c r="G23" s="153">
        <f t="shared" si="7"/>
        <v>2.3001464771550406E-3</v>
      </c>
      <c r="H23" s="153">
        <f t="shared" si="2"/>
        <v>0.99706134059981721</v>
      </c>
      <c r="O23" s="157"/>
      <c r="P23" s="157"/>
      <c r="Q23" s="155"/>
      <c r="T23" s="156"/>
      <c r="U23" s="157">
        <f t="shared" si="3"/>
        <v>11.27542091329679</v>
      </c>
      <c r="V23" s="152">
        <f t="shared" si="4"/>
        <v>36.367615950298344</v>
      </c>
      <c r="W23" s="152">
        <f t="shared" si="8"/>
        <v>4.0104900953187066</v>
      </c>
      <c r="X23" s="152">
        <f t="shared" si="5"/>
        <v>8.0914845087234237</v>
      </c>
      <c r="AB23" s="149">
        <f t="shared" ca="1" si="9"/>
        <v>137.82874661810985</v>
      </c>
    </row>
    <row r="24" spans="1:35" x14ac:dyDescent="0.2">
      <c r="A24" s="149">
        <v>210</v>
      </c>
      <c r="B24" s="149">
        <v>8</v>
      </c>
      <c r="C24" s="153">
        <f t="shared" si="0"/>
        <v>5.0594485201113073E-4</v>
      </c>
      <c r="D24" s="153">
        <f>SUM($C$3:C24)</f>
        <v>0.99639514292942089</v>
      </c>
      <c r="E24" s="153">
        <f t="shared" si="6"/>
        <v>3.2414639466338269E-4</v>
      </c>
      <c r="F24" s="153">
        <f t="shared" si="1"/>
        <v>0.99977341760864435</v>
      </c>
      <c r="G24" s="153">
        <f t="shared" si="7"/>
        <v>1.3493691518196016E-3</v>
      </c>
      <c r="H24" s="153">
        <f t="shared" si="2"/>
        <v>0.99841070975163682</v>
      </c>
      <c r="Q24" s="155"/>
      <c r="T24" s="156"/>
      <c r="U24" s="157">
        <f t="shared" si="3"/>
        <v>5.125078646022744</v>
      </c>
      <c r="V24" s="152">
        <f t="shared" si="4"/>
        <v>21.334875659419723</v>
      </c>
      <c r="W24" s="152">
        <f t="shared" si="8"/>
        <v>1.6126918945855604</v>
      </c>
      <c r="X24" s="152">
        <f t="shared" si="5"/>
        <v>2.6392287051211554</v>
      </c>
      <c r="AB24" s="149">
        <f t="shared" ca="1" si="9"/>
        <v>697.66006471908452</v>
      </c>
    </row>
    <row r="25" spans="1:35" x14ac:dyDescent="0.2">
      <c r="A25" s="149">
        <v>220</v>
      </c>
      <c r="B25" s="149">
        <v>11</v>
      </c>
      <c r="C25" s="153">
        <f t="shared" si="0"/>
        <v>6.9567417151530486E-4</v>
      </c>
      <c r="D25" s="153">
        <f>SUM($C$3:C25)</f>
        <v>0.99709081710093617</v>
      </c>
      <c r="E25" s="153">
        <f t="shared" si="6"/>
        <v>1.3891711910396509E-4</v>
      </c>
      <c r="F25" s="153">
        <f t="shared" si="1"/>
        <v>0.99991233472774832</v>
      </c>
      <c r="G25" s="153">
        <f t="shared" si="7"/>
        <v>7.6288376204614039E-4</v>
      </c>
      <c r="H25" s="153">
        <f t="shared" si="2"/>
        <v>0.99917359351368296</v>
      </c>
      <c r="J25" s="158"/>
      <c r="K25" s="158"/>
      <c r="P25" s="163"/>
      <c r="Q25" s="155"/>
      <c r="T25" s="156"/>
      <c r="U25" s="157">
        <f t="shared" si="3"/>
        <v>2.1964185701527921</v>
      </c>
      <c r="V25" s="152">
        <f t="shared" si="4"/>
        <v>12.061955161711525</v>
      </c>
      <c r="W25" s="152">
        <f t="shared" si="8"/>
        <v>35.286100311271355</v>
      </c>
      <c r="X25" s="152">
        <f t="shared" si="5"/>
        <v>9.526436781965792</v>
      </c>
      <c r="AB25" s="149">
        <f t="shared" ca="1" si="9"/>
        <v>927.63919724228401</v>
      </c>
    </row>
    <row r="26" spans="1:35" x14ac:dyDescent="0.2">
      <c r="A26" s="149">
        <v>230</v>
      </c>
      <c r="B26" s="149">
        <v>6</v>
      </c>
      <c r="C26" s="153">
        <f t="shared" si="0"/>
        <v>3.7945863900834808E-4</v>
      </c>
      <c r="D26" s="153">
        <f>SUM($C$3:C26)</f>
        <v>0.99747027573994451</v>
      </c>
      <c r="E26" s="153">
        <f t="shared" si="6"/>
        <v>5.5921945256498518E-5</v>
      </c>
      <c r="F26" s="153">
        <f t="shared" si="1"/>
        <v>0.99996825667300482</v>
      </c>
      <c r="G26" s="153">
        <f t="shared" si="7"/>
        <v>4.1459885919281625E-4</v>
      </c>
      <c r="H26" s="153">
        <f t="shared" si="2"/>
        <v>0.99958819237287577</v>
      </c>
      <c r="J26" s="158"/>
      <c r="K26" s="158"/>
      <c r="Q26" s="155"/>
      <c r="T26" s="156"/>
      <c r="U26" s="157">
        <f t="shared" si="3"/>
        <v>0.88418187645049806</v>
      </c>
      <c r="V26" s="152">
        <f t="shared" si="4"/>
        <v>6.5552225626976179</v>
      </c>
      <c r="W26" s="152">
        <f t="shared" si="8"/>
        <v>26.171595073237551</v>
      </c>
      <c r="X26" s="152">
        <f t="shared" si="5"/>
        <v>5.2162798952650995</v>
      </c>
      <c r="AB26" s="149">
        <f t="shared" ca="1" si="9"/>
        <v>537.13496996630261</v>
      </c>
    </row>
    <row r="27" spans="1:35" x14ac:dyDescent="0.2">
      <c r="A27" s="149">
        <v>240</v>
      </c>
      <c r="B27" s="149">
        <v>5</v>
      </c>
      <c r="C27" s="153">
        <f t="shared" si="0"/>
        <v>3.1621553250695672E-4</v>
      </c>
      <c r="D27" s="153">
        <f>SUM($C$3:C27)</f>
        <v>0.99778649127245145</v>
      </c>
      <c r="E27" s="153">
        <f t="shared" si="6"/>
        <v>2.1047937956986118E-5</v>
      </c>
      <c r="F27" s="153">
        <f t="shared" si="1"/>
        <v>0.9999893046109618</v>
      </c>
      <c r="G27" s="153">
        <f t="shared" si="7"/>
        <v>2.1591856236069518E-4</v>
      </c>
      <c r="H27" s="153">
        <f t="shared" si="2"/>
        <v>0.99980411093523647</v>
      </c>
      <c r="J27" s="158"/>
      <c r="K27" s="158"/>
      <c r="Q27" s="155"/>
      <c r="T27" s="156"/>
      <c r="U27" s="157">
        <f t="shared" si="3"/>
        <v>0.33278894703790751</v>
      </c>
      <c r="V27" s="152">
        <f t="shared" si="4"/>
        <v>3.4138883894849514</v>
      </c>
      <c r="W27" s="152">
        <f t="shared" si="8"/>
        <v>21.782859012891524</v>
      </c>
      <c r="X27" s="152">
        <f t="shared" si="5"/>
        <v>7.0923161259182717</v>
      </c>
      <c r="AB27" s="149">
        <f t="shared" ca="1" si="9"/>
        <v>826.2646625560343</v>
      </c>
    </row>
    <row r="28" spans="1:35" x14ac:dyDescent="0.2">
      <c r="A28" s="149">
        <v>250</v>
      </c>
      <c r="B28" s="149">
        <v>5</v>
      </c>
      <c r="C28" s="153">
        <f t="shared" si="0"/>
        <v>3.1621553250695672E-4</v>
      </c>
      <c r="D28" s="153">
        <f>SUM($C$3:C28)</f>
        <v>0.99810270680495838</v>
      </c>
      <c r="E28" s="153">
        <f t="shared" si="6"/>
        <v>7.3652881090735534E-6</v>
      </c>
      <c r="F28" s="153">
        <f t="shared" si="1"/>
        <v>0.99999666989907088</v>
      </c>
      <c r="G28" s="153">
        <f t="shared" si="7"/>
        <v>1.0735277299200874E-4</v>
      </c>
      <c r="H28" s="153">
        <f t="shared" si="2"/>
        <v>0.99991146370822848</v>
      </c>
      <c r="J28" s="158"/>
      <c r="K28" s="158"/>
      <c r="Q28" s="155"/>
      <c r="T28" s="156"/>
      <c r="U28" s="157">
        <f t="shared" si="3"/>
        <v>0.11645257029256195</v>
      </c>
      <c r="V28" s="152">
        <f t="shared" si="4"/>
        <v>1.6973546937766502</v>
      </c>
      <c r="W28" s="152">
        <f t="shared" si="8"/>
        <v>23.84903549820212</v>
      </c>
      <c r="X28" s="152">
        <f t="shared" si="5"/>
        <v>14.497161133761603</v>
      </c>
      <c r="AB28" s="149">
        <f t="shared" ca="1" si="9"/>
        <v>692.50584970697946</v>
      </c>
    </row>
    <row r="29" spans="1:35" x14ac:dyDescent="0.2">
      <c r="A29" s="149">
        <v>260</v>
      </c>
      <c r="B29" s="149">
        <v>3</v>
      </c>
      <c r="C29" s="153">
        <f t="shared" si="0"/>
        <v>1.8972931950417404E-4</v>
      </c>
      <c r="D29" s="153">
        <f>SUM($C$3:C29)</f>
        <v>0.99829243612446261</v>
      </c>
      <c r="E29" s="153">
        <f t="shared" si="6"/>
        <v>2.3798845868450158E-6</v>
      </c>
      <c r="F29" s="153">
        <f t="shared" si="1"/>
        <v>0.99999904978365772</v>
      </c>
      <c r="G29" s="153">
        <f t="shared" si="7"/>
        <v>5.0726077032714478E-5</v>
      </c>
      <c r="H29" s="153">
        <f t="shared" si="2"/>
        <v>0.99996218978526119</v>
      </c>
      <c r="J29" s="158"/>
      <c r="K29" s="158"/>
      <c r="Q29" s="155"/>
      <c r="T29" s="156"/>
      <c r="U29" s="157">
        <f t="shared" si="3"/>
        <v>3.7628355202606545E-2</v>
      </c>
      <c r="V29" s="152">
        <f t="shared" si="4"/>
        <v>0.80203000396424862</v>
      </c>
      <c r="W29" s="152">
        <f t="shared" si="8"/>
        <v>8.7756457618996144</v>
      </c>
      <c r="X29" s="152">
        <f t="shared" si="5"/>
        <v>8.8884367285583998</v>
      </c>
      <c r="AB29" s="149">
        <f t="shared" ca="1" si="9"/>
        <v>426.4006279894075</v>
      </c>
    </row>
    <row r="30" spans="1:35" x14ac:dyDescent="0.2">
      <c r="A30" s="149">
        <v>270</v>
      </c>
      <c r="B30" s="149">
        <v>2</v>
      </c>
      <c r="C30" s="153">
        <f t="shared" si="0"/>
        <v>1.2648621300278268E-4</v>
      </c>
      <c r="D30" s="153">
        <f>SUM($C$3:C30)</f>
        <v>0.99841892233746543</v>
      </c>
      <c r="E30" s="153">
        <f t="shared" si="6"/>
        <v>7.0422439057971076E-7</v>
      </c>
      <c r="F30" s="153">
        <f t="shared" si="1"/>
        <v>0.9999997540080483</v>
      </c>
      <c r="G30" s="153">
        <f t="shared" si="7"/>
        <v>2.2655165375362607E-5</v>
      </c>
      <c r="H30" s="153">
        <f t="shared" si="2"/>
        <v>0.99998484495063655</v>
      </c>
      <c r="J30" s="158"/>
      <c r="K30" s="158"/>
      <c r="Q30" s="155"/>
      <c r="T30" s="156"/>
      <c r="U30" s="157">
        <f t="shared" si="3"/>
        <v>1.1134491839455807E-2</v>
      </c>
      <c r="V30" s="152">
        <f t="shared" si="4"/>
        <v>0.35820081974985818</v>
      </c>
      <c r="W30" s="152">
        <f t="shared" si="8"/>
        <v>3.9555860095506996</v>
      </c>
      <c r="X30" s="152">
        <f t="shared" si="5"/>
        <v>3.9667483866037281</v>
      </c>
      <c r="AB30" s="149">
        <f t="shared" ca="1" si="9"/>
        <v>880.78227457776893</v>
      </c>
    </row>
    <row r="31" spans="1:35" x14ac:dyDescent="0.2">
      <c r="A31" s="149">
        <v>280</v>
      </c>
      <c r="B31" s="149">
        <v>3</v>
      </c>
      <c r="C31" s="153">
        <f t="shared" si="0"/>
        <v>1.8972931950417404E-4</v>
      </c>
      <c r="D31" s="153">
        <f>SUM($C$3:C31)</f>
        <v>0.99860865165696966</v>
      </c>
      <c r="E31" s="153">
        <f t="shared" si="6"/>
        <v>1.8892018682770129E-7</v>
      </c>
      <c r="F31" s="153">
        <f t="shared" si="1"/>
        <v>0.99999994292823513</v>
      </c>
      <c r="G31" s="153">
        <f t="shared" si="7"/>
        <v>9.5002343669658984E-6</v>
      </c>
      <c r="H31" s="153">
        <f t="shared" si="2"/>
        <v>0.99999434518500352</v>
      </c>
      <c r="J31" s="158"/>
      <c r="K31" s="158"/>
      <c r="Q31" s="155"/>
      <c r="T31" s="156"/>
      <c r="U31" s="162">
        <f t="shared" si="3"/>
        <v>2.987017073932785E-3</v>
      </c>
      <c r="V31" s="152">
        <f t="shared" si="4"/>
        <v>0.15020820557609782</v>
      </c>
      <c r="W31" s="152">
        <f t="shared" si="8"/>
        <v>8.9820868198274049</v>
      </c>
      <c r="X31" s="152">
        <f t="shared" si="5"/>
        <v>8.9790529180456407</v>
      </c>
      <c r="AB31" s="149">
        <f t="shared" ca="1" si="9"/>
        <v>462.34532928799689</v>
      </c>
    </row>
    <row r="32" spans="1:35" x14ac:dyDescent="0.2">
      <c r="A32" s="149">
        <v>290</v>
      </c>
      <c r="B32" s="149">
        <v>1</v>
      </c>
      <c r="C32" s="153">
        <f t="shared" si="0"/>
        <v>6.3243106501391342E-5</v>
      </c>
      <c r="D32" s="153">
        <f>SUM($C$3:C32)</f>
        <v>0.99867189476347107</v>
      </c>
      <c r="E32" s="153">
        <f t="shared" si="6"/>
        <v>4.5383387381470186E-8</v>
      </c>
      <c r="F32" s="153">
        <f t="shared" si="1"/>
        <v>0.99999998831162251</v>
      </c>
      <c r="G32" s="153">
        <f t="shared" si="7"/>
        <v>3.7102181960069203E-6</v>
      </c>
      <c r="H32" s="153">
        <f t="shared" si="2"/>
        <v>0.99999805540319953</v>
      </c>
      <c r="J32" s="158"/>
      <c r="K32" s="158"/>
      <c r="Q32" s="155"/>
      <c r="T32" s="156"/>
      <c r="U32" s="162">
        <f t="shared" si="3"/>
        <v>7.1755673788842511E-4</v>
      </c>
      <c r="V32" s="152">
        <f t="shared" si="4"/>
        <v>5.8662259897065416E-2</v>
      </c>
      <c r="W32" s="152">
        <f t="shared" si="8"/>
        <v>0.9985654014118952</v>
      </c>
      <c r="X32" s="152">
        <f t="shared" si="5"/>
        <v>0.99727338394244924</v>
      </c>
      <c r="AB32" s="149">
        <f t="shared" ca="1" si="9"/>
        <v>840.65900261357297</v>
      </c>
    </row>
    <row r="33" spans="1:28" x14ac:dyDescent="0.2">
      <c r="A33" s="149">
        <v>300</v>
      </c>
      <c r="B33" s="149">
        <v>5</v>
      </c>
      <c r="C33" s="153">
        <f t="shared" si="0"/>
        <v>3.1621553250695672E-4</v>
      </c>
      <c r="D33" s="153">
        <f>SUM($C$3:C33)</f>
        <v>0.998988110295978</v>
      </c>
      <c r="E33" s="153">
        <f t="shared" si="6"/>
        <v>9.6147937389545746E-9</v>
      </c>
      <c r="F33" s="153">
        <f t="shared" si="1"/>
        <v>0.99999999792641625</v>
      </c>
      <c r="G33" s="153">
        <f t="shared" si="7"/>
        <v>1.3359647750288417E-6</v>
      </c>
      <c r="H33" s="153">
        <f t="shared" si="2"/>
        <v>0.99999939136797455</v>
      </c>
      <c r="J33" s="158"/>
      <c r="K33" s="158"/>
      <c r="P33" s="164"/>
      <c r="Q33" s="155"/>
      <c r="T33" s="156"/>
      <c r="U33" s="162">
        <f t="shared" si="3"/>
        <v>1.5201950380661078E-4</v>
      </c>
      <c r="V33" s="152">
        <f t="shared" si="4"/>
        <v>2.1122939057981016E-2</v>
      </c>
      <c r="W33" s="152">
        <f t="shared" si="8"/>
        <v>24.998479828071865</v>
      </c>
      <c r="X33" s="152">
        <f t="shared" si="5"/>
        <v>24.995087929899199</v>
      </c>
      <c r="AB33" s="149">
        <f t="shared" ca="1" si="9"/>
        <v>652.72260630749622</v>
      </c>
    </row>
    <row r="34" spans="1:28" x14ac:dyDescent="0.2">
      <c r="A34" s="149">
        <v>310</v>
      </c>
      <c r="B34" s="149">
        <v>3</v>
      </c>
      <c r="C34" s="153">
        <f t="shared" si="0"/>
        <v>1.8972931950417404E-4</v>
      </c>
      <c r="D34" s="153">
        <f>SUM($C$3:C34)</f>
        <v>0.99917783961548223</v>
      </c>
      <c r="E34" s="153">
        <f t="shared" si="6"/>
        <v>1.7624588455333878E-9</v>
      </c>
      <c r="F34" s="153">
        <f t="shared" si="1"/>
        <v>0.9999999996888751</v>
      </c>
      <c r="G34" s="153">
        <f t="shared" si="7"/>
        <v>4.3797922710808734E-7</v>
      </c>
      <c r="H34" s="153">
        <f t="shared" si="2"/>
        <v>0.99999982934720166</v>
      </c>
      <c r="J34" s="158"/>
      <c r="K34" s="158"/>
      <c r="P34" s="157"/>
      <c r="Q34" s="155"/>
      <c r="T34" s="156"/>
      <c r="U34" s="162">
        <f t="shared" si="3"/>
        <v>2.7866236806728395E-5</v>
      </c>
      <c r="V34" s="152">
        <f t="shared" si="4"/>
        <v>6.924889559805969E-3</v>
      </c>
      <c r="W34" s="152">
        <f t="shared" si="8"/>
        <v>8.9998328033556856</v>
      </c>
      <c r="X34" s="152">
        <f t="shared" si="5"/>
        <v>8.9990337622756442</v>
      </c>
      <c r="AB34" s="149">
        <f t="shared" ca="1" si="9"/>
        <v>389.59399896757128</v>
      </c>
    </row>
    <row r="35" spans="1:28" x14ac:dyDescent="0.2">
      <c r="A35" s="149">
        <v>320</v>
      </c>
      <c r="B35" s="149">
        <v>1</v>
      </c>
      <c r="C35" s="153">
        <f t="shared" si="0"/>
        <v>6.3243106501391342E-5</v>
      </c>
      <c r="D35" s="153">
        <f>SUM($C$3:C35)</f>
        <v>0.99924108272198364</v>
      </c>
      <c r="E35" s="153">
        <f t="shared" si="6"/>
        <v>2.7284385861747751E-10</v>
      </c>
      <c r="F35" s="153">
        <f t="shared" si="1"/>
        <v>0.99999999996171895</v>
      </c>
      <c r="G35" s="153">
        <f t="shared" si="7"/>
        <v>1.2865458143274111E-7</v>
      </c>
      <c r="H35" s="153">
        <f t="shared" si="2"/>
        <v>0.9999999580017831</v>
      </c>
      <c r="J35" s="158"/>
      <c r="K35" s="158"/>
      <c r="Q35" s="155"/>
      <c r="T35" s="156"/>
      <c r="U35" s="162">
        <f t="shared" si="3"/>
        <v>4.3139342486009369E-6</v>
      </c>
      <c r="V35" s="152">
        <f t="shared" si="4"/>
        <v>2.0341575870330697E-3</v>
      </c>
      <c r="W35" s="152">
        <f t="shared" si="8"/>
        <v>0.9999913721501128</v>
      </c>
      <c r="X35" s="152">
        <f t="shared" si="5"/>
        <v>0.99990539025706437</v>
      </c>
      <c r="AB35" s="149">
        <f t="shared" ca="1" si="9"/>
        <v>634.90606582781675</v>
      </c>
    </row>
    <row r="36" spans="1:28" x14ac:dyDescent="0.2">
      <c r="A36" s="149">
        <v>330</v>
      </c>
      <c r="B36" s="149">
        <v>4</v>
      </c>
      <c r="C36" s="153">
        <f t="shared" si="0"/>
        <v>2.5297242600556537E-4</v>
      </c>
      <c r="D36" s="153">
        <f>SUM($C$3:C36)</f>
        <v>0.99949405514798917</v>
      </c>
      <c r="E36" s="153">
        <f t="shared" si="6"/>
        <v>3.4572900098339687E-11</v>
      </c>
      <c r="F36" s="153">
        <f t="shared" si="1"/>
        <v>0.99999999999629186</v>
      </c>
      <c r="G36" s="153">
        <f t="shared" si="7"/>
        <v>3.316744523473858E-8</v>
      </c>
      <c r="H36" s="153">
        <f t="shared" si="2"/>
        <v>0.99999999116922833</v>
      </c>
      <c r="J36" s="158"/>
      <c r="K36" s="158"/>
      <c r="P36" s="165"/>
      <c r="Q36" s="155"/>
      <c r="T36" s="156"/>
      <c r="U36" s="162">
        <f t="shared" si="3"/>
        <v>5.466321234548488E-7</v>
      </c>
      <c r="V36" s="152">
        <f t="shared" si="4"/>
        <v>5.2441047660645168E-4</v>
      </c>
      <c r="W36" s="152">
        <f t="shared" si="8"/>
        <v>15.99999562694331</v>
      </c>
      <c r="X36" s="152">
        <f t="shared" si="5"/>
        <v>15.999902435408901</v>
      </c>
      <c r="AB36" s="149">
        <f t="shared" ca="1" si="9"/>
        <v>450.58643891574445</v>
      </c>
    </row>
    <row r="37" spans="1:28" x14ac:dyDescent="0.2">
      <c r="A37" s="149">
        <v>340</v>
      </c>
      <c r="B37" s="149">
        <v>1</v>
      </c>
      <c r="C37" s="153">
        <f t="shared" si="0"/>
        <v>6.3243106501391342E-5</v>
      </c>
      <c r="D37" s="153">
        <f>SUM($C$3:C37)</f>
        <v>0.99955729825449058</v>
      </c>
      <c r="E37" s="153">
        <f t="shared" si="6"/>
        <v>3.4405811533133601E-12</v>
      </c>
      <c r="F37" s="153">
        <f t="shared" si="1"/>
        <v>0.99999999999973244</v>
      </c>
      <c r="G37" s="153">
        <f t="shared" si="7"/>
        <v>7.3013148860212596E-9</v>
      </c>
      <c r="H37" s="153">
        <f t="shared" si="2"/>
        <v>0.99999999847054322</v>
      </c>
      <c r="J37" s="158"/>
      <c r="K37" s="158"/>
      <c r="Q37" s="155"/>
      <c r="T37" s="156"/>
      <c r="U37" s="162">
        <f t="shared" si="3"/>
        <v>5.4399028615037537E-8</v>
      </c>
      <c r="V37" s="152">
        <f t="shared" si="4"/>
        <v>1.1544108966288213E-4</v>
      </c>
      <c r="W37" s="152">
        <f t="shared" si="8"/>
        <v>0.99999989120194577</v>
      </c>
      <c r="X37" s="152">
        <f t="shared" si="5"/>
        <v>0.99999463065419991</v>
      </c>
      <c r="AB37" s="149">
        <f t="shared" ca="1" si="9"/>
        <v>732.26877227629404</v>
      </c>
    </row>
    <row r="38" spans="1:28" x14ac:dyDescent="0.2">
      <c r="A38" s="149">
        <v>350</v>
      </c>
      <c r="B38" s="149">
        <v>0</v>
      </c>
      <c r="C38" s="153">
        <f t="shared" si="0"/>
        <v>0</v>
      </c>
      <c r="D38" s="153">
        <f>SUM($C$3:C38)</f>
        <v>0.99955729825449058</v>
      </c>
      <c r="E38" s="153">
        <f t="shared" si="6"/>
        <v>2.5424107263916085E-13</v>
      </c>
      <c r="F38" s="153">
        <f t="shared" si="1"/>
        <v>0.99999999999998668</v>
      </c>
      <c r="G38" s="153">
        <f t="shared" si="7"/>
        <v>1.3221753691894378E-9</v>
      </c>
      <c r="H38" s="153">
        <f t="shared" si="2"/>
        <v>0.99999999979271859</v>
      </c>
      <c r="J38" s="158"/>
      <c r="K38" s="158"/>
      <c r="Q38" s="155"/>
      <c r="T38" s="156"/>
      <c r="U38" s="162">
        <f t="shared" si="3"/>
        <v>4.0198055994977722E-9</v>
      </c>
      <c r="V38" s="152">
        <f t="shared" si="4"/>
        <v>2.0904914762254201E-5</v>
      </c>
      <c r="W38" s="152">
        <f t="shared" si="8"/>
        <v>1.6158837057753643E-17</v>
      </c>
      <c r="X38" s="152">
        <f t="shared" si="5"/>
        <v>2.3635233164797927E-13</v>
      </c>
      <c r="AB38" s="149">
        <f t="shared" ca="1" si="9"/>
        <v>753.72694752049165</v>
      </c>
    </row>
    <row r="39" spans="1:28" x14ac:dyDescent="0.2">
      <c r="A39" s="149">
        <v>360</v>
      </c>
      <c r="B39" s="149">
        <v>0</v>
      </c>
      <c r="C39" s="153">
        <f t="shared" si="0"/>
        <v>0</v>
      </c>
      <c r="D39" s="153">
        <f>SUM($C$3:C39)</f>
        <v>0.99955729825449058</v>
      </c>
      <c r="E39" s="153">
        <f t="shared" si="6"/>
        <v>1.2878587085651816E-14</v>
      </c>
      <c r="F39" s="153">
        <f t="shared" si="1"/>
        <v>0.99999999999999956</v>
      </c>
      <c r="G39" s="153">
        <f t="shared" si="7"/>
        <v>1.8689194636323236E-10</v>
      </c>
      <c r="H39" s="153">
        <f t="shared" si="2"/>
        <v>0.99999999997961053</v>
      </c>
      <c r="J39" s="158"/>
      <c r="K39" s="158"/>
      <c r="Q39" s="155"/>
      <c r="T39" s="156"/>
      <c r="U39" s="162">
        <f t="shared" si="3"/>
        <v>2.0362334041124086E-10</v>
      </c>
      <c r="V39" s="152">
        <f t="shared" si="4"/>
        <v>2.9549485639490669E-6</v>
      </c>
      <c r="W39" s="152">
        <f t="shared" si="8"/>
        <v>4.1462464760232075E-20</v>
      </c>
      <c r="X39" s="152">
        <f t="shared" si="5"/>
        <v>4.7224018472604936E-15</v>
      </c>
      <c r="AB39" s="149">
        <f t="shared" ca="1" si="9"/>
        <v>510.06295960480429</v>
      </c>
    </row>
    <row r="40" spans="1:28" x14ac:dyDescent="0.2">
      <c r="A40" s="149">
        <v>370</v>
      </c>
      <c r="B40" s="149">
        <v>1</v>
      </c>
      <c r="C40" s="153">
        <f t="shared" si="0"/>
        <v>6.3243106501391342E-5</v>
      </c>
      <c r="D40" s="153">
        <f>SUM($C$3:C40)</f>
        <v>0.99962054136099199</v>
      </c>
      <c r="E40" s="153">
        <f t="shared" si="6"/>
        <v>0</v>
      </c>
      <c r="F40" s="153">
        <f t="shared" si="1"/>
        <v>1</v>
      </c>
      <c r="G40" s="153">
        <f t="shared" si="7"/>
        <v>1.9094059666713292E-11</v>
      </c>
      <c r="H40" s="153">
        <f t="shared" si="2"/>
        <v>0.99999999999870459</v>
      </c>
      <c r="J40" s="158"/>
      <c r="K40" s="158"/>
      <c r="Q40" s="155"/>
      <c r="T40" s="156"/>
      <c r="U40" s="162">
        <f t="shared" si="3"/>
        <v>0</v>
      </c>
      <c r="V40" s="152">
        <f t="shared" si="4"/>
        <v>3.0189617739040386E-7</v>
      </c>
      <c r="W40" s="152">
        <f t="shared" si="8"/>
        <v>1</v>
      </c>
      <c r="X40" s="152">
        <f t="shared" si="5"/>
        <v>0.99999998595831729</v>
      </c>
      <c r="AB40" s="149">
        <f t="shared" ca="1" si="9"/>
        <v>542.84126229907156</v>
      </c>
    </row>
    <row r="41" spans="1:28" x14ac:dyDescent="0.2">
      <c r="A41" s="149">
        <v>380</v>
      </c>
      <c r="B41" s="149">
        <v>2</v>
      </c>
      <c r="C41" s="153">
        <f t="shared" si="0"/>
        <v>1.2648621300278268E-4</v>
      </c>
      <c r="D41" s="153">
        <f>SUM($C$3:C41)</f>
        <v>0.99974702757399481</v>
      </c>
      <c r="E41" s="153">
        <f t="shared" si="6"/>
        <v>0</v>
      </c>
      <c r="F41" s="153">
        <f t="shared" si="1"/>
        <v>1</v>
      </c>
      <c r="G41" s="153">
        <f t="shared" si="7"/>
        <v>1.2516654379624015E-12</v>
      </c>
      <c r="H41" s="153">
        <f t="shared" si="2"/>
        <v>0.99999999999995626</v>
      </c>
      <c r="J41" s="158"/>
      <c r="K41" s="158"/>
      <c r="Q41" s="155"/>
      <c r="T41" s="156"/>
      <c r="U41" s="162">
        <f t="shared" si="3"/>
        <v>0</v>
      </c>
      <c r="V41" s="152">
        <f t="shared" si="4"/>
        <v>1.979008223962353E-8</v>
      </c>
      <c r="W41" s="152">
        <f t="shared" si="8"/>
        <v>4</v>
      </c>
      <c r="X41" s="152">
        <f t="shared" si="5"/>
        <v>3.9999999981590619</v>
      </c>
      <c r="AB41" s="149">
        <f t="shared" ca="1" si="9"/>
        <v>627.10329884731493</v>
      </c>
    </row>
    <row r="42" spans="1:28" x14ac:dyDescent="0.2">
      <c r="A42" s="149">
        <v>390</v>
      </c>
      <c r="B42" s="149">
        <v>1</v>
      </c>
      <c r="C42" s="153">
        <f t="shared" si="0"/>
        <v>6.3243106501391342E-5</v>
      </c>
      <c r="D42" s="153">
        <f>SUM($C$3:C42)</f>
        <v>0.99981027068049622</v>
      </c>
      <c r="E42" s="153">
        <f t="shared" si="6"/>
        <v>0</v>
      </c>
      <c r="F42" s="153">
        <f t="shared" si="1"/>
        <v>1</v>
      </c>
      <c r="G42" s="153">
        <f t="shared" si="7"/>
        <v>4.3187675657918589E-14</v>
      </c>
      <c r="H42" s="153">
        <f t="shared" si="2"/>
        <v>0.99999999999999944</v>
      </c>
      <c r="J42" s="158"/>
      <c r="K42" s="158"/>
      <c r="Q42" s="155"/>
      <c r="T42" s="156"/>
      <c r="U42" s="162">
        <f t="shared" si="3"/>
        <v>0</v>
      </c>
      <c r="V42" s="152">
        <f t="shared" si="4"/>
        <v>6.8284033982735082E-10</v>
      </c>
      <c r="W42" s="152">
        <f t="shared" si="8"/>
        <v>1</v>
      </c>
      <c r="X42" s="152">
        <f t="shared" si="5"/>
        <v>0.99999999996824007</v>
      </c>
      <c r="AB42" s="149">
        <f t="shared" ca="1" si="9"/>
        <v>673.11185393986352</v>
      </c>
    </row>
    <row r="43" spans="1:28" x14ac:dyDescent="0.2">
      <c r="A43" s="149">
        <v>400</v>
      </c>
      <c r="B43" s="149">
        <v>1</v>
      </c>
      <c r="C43" s="153">
        <f t="shared" si="0"/>
        <v>6.3243106501391342E-5</v>
      </c>
      <c r="D43" s="153">
        <f>SUM($C$3:C43)</f>
        <v>0.99987351378699763</v>
      </c>
      <c r="E43" s="153">
        <f t="shared" si="6"/>
        <v>0</v>
      </c>
      <c r="F43" s="153">
        <f t="shared" si="1"/>
        <v>1</v>
      </c>
      <c r="G43" s="153">
        <f t="shared" si="7"/>
        <v>0</v>
      </c>
      <c r="H43" s="153">
        <f t="shared" si="2"/>
        <v>1</v>
      </c>
      <c r="J43" s="158"/>
      <c r="K43" s="158"/>
      <c r="Q43" s="155"/>
      <c r="T43" s="156"/>
      <c r="U43" s="162">
        <f t="shared" si="3"/>
        <v>0</v>
      </c>
      <c r="V43" s="152">
        <f t="shared" si="4"/>
        <v>0</v>
      </c>
      <c r="W43" s="152">
        <f t="shared" si="8"/>
        <v>1</v>
      </c>
      <c r="X43" s="152">
        <f t="shared" si="5"/>
        <v>1</v>
      </c>
      <c r="AB43" s="149">
        <f t="shared" ca="1" si="9"/>
        <v>757.57684847637665</v>
      </c>
    </row>
    <row r="44" spans="1:28" x14ac:dyDescent="0.2">
      <c r="A44" s="149">
        <v>410</v>
      </c>
      <c r="B44" s="149">
        <v>1</v>
      </c>
      <c r="C44" s="153">
        <f t="shared" si="0"/>
        <v>6.3243106501391342E-5</v>
      </c>
      <c r="D44" s="153">
        <f>SUM($C$3:C44)</f>
        <v>0.99993675689349903</v>
      </c>
      <c r="E44" s="153">
        <f t="shared" si="6"/>
        <v>0</v>
      </c>
      <c r="F44" s="153">
        <f t="shared" si="1"/>
        <v>1</v>
      </c>
      <c r="G44" s="153">
        <f t="shared" si="7"/>
        <v>0</v>
      </c>
      <c r="H44" s="153">
        <f t="shared" si="2"/>
        <v>1</v>
      </c>
      <c r="J44" s="158"/>
      <c r="K44" s="158"/>
      <c r="Q44" s="155"/>
      <c r="T44" s="156"/>
      <c r="U44" s="162">
        <f t="shared" si="3"/>
        <v>0</v>
      </c>
      <c r="V44" s="152">
        <f t="shared" si="4"/>
        <v>0</v>
      </c>
      <c r="W44" s="152">
        <f t="shared" si="8"/>
        <v>1</v>
      </c>
      <c r="X44" s="152">
        <f t="shared" si="5"/>
        <v>1</v>
      </c>
      <c r="AB44" s="149">
        <f t="shared" ca="1" si="9"/>
        <v>780.85454259014671</v>
      </c>
    </row>
    <row r="45" spans="1:28" x14ac:dyDescent="0.2">
      <c r="A45" s="149">
        <v>420</v>
      </c>
      <c r="B45" s="149">
        <v>1</v>
      </c>
      <c r="C45" s="153">
        <f t="shared" si="0"/>
        <v>6.3243106501391342E-5</v>
      </c>
      <c r="D45" s="153">
        <f>SUM($C$3:C45)</f>
        <v>1.0000000000000004</v>
      </c>
      <c r="E45" s="153">
        <f t="shared" si="6"/>
        <v>0</v>
      </c>
      <c r="F45" s="153">
        <f t="shared" si="1"/>
        <v>1</v>
      </c>
      <c r="G45" s="153">
        <f t="shared" si="7"/>
        <v>0</v>
      </c>
      <c r="H45" s="153">
        <f t="shared" si="2"/>
        <v>1</v>
      </c>
      <c r="J45" s="158"/>
      <c r="K45" s="158"/>
      <c r="Q45" s="155"/>
      <c r="T45" s="156"/>
      <c r="AB45" s="149">
        <f t="shared" ca="1" si="9"/>
        <v>209.36637038711038</v>
      </c>
    </row>
    <row r="46" spans="1:28" x14ac:dyDescent="0.2">
      <c r="AB46" s="149">
        <f t="shared" ca="1" si="9"/>
        <v>600.64861405561055</v>
      </c>
    </row>
    <row r="47" spans="1:28" x14ac:dyDescent="0.2">
      <c r="C47" s="158"/>
      <c r="Q47" s="155"/>
      <c r="T47" s="166"/>
      <c r="U47" s="166"/>
      <c r="AB47" s="149">
        <f t="shared" ca="1" si="9"/>
        <v>944.04186636110001</v>
      </c>
    </row>
    <row r="48" spans="1:28" x14ac:dyDescent="0.2">
      <c r="Q48" s="155"/>
      <c r="T48" s="155"/>
      <c r="U48" s="155"/>
      <c r="AB48" s="149">
        <f t="shared" ca="1" si="9"/>
        <v>750.57426166413802</v>
      </c>
    </row>
    <row r="49" spans="28:28" x14ac:dyDescent="0.2">
      <c r="AB49" s="149">
        <f t="shared" ca="1" si="9"/>
        <v>672.43169505477965</v>
      </c>
    </row>
    <row r="50" spans="28:28" x14ac:dyDescent="0.2">
      <c r="AB50" s="149">
        <f t="shared" ca="1" si="9"/>
        <v>845.80236847902108</v>
      </c>
    </row>
    <row r="51" spans="28:28" x14ac:dyDescent="0.2">
      <c r="AB51" s="149">
        <f t="shared" ca="1" si="9"/>
        <v>15.981340890469431</v>
      </c>
    </row>
    <row r="52" spans="28:28" x14ac:dyDescent="0.2">
      <c r="AB52" s="149">
        <f t="shared" ca="1" si="9"/>
        <v>489.91335653990308</v>
      </c>
    </row>
    <row r="53" spans="28:28" x14ac:dyDescent="0.2">
      <c r="AB53" s="149">
        <f t="shared" ca="1" si="9"/>
        <v>407.75589879064353</v>
      </c>
    </row>
    <row r="54" spans="28:28" x14ac:dyDescent="0.2">
      <c r="AB54" s="149">
        <f t="shared" ca="1" si="9"/>
        <v>430.22009094941984</v>
      </c>
    </row>
    <row r="55" spans="28:28" x14ac:dyDescent="0.2">
      <c r="AB55" s="149">
        <f t="shared" ca="1" si="9"/>
        <v>690.28769623578205</v>
      </c>
    </row>
    <row r="56" spans="28:28" x14ac:dyDescent="0.2">
      <c r="AB56" s="149">
        <f t="shared" ca="1" si="9"/>
        <v>388.1529800745833</v>
      </c>
    </row>
    <row r="57" spans="28:28" x14ac:dyDescent="0.2">
      <c r="AB57" s="149">
        <f t="shared" ca="1" si="9"/>
        <v>503.01610452483015</v>
      </c>
    </row>
    <row r="58" spans="28:28" x14ac:dyDescent="0.2">
      <c r="AB58" s="149">
        <f t="shared" ca="1" si="9"/>
        <v>781.61606598840569</v>
      </c>
    </row>
    <row r="59" spans="28:28" x14ac:dyDescent="0.2">
      <c r="AB59" s="149">
        <f t="shared" ca="1" si="9"/>
        <v>815.36479084759253</v>
      </c>
    </row>
    <row r="60" spans="28:28" x14ac:dyDescent="0.2">
      <c r="AB60" s="149">
        <f t="shared" ca="1" si="9"/>
        <v>245.31639606063138</v>
      </c>
    </row>
    <row r="61" spans="28:28" x14ac:dyDescent="0.2">
      <c r="AB61" s="149">
        <f t="shared" ca="1" si="9"/>
        <v>666.44163888697574</v>
      </c>
    </row>
    <row r="62" spans="28:28" x14ac:dyDescent="0.2">
      <c r="AB62" s="149">
        <f t="shared" ca="1" si="9"/>
        <v>395.4648888673301</v>
      </c>
    </row>
    <row r="63" spans="28:28" x14ac:dyDescent="0.2">
      <c r="AB63" s="149">
        <f t="shared" ca="1" si="9"/>
        <v>737.38262477520016</v>
      </c>
    </row>
    <row r="64" spans="28:28" x14ac:dyDescent="0.2">
      <c r="AB64" s="149">
        <f t="shared" ca="1" si="9"/>
        <v>192.66539772527182</v>
      </c>
    </row>
    <row r="65" spans="28:28" x14ac:dyDescent="0.2">
      <c r="AB65" s="149">
        <f t="shared" ca="1" si="9"/>
        <v>674.09758866580012</v>
      </c>
    </row>
    <row r="66" spans="28:28" x14ac:dyDescent="0.2">
      <c r="AB66" s="149">
        <f t="shared" ca="1" si="9"/>
        <v>436.57985872458892</v>
      </c>
    </row>
    <row r="67" spans="28:28" x14ac:dyDescent="0.2">
      <c r="AB67" s="149">
        <f t="shared" ca="1" si="9"/>
        <v>510.25793332714318</v>
      </c>
    </row>
    <row r="68" spans="28:28" x14ac:dyDescent="0.2">
      <c r="AB68" s="149">
        <f t="shared" ca="1" si="9"/>
        <v>983.23487924713106</v>
      </c>
    </row>
    <row r="69" spans="28:28" x14ac:dyDescent="0.2">
      <c r="AB69" s="149">
        <f t="shared" ref="AB69:AB132" ca="1" si="12">RAND()*1000</f>
        <v>637.98436182035107</v>
      </c>
    </row>
    <row r="70" spans="28:28" x14ac:dyDescent="0.2">
      <c r="AB70" s="149">
        <f t="shared" ca="1" si="12"/>
        <v>999.65919978564091</v>
      </c>
    </row>
    <row r="71" spans="28:28" x14ac:dyDescent="0.2">
      <c r="AB71" s="149">
        <f t="shared" ca="1" si="12"/>
        <v>143.64811793452802</v>
      </c>
    </row>
    <row r="72" spans="28:28" x14ac:dyDescent="0.2">
      <c r="AB72" s="149">
        <f t="shared" ca="1" si="12"/>
        <v>119.03544505741282</v>
      </c>
    </row>
    <row r="73" spans="28:28" x14ac:dyDescent="0.2">
      <c r="AB73" s="149">
        <f t="shared" ca="1" si="12"/>
        <v>74.849059598789623</v>
      </c>
    </row>
    <row r="74" spans="28:28" x14ac:dyDescent="0.2">
      <c r="AB74" s="149">
        <f t="shared" ca="1" si="12"/>
        <v>640.98450266294799</v>
      </c>
    </row>
    <row r="75" spans="28:28" x14ac:dyDescent="0.2">
      <c r="AB75" s="149">
        <f t="shared" ca="1" si="12"/>
        <v>877.44703779202632</v>
      </c>
    </row>
    <row r="76" spans="28:28" x14ac:dyDescent="0.2">
      <c r="AB76" s="149">
        <f t="shared" ca="1" si="12"/>
        <v>986.85092811929883</v>
      </c>
    </row>
    <row r="77" spans="28:28" x14ac:dyDescent="0.2">
      <c r="AB77" s="149">
        <f t="shared" ca="1" si="12"/>
        <v>197.3099563433527</v>
      </c>
    </row>
    <row r="78" spans="28:28" x14ac:dyDescent="0.2">
      <c r="AB78" s="149">
        <f t="shared" ca="1" si="12"/>
        <v>47.744416099062327</v>
      </c>
    </row>
    <row r="79" spans="28:28" x14ac:dyDescent="0.2">
      <c r="AB79" s="149">
        <f t="shared" ca="1" si="12"/>
        <v>790.63151888160121</v>
      </c>
    </row>
    <row r="80" spans="28:28" x14ac:dyDescent="0.2">
      <c r="AB80" s="149">
        <f t="shared" ca="1" si="12"/>
        <v>467.75948819045522</v>
      </c>
    </row>
    <row r="81" spans="28:28" x14ac:dyDescent="0.2">
      <c r="AB81" s="149">
        <f t="shared" ca="1" si="12"/>
        <v>176.59062583948327</v>
      </c>
    </row>
    <row r="82" spans="28:28" x14ac:dyDescent="0.2">
      <c r="AB82" s="149">
        <f t="shared" ca="1" si="12"/>
        <v>578.78498874303637</v>
      </c>
    </row>
    <row r="83" spans="28:28" x14ac:dyDescent="0.2">
      <c r="AB83" s="149">
        <f t="shared" ca="1" si="12"/>
        <v>191.41105220292442</v>
      </c>
    </row>
    <row r="84" spans="28:28" x14ac:dyDescent="0.2">
      <c r="AB84" s="149">
        <f t="shared" ca="1" si="12"/>
        <v>780.57219334028798</v>
      </c>
    </row>
    <row r="85" spans="28:28" x14ac:dyDescent="0.2">
      <c r="AB85" s="149">
        <f t="shared" ca="1" si="12"/>
        <v>926.19953089124988</v>
      </c>
    </row>
    <row r="86" spans="28:28" x14ac:dyDescent="0.2">
      <c r="AB86" s="149">
        <f t="shared" ca="1" si="12"/>
        <v>153.70103555736293</v>
      </c>
    </row>
    <row r="87" spans="28:28" x14ac:dyDescent="0.2">
      <c r="AB87" s="149">
        <f t="shared" ca="1" si="12"/>
        <v>947.68117528756193</v>
      </c>
    </row>
    <row r="88" spans="28:28" x14ac:dyDescent="0.2">
      <c r="AB88" s="149">
        <f t="shared" ca="1" si="12"/>
        <v>170.04870237500901</v>
      </c>
    </row>
    <row r="89" spans="28:28" x14ac:dyDescent="0.2">
      <c r="AB89" s="149">
        <f t="shared" ca="1" si="12"/>
        <v>398.89186509184736</v>
      </c>
    </row>
    <row r="90" spans="28:28" x14ac:dyDescent="0.2">
      <c r="AB90" s="149">
        <f t="shared" ca="1" si="12"/>
        <v>896.0336753008263</v>
      </c>
    </row>
    <row r="91" spans="28:28" x14ac:dyDescent="0.2">
      <c r="AB91" s="149">
        <f t="shared" ca="1" si="12"/>
        <v>733.0112958567338</v>
      </c>
    </row>
    <row r="92" spans="28:28" x14ac:dyDescent="0.2">
      <c r="AB92" s="149">
        <f t="shared" ca="1" si="12"/>
        <v>209.22720066588096</v>
      </c>
    </row>
    <row r="93" spans="28:28" x14ac:dyDescent="0.2">
      <c r="AB93" s="149">
        <f t="shared" ca="1" si="12"/>
        <v>208.73944209970173</v>
      </c>
    </row>
    <row r="94" spans="28:28" x14ac:dyDescent="0.2">
      <c r="AB94" s="149">
        <f t="shared" ca="1" si="12"/>
        <v>72.796803946916569</v>
      </c>
    </row>
    <row r="95" spans="28:28" x14ac:dyDescent="0.2">
      <c r="AB95" s="149">
        <f t="shared" ca="1" si="12"/>
        <v>329.56214110445416</v>
      </c>
    </row>
    <row r="96" spans="28:28" x14ac:dyDescent="0.2">
      <c r="AB96" s="149">
        <f t="shared" ca="1" si="12"/>
        <v>214.42824237469205</v>
      </c>
    </row>
    <row r="97" spans="28:28" x14ac:dyDescent="0.2">
      <c r="AB97" s="149">
        <f t="shared" ca="1" si="12"/>
        <v>812.33675389630696</v>
      </c>
    </row>
    <row r="98" spans="28:28" x14ac:dyDescent="0.2">
      <c r="AB98" s="149">
        <f t="shared" ca="1" si="12"/>
        <v>18.126878776817069</v>
      </c>
    </row>
    <row r="99" spans="28:28" x14ac:dyDescent="0.2">
      <c r="AB99" s="149">
        <f t="shared" ca="1" si="12"/>
        <v>435.13894146609675</v>
      </c>
    </row>
    <row r="100" spans="28:28" x14ac:dyDescent="0.2">
      <c r="AB100" s="149">
        <f t="shared" ca="1" si="12"/>
        <v>112.46382870439353</v>
      </c>
    </row>
    <row r="101" spans="28:28" x14ac:dyDescent="0.2">
      <c r="AB101" s="149">
        <f t="shared" ca="1" si="12"/>
        <v>631.20185300632556</v>
      </c>
    </row>
    <row r="102" spans="28:28" x14ac:dyDescent="0.2">
      <c r="AB102" s="149">
        <f t="shared" ca="1" si="12"/>
        <v>281.18100380485822</v>
      </c>
    </row>
    <row r="103" spans="28:28" x14ac:dyDescent="0.2">
      <c r="AB103" s="149">
        <f t="shared" ca="1" si="12"/>
        <v>877.33682098197573</v>
      </c>
    </row>
    <row r="104" spans="28:28" x14ac:dyDescent="0.2">
      <c r="AB104" s="149">
        <f t="shared" ca="1" si="12"/>
        <v>302.96647964643211</v>
      </c>
    </row>
    <row r="105" spans="28:28" x14ac:dyDescent="0.2">
      <c r="AB105" s="149">
        <f t="shared" ca="1" si="12"/>
        <v>28.248341706678339</v>
      </c>
    </row>
    <row r="106" spans="28:28" x14ac:dyDescent="0.2">
      <c r="AB106" s="149">
        <f t="shared" ca="1" si="12"/>
        <v>345.69345545815975</v>
      </c>
    </row>
    <row r="107" spans="28:28" x14ac:dyDescent="0.2">
      <c r="AB107" s="149">
        <f t="shared" ca="1" si="12"/>
        <v>801.16016643600528</v>
      </c>
    </row>
    <row r="108" spans="28:28" x14ac:dyDescent="0.2">
      <c r="AB108" s="149">
        <f t="shared" ca="1" si="12"/>
        <v>102.52725071045799</v>
      </c>
    </row>
    <row r="109" spans="28:28" x14ac:dyDescent="0.2">
      <c r="AB109" s="149">
        <f t="shared" ca="1" si="12"/>
        <v>788.52812864330167</v>
      </c>
    </row>
    <row r="110" spans="28:28" x14ac:dyDescent="0.2">
      <c r="AB110" s="149">
        <f t="shared" ca="1" si="12"/>
        <v>898.14401053517508</v>
      </c>
    </row>
    <row r="111" spans="28:28" x14ac:dyDescent="0.2">
      <c r="AB111" s="149">
        <f t="shared" ca="1" si="12"/>
        <v>592.0938140594908</v>
      </c>
    </row>
    <row r="112" spans="28:28" x14ac:dyDescent="0.2">
      <c r="AB112" s="149">
        <f t="shared" ca="1" si="12"/>
        <v>862.00807759409668</v>
      </c>
    </row>
    <row r="113" spans="28:28" x14ac:dyDescent="0.2">
      <c r="AB113" s="149">
        <f t="shared" ca="1" si="12"/>
        <v>799.41911638645729</v>
      </c>
    </row>
    <row r="114" spans="28:28" x14ac:dyDescent="0.2">
      <c r="AB114" s="149">
        <f t="shared" ca="1" si="12"/>
        <v>614.32777971962798</v>
      </c>
    </row>
    <row r="115" spans="28:28" x14ac:dyDescent="0.2">
      <c r="AB115" s="149">
        <f t="shared" ca="1" si="12"/>
        <v>167.17444117129975</v>
      </c>
    </row>
    <row r="116" spans="28:28" x14ac:dyDescent="0.2">
      <c r="AB116" s="149">
        <f t="shared" ca="1" si="12"/>
        <v>432.97051224407733</v>
      </c>
    </row>
    <row r="117" spans="28:28" x14ac:dyDescent="0.2">
      <c r="AB117" s="149">
        <f t="shared" ca="1" si="12"/>
        <v>489.43902479411315</v>
      </c>
    </row>
    <row r="118" spans="28:28" x14ac:dyDescent="0.2">
      <c r="AB118" s="149">
        <f t="shared" ca="1" si="12"/>
        <v>947.57727297749966</v>
      </c>
    </row>
    <row r="119" spans="28:28" x14ac:dyDescent="0.2">
      <c r="AB119" s="149">
        <f t="shared" ca="1" si="12"/>
        <v>604.59318862409475</v>
      </c>
    </row>
    <row r="120" spans="28:28" x14ac:dyDescent="0.2">
      <c r="AB120" s="149">
        <f t="shared" ca="1" si="12"/>
        <v>248.0471489425573</v>
      </c>
    </row>
    <row r="121" spans="28:28" x14ac:dyDescent="0.2">
      <c r="AB121" s="149">
        <f t="shared" ca="1" si="12"/>
        <v>599.29968691105262</v>
      </c>
    </row>
    <row r="122" spans="28:28" x14ac:dyDescent="0.2">
      <c r="AB122" s="149">
        <f t="shared" ca="1" si="12"/>
        <v>921.84123599968927</v>
      </c>
    </row>
    <row r="123" spans="28:28" x14ac:dyDescent="0.2">
      <c r="AB123" s="149">
        <f t="shared" ca="1" si="12"/>
        <v>583.32441227631182</v>
      </c>
    </row>
    <row r="124" spans="28:28" x14ac:dyDescent="0.2">
      <c r="AB124" s="149">
        <f t="shared" ca="1" si="12"/>
        <v>282.59948612777987</v>
      </c>
    </row>
    <row r="125" spans="28:28" x14ac:dyDescent="0.2">
      <c r="AB125" s="149">
        <f t="shared" ca="1" si="12"/>
        <v>244.57792618708774</v>
      </c>
    </row>
    <row r="126" spans="28:28" x14ac:dyDescent="0.2">
      <c r="AB126" s="149">
        <f t="shared" ca="1" si="12"/>
        <v>769.69666405839848</v>
      </c>
    </row>
    <row r="127" spans="28:28" x14ac:dyDescent="0.2">
      <c r="AB127" s="149">
        <f t="shared" ca="1" si="12"/>
        <v>624.58556410649192</v>
      </c>
    </row>
    <row r="128" spans="28:28" x14ac:dyDescent="0.2">
      <c r="AB128" s="149">
        <f t="shared" ca="1" si="12"/>
        <v>562.82177683421037</v>
      </c>
    </row>
    <row r="129" spans="28:28" x14ac:dyDescent="0.2">
      <c r="AB129" s="149">
        <f t="shared" ca="1" si="12"/>
        <v>949.33117840607201</v>
      </c>
    </row>
    <row r="130" spans="28:28" x14ac:dyDescent="0.2">
      <c r="AB130" s="149">
        <f t="shared" ca="1" si="12"/>
        <v>187.60788857538324</v>
      </c>
    </row>
    <row r="131" spans="28:28" x14ac:dyDescent="0.2">
      <c r="AB131" s="149">
        <f t="shared" ca="1" si="12"/>
        <v>882.64986231601233</v>
      </c>
    </row>
    <row r="132" spans="28:28" x14ac:dyDescent="0.2">
      <c r="AB132" s="149">
        <f t="shared" ca="1" si="12"/>
        <v>910.24651563652571</v>
      </c>
    </row>
    <row r="133" spans="28:28" x14ac:dyDescent="0.2">
      <c r="AB133" s="149">
        <f t="shared" ref="AB133:AB196" ca="1" si="13">RAND()*1000</f>
        <v>364.58787794837332</v>
      </c>
    </row>
    <row r="134" spans="28:28" x14ac:dyDescent="0.2">
      <c r="AB134" s="149">
        <f t="shared" ca="1" si="13"/>
        <v>378.14864292157699</v>
      </c>
    </row>
    <row r="135" spans="28:28" x14ac:dyDescent="0.2">
      <c r="AB135" s="149">
        <f t="shared" ca="1" si="13"/>
        <v>366.23451968166978</v>
      </c>
    </row>
    <row r="136" spans="28:28" x14ac:dyDescent="0.2">
      <c r="AB136" s="149">
        <f t="shared" ca="1" si="13"/>
        <v>504.50744769790987</v>
      </c>
    </row>
    <row r="137" spans="28:28" x14ac:dyDescent="0.2">
      <c r="AB137" s="149">
        <f t="shared" ca="1" si="13"/>
        <v>818.30225496729679</v>
      </c>
    </row>
    <row r="138" spans="28:28" x14ac:dyDescent="0.2">
      <c r="AB138" s="149">
        <f t="shared" ca="1" si="13"/>
        <v>191.67345342097042</v>
      </c>
    </row>
    <row r="139" spans="28:28" x14ac:dyDescent="0.2">
      <c r="AB139" s="149">
        <f t="shared" ca="1" si="13"/>
        <v>108.06631522134225</v>
      </c>
    </row>
    <row r="140" spans="28:28" x14ac:dyDescent="0.2">
      <c r="AB140" s="149">
        <f t="shared" ca="1" si="13"/>
        <v>106.75039481273241</v>
      </c>
    </row>
    <row r="141" spans="28:28" x14ac:dyDescent="0.2">
      <c r="AB141" s="149">
        <f t="shared" ca="1" si="13"/>
        <v>807.13446688485192</v>
      </c>
    </row>
    <row r="142" spans="28:28" x14ac:dyDescent="0.2">
      <c r="AB142" s="149">
        <f t="shared" ca="1" si="13"/>
        <v>94.796387101969913</v>
      </c>
    </row>
    <row r="143" spans="28:28" x14ac:dyDescent="0.2">
      <c r="AB143" s="149">
        <f t="shared" ca="1" si="13"/>
        <v>674.69198591823147</v>
      </c>
    </row>
    <row r="144" spans="28:28" x14ac:dyDescent="0.2">
      <c r="AB144" s="149">
        <f t="shared" ca="1" si="13"/>
        <v>432.06292237125609</v>
      </c>
    </row>
    <row r="145" spans="28:28" x14ac:dyDescent="0.2">
      <c r="AB145" s="149">
        <f t="shared" ca="1" si="13"/>
        <v>514.18278845249313</v>
      </c>
    </row>
    <row r="146" spans="28:28" x14ac:dyDescent="0.2">
      <c r="AB146" s="149">
        <f t="shared" ca="1" si="13"/>
        <v>99.941583611164347</v>
      </c>
    </row>
    <row r="147" spans="28:28" x14ac:dyDescent="0.2">
      <c r="AB147" s="149">
        <f t="shared" ca="1" si="13"/>
        <v>628.6729904989088</v>
      </c>
    </row>
    <row r="148" spans="28:28" x14ac:dyDescent="0.2">
      <c r="AB148" s="149">
        <f t="shared" ca="1" si="13"/>
        <v>574.36757046121249</v>
      </c>
    </row>
    <row r="149" spans="28:28" x14ac:dyDescent="0.2">
      <c r="AB149" s="149">
        <f t="shared" ca="1" si="13"/>
        <v>155.68976369126742</v>
      </c>
    </row>
    <row r="150" spans="28:28" x14ac:dyDescent="0.2">
      <c r="AB150" s="149">
        <f t="shared" ca="1" si="13"/>
        <v>845.28206003105413</v>
      </c>
    </row>
    <row r="151" spans="28:28" x14ac:dyDescent="0.2">
      <c r="AB151" s="149">
        <f t="shared" ca="1" si="13"/>
        <v>883.66532545733241</v>
      </c>
    </row>
    <row r="152" spans="28:28" x14ac:dyDescent="0.2">
      <c r="AB152" s="149">
        <f t="shared" ca="1" si="13"/>
        <v>368.9489698042816</v>
      </c>
    </row>
    <row r="153" spans="28:28" x14ac:dyDescent="0.2">
      <c r="AB153" s="149">
        <f t="shared" ca="1" si="13"/>
        <v>556.81465538278735</v>
      </c>
    </row>
    <row r="154" spans="28:28" x14ac:dyDescent="0.2">
      <c r="AB154" s="149">
        <f t="shared" ca="1" si="13"/>
        <v>494.0664851769838</v>
      </c>
    </row>
    <row r="155" spans="28:28" x14ac:dyDescent="0.2">
      <c r="AB155" s="149">
        <f t="shared" ca="1" si="13"/>
        <v>22.739113509921083</v>
      </c>
    </row>
    <row r="156" spans="28:28" x14ac:dyDescent="0.2">
      <c r="AB156" s="149">
        <f t="shared" ca="1" si="13"/>
        <v>750.31267767986049</v>
      </c>
    </row>
    <row r="157" spans="28:28" x14ac:dyDescent="0.2">
      <c r="AB157" s="149">
        <f t="shared" ca="1" si="13"/>
        <v>721.16684479855678</v>
      </c>
    </row>
    <row r="158" spans="28:28" x14ac:dyDescent="0.2">
      <c r="AB158" s="149">
        <f t="shared" ca="1" si="13"/>
        <v>555.52994036055691</v>
      </c>
    </row>
    <row r="159" spans="28:28" x14ac:dyDescent="0.2">
      <c r="AB159" s="149">
        <f t="shared" ca="1" si="13"/>
        <v>938.43798282017713</v>
      </c>
    </row>
    <row r="160" spans="28:28" x14ac:dyDescent="0.2">
      <c r="AB160" s="149">
        <f t="shared" ca="1" si="13"/>
        <v>993.06250171012528</v>
      </c>
    </row>
    <row r="161" spans="28:28" x14ac:dyDescent="0.2">
      <c r="AB161" s="149">
        <f t="shared" ca="1" si="13"/>
        <v>109.18131029972299</v>
      </c>
    </row>
    <row r="162" spans="28:28" x14ac:dyDescent="0.2">
      <c r="AB162" s="149">
        <f t="shared" ca="1" si="13"/>
        <v>501.24746245974995</v>
      </c>
    </row>
    <row r="163" spans="28:28" x14ac:dyDescent="0.2">
      <c r="AB163" s="149">
        <f t="shared" ca="1" si="13"/>
        <v>125.0037113112148</v>
      </c>
    </row>
    <row r="164" spans="28:28" x14ac:dyDescent="0.2">
      <c r="AB164" s="149">
        <f t="shared" ca="1" si="13"/>
        <v>371.78660872360894</v>
      </c>
    </row>
    <row r="165" spans="28:28" x14ac:dyDescent="0.2">
      <c r="AB165" s="149">
        <f t="shared" ca="1" si="13"/>
        <v>236.67643799492234</v>
      </c>
    </row>
    <row r="166" spans="28:28" x14ac:dyDescent="0.2">
      <c r="AB166" s="149">
        <f t="shared" ca="1" si="13"/>
        <v>685.08732091905688</v>
      </c>
    </row>
    <row r="167" spans="28:28" x14ac:dyDescent="0.2">
      <c r="AB167" s="149">
        <f t="shared" ca="1" si="13"/>
        <v>439.44076158871616</v>
      </c>
    </row>
    <row r="168" spans="28:28" x14ac:dyDescent="0.2">
      <c r="AB168" s="149">
        <f t="shared" ca="1" si="13"/>
        <v>258.30167237847047</v>
      </c>
    </row>
    <row r="169" spans="28:28" x14ac:dyDescent="0.2">
      <c r="AB169" s="149">
        <f t="shared" ca="1" si="13"/>
        <v>916.62173786649953</v>
      </c>
    </row>
    <row r="170" spans="28:28" x14ac:dyDescent="0.2">
      <c r="AB170" s="149">
        <f t="shared" ca="1" si="13"/>
        <v>752.73242030524966</v>
      </c>
    </row>
    <row r="171" spans="28:28" x14ac:dyDescent="0.2">
      <c r="AB171" s="149">
        <f t="shared" ca="1" si="13"/>
        <v>21.941236352058024</v>
      </c>
    </row>
    <row r="172" spans="28:28" x14ac:dyDescent="0.2">
      <c r="AB172" s="149">
        <f t="shared" ca="1" si="13"/>
        <v>859.58084631383588</v>
      </c>
    </row>
    <row r="173" spans="28:28" x14ac:dyDescent="0.2">
      <c r="AB173" s="149">
        <f t="shared" ca="1" si="13"/>
        <v>600.22221115668196</v>
      </c>
    </row>
    <row r="174" spans="28:28" x14ac:dyDescent="0.2">
      <c r="AB174" s="149">
        <f t="shared" ca="1" si="13"/>
        <v>831.66489663881282</v>
      </c>
    </row>
    <row r="175" spans="28:28" x14ac:dyDescent="0.2">
      <c r="AB175" s="149">
        <f t="shared" ca="1" si="13"/>
        <v>726.93771117647043</v>
      </c>
    </row>
    <row r="176" spans="28:28" x14ac:dyDescent="0.2">
      <c r="AB176" s="149">
        <f t="shared" ca="1" si="13"/>
        <v>476.41878904292435</v>
      </c>
    </row>
    <row r="177" spans="28:28" x14ac:dyDescent="0.2">
      <c r="AB177" s="149">
        <f t="shared" ca="1" si="13"/>
        <v>465.69775840557901</v>
      </c>
    </row>
    <row r="178" spans="28:28" x14ac:dyDescent="0.2">
      <c r="AB178" s="149">
        <f t="shared" ca="1" si="13"/>
        <v>618.05580729794019</v>
      </c>
    </row>
    <row r="179" spans="28:28" x14ac:dyDescent="0.2">
      <c r="AB179" s="149">
        <f t="shared" ca="1" si="13"/>
        <v>976.45749434509776</v>
      </c>
    </row>
    <row r="180" spans="28:28" x14ac:dyDescent="0.2">
      <c r="AB180" s="149">
        <f t="shared" ca="1" si="13"/>
        <v>14.725933394015843</v>
      </c>
    </row>
    <row r="181" spans="28:28" x14ac:dyDescent="0.2">
      <c r="AB181" s="149">
        <f t="shared" ca="1" si="13"/>
        <v>414.04370958605375</v>
      </c>
    </row>
    <row r="182" spans="28:28" x14ac:dyDescent="0.2">
      <c r="AB182" s="149">
        <f t="shared" ca="1" si="13"/>
        <v>568.29250826724012</v>
      </c>
    </row>
    <row r="183" spans="28:28" x14ac:dyDescent="0.2">
      <c r="AB183" s="149">
        <f t="shared" ca="1" si="13"/>
        <v>22.285354151599268</v>
      </c>
    </row>
    <row r="184" spans="28:28" x14ac:dyDescent="0.2">
      <c r="AB184" s="149">
        <f t="shared" ca="1" si="13"/>
        <v>518.68663423961482</v>
      </c>
    </row>
    <row r="185" spans="28:28" x14ac:dyDescent="0.2">
      <c r="AB185" s="149">
        <f t="shared" ca="1" si="13"/>
        <v>885.90022901897601</v>
      </c>
    </row>
    <row r="186" spans="28:28" x14ac:dyDescent="0.2">
      <c r="AB186" s="149">
        <f t="shared" ca="1" si="13"/>
        <v>803.35644465823987</v>
      </c>
    </row>
    <row r="187" spans="28:28" x14ac:dyDescent="0.2">
      <c r="AB187" s="149">
        <f t="shared" ca="1" si="13"/>
        <v>925.9389210322048</v>
      </c>
    </row>
    <row r="188" spans="28:28" x14ac:dyDescent="0.2">
      <c r="AB188" s="149">
        <f t="shared" ca="1" si="13"/>
        <v>969.44872912713925</v>
      </c>
    </row>
    <row r="189" spans="28:28" x14ac:dyDescent="0.2">
      <c r="AB189" s="149">
        <f t="shared" ca="1" si="13"/>
        <v>882.55393597927957</v>
      </c>
    </row>
    <row r="190" spans="28:28" x14ac:dyDescent="0.2">
      <c r="AB190" s="149">
        <f t="shared" ca="1" si="13"/>
        <v>917.94260246906867</v>
      </c>
    </row>
    <row r="191" spans="28:28" x14ac:dyDescent="0.2">
      <c r="AB191" s="149">
        <f t="shared" ca="1" si="13"/>
        <v>943.91794514769629</v>
      </c>
    </row>
    <row r="192" spans="28:28" x14ac:dyDescent="0.2">
      <c r="AB192" s="149">
        <f t="shared" ca="1" si="13"/>
        <v>570.98734345724358</v>
      </c>
    </row>
    <row r="193" spans="28:28" x14ac:dyDescent="0.2">
      <c r="AB193" s="149">
        <f t="shared" ca="1" si="13"/>
        <v>889.7525825053915</v>
      </c>
    </row>
    <row r="194" spans="28:28" x14ac:dyDescent="0.2">
      <c r="AB194" s="149">
        <f t="shared" ca="1" si="13"/>
        <v>4.1301534393309858</v>
      </c>
    </row>
    <row r="195" spans="28:28" x14ac:dyDescent="0.2">
      <c r="AB195" s="149">
        <f t="shared" ca="1" si="13"/>
        <v>415.73260100223996</v>
      </c>
    </row>
    <row r="196" spans="28:28" x14ac:dyDescent="0.2">
      <c r="AB196" s="149">
        <f t="shared" ca="1" si="13"/>
        <v>967.17346572966414</v>
      </c>
    </row>
    <row r="197" spans="28:28" x14ac:dyDescent="0.2">
      <c r="AB197" s="149">
        <f t="shared" ref="AB197:AB260" ca="1" si="14">RAND()*1000</f>
        <v>298.39872141420165</v>
      </c>
    </row>
    <row r="198" spans="28:28" x14ac:dyDescent="0.2">
      <c r="AB198" s="149">
        <f t="shared" ca="1" si="14"/>
        <v>109.81333064853783</v>
      </c>
    </row>
    <row r="199" spans="28:28" x14ac:dyDescent="0.2">
      <c r="AB199" s="149">
        <f t="shared" ca="1" si="14"/>
        <v>238.44092353726475</v>
      </c>
    </row>
    <row r="200" spans="28:28" x14ac:dyDescent="0.2">
      <c r="AB200" s="149">
        <f t="shared" ca="1" si="14"/>
        <v>476.21707099974907</v>
      </c>
    </row>
    <row r="201" spans="28:28" x14ac:dyDescent="0.2">
      <c r="AB201" s="149">
        <f t="shared" ca="1" si="14"/>
        <v>239.40975915035122</v>
      </c>
    </row>
    <row r="202" spans="28:28" x14ac:dyDescent="0.2">
      <c r="AB202" s="149">
        <f t="shared" ca="1" si="14"/>
        <v>994.57916739919608</v>
      </c>
    </row>
    <row r="203" spans="28:28" x14ac:dyDescent="0.2">
      <c r="AB203" s="149">
        <f t="shared" ca="1" si="14"/>
        <v>189.23325863058395</v>
      </c>
    </row>
    <row r="204" spans="28:28" x14ac:dyDescent="0.2">
      <c r="AB204" s="149">
        <f t="shared" ca="1" si="14"/>
        <v>869.30915848179575</v>
      </c>
    </row>
    <row r="205" spans="28:28" x14ac:dyDescent="0.2">
      <c r="AB205" s="149">
        <f t="shared" ca="1" si="14"/>
        <v>865.16108666581908</v>
      </c>
    </row>
    <row r="206" spans="28:28" x14ac:dyDescent="0.2">
      <c r="AB206" s="149">
        <f t="shared" ca="1" si="14"/>
        <v>553.25793406986656</v>
      </c>
    </row>
    <row r="207" spans="28:28" x14ac:dyDescent="0.2">
      <c r="AB207" s="149">
        <f t="shared" ca="1" si="14"/>
        <v>706.07189709512852</v>
      </c>
    </row>
    <row r="208" spans="28:28" x14ac:dyDescent="0.2">
      <c r="AB208" s="149">
        <f t="shared" ca="1" si="14"/>
        <v>129.75456545262165</v>
      </c>
    </row>
    <row r="209" spans="28:28" x14ac:dyDescent="0.2">
      <c r="AB209" s="149">
        <f t="shared" ca="1" si="14"/>
        <v>993.24794397362155</v>
      </c>
    </row>
    <row r="210" spans="28:28" x14ac:dyDescent="0.2">
      <c r="AB210" s="149">
        <f t="shared" ca="1" si="14"/>
        <v>623.9785031228181</v>
      </c>
    </row>
    <row r="211" spans="28:28" x14ac:dyDescent="0.2">
      <c r="AB211" s="149">
        <f t="shared" ca="1" si="14"/>
        <v>988.28988502980121</v>
      </c>
    </row>
    <row r="212" spans="28:28" x14ac:dyDescent="0.2">
      <c r="AB212" s="149">
        <f t="shared" ca="1" si="14"/>
        <v>762.07930665810716</v>
      </c>
    </row>
    <row r="213" spans="28:28" x14ac:dyDescent="0.2">
      <c r="AB213" s="149">
        <f t="shared" ca="1" si="14"/>
        <v>43.351283483535454</v>
      </c>
    </row>
    <row r="214" spans="28:28" x14ac:dyDescent="0.2">
      <c r="AB214" s="149">
        <f t="shared" ca="1" si="14"/>
        <v>145.3629676325674</v>
      </c>
    </row>
    <row r="215" spans="28:28" x14ac:dyDescent="0.2">
      <c r="AB215" s="149">
        <f t="shared" ca="1" si="14"/>
        <v>302.18485377677905</v>
      </c>
    </row>
    <row r="216" spans="28:28" x14ac:dyDescent="0.2">
      <c r="AB216" s="149">
        <f t="shared" ca="1" si="14"/>
        <v>869.94162124961349</v>
      </c>
    </row>
    <row r="217" spans="28:28" x14ac:dyDescent="0.2">
      <c r="AB217" s="149">
        <f t="shared" ca="1" si="14"/>
        <v>432.31888778680815</v>
      </c>
    </row>
    <row r="218" spans="28:28" x14ac:dyDescent="0.2">
      <c r="AB218" s="149">
        <f t="shared" ca="1" si="14"/>
        <v>345.64431022458388</v>
      </c>
    </row>
    <row r="219" spans="28:28" x14ac:dyDescent="0.2">
      <c r="AB219" s="149">
        <f t="shared" ca="1" si="14"/>
        <v>499.4253799571988</v>
      </c>
    </row>
    <row r="220" spans="28:28" x14ac:dyDescent="0.2">
      <c r="AB220" s="149">
        <f t="shared" ca="1" si="14"/>
        <v>474.4437794893459</v>
      </c>
    </row>
    <row r="221" spans="28:28" x14ac:dyDescent="0.2">
      <c r="AB221" s="149">
        <f t="shared" ca="1" si="14"/>
        <v>869.59468928024057</v>
      </c>
    </row>
    <row r="222" spans="28:28" x14ac:dyDescent="0.2">
      <c r="AB222" s="149">
        <f t="shared" ca="1" si="14"/>
        <v>329.26851867988063</v>
      </c>
    </row>
    <row r="223" spans="28:28" x14ac:dyDescent="0.2">
      <c r="AB223" s="149">
        <f t="shared" ca="1" si="14"/>
        <v>943.68684131356736</v>
      </c>
    </row>
    <row r="224" spans="28:28" x14ac:dyDescent="0.2">
      <c r="AB224" s="149">
        <f t="shared" ca="1" si="14"/>
        <v>802.67244560781921</v>
      </c>
    </row>
    <row r="225" spans="28:28" x14ac:dyDescent="0.2">
      <c r="AB225" s="149">
        <f t="shared" ca="1" si="14"/>
        <v>989.48171587678473</v>
      </c>
    </row>
    <row r="226" spans="28:28" x14ac:dyDescent="0.2">
      <c r="AB226" s="149">
        <f t="shared" ca="1" si="14"/>
        <v>934.76164645497681</v>
      </c>
    </row>
    <row r="227" spans="28:28" x14ac:dyDescent="0.2">
      <c r="AB227" s="149">
        <f t="shared" ca="1" si="14"/>
        <v>623.71445002646419</v>
      </c>
    </row>
    <row r="228" spans="28:28" x14ac:dyDescent="0.2">
      <c r="AB228" s="149">
        <f t="shared" ca="1" si="14"/>
        <v>761.04779136089871</v>
      </c>
    </row>
    <row r="229" spans="28:28" x14ac:dyDescent="0.2">
      <c r="AB229" s="149">
        <f t="shared" ca="1" si="14"/>
        <v>551.96976483454057</v>
      </c>
    </row>
    <row r="230" spans="28:28" x14ac:dyDescent="0.2">
      <c r="AB230" s="149">
        <f t="shared" ca="1" si="14"/>
        <v>253.79990293457112</v>
      </c>
    </row>
    <row r="231" spans="28:28" x14ac:dyDescent="0.2">
      <c r="AB231" s="149">
        <f t="shared" ca="1" si="14"/>
        <v>449.13173816771433</v>
      </c>
    </row>
    <row r="232" spans="28:28" x14ac:dyDescent="0.2">
      <c r="AB232" s="149">
        <f t="shared" ca="1" si="14"/>
        <v>891.16661071773353</v>
      </c>
    </row>
    <row r="233" spans="28:28" x14ac:dyDescent="0.2">
      <c r="AB233" s="149">
        <f t="shared" ca="1" si="14"/>
        <v>174.90916572593883</v>
      </c>
    </row>
    <row r="234" spans="28:28" x14ac:dyDescent="0.2">
      <c r="AB234" s="149">
        <f t="shared" ca="1" si="14"/>
        <v>949.77446291420836</v>
      </c>
    </row>
    <row r="235" spans="28:28" x14ac:dyDescent="0.2">
      <c r="AB235" s="149">
        <f t="shared" ca="1" si="14"/>
        <v>633.43911133961217</v>
      </c>
    </row>
    <row r="236" spans="28:28" x14ac:dyDescent="0.2">
      <c r="AB236" s="149">
        <f t="shared" ca="1" si="14"/>
        <v>955.84075572677637</v>
      </c>
    </row>
    <row r="237" spans="28:28" x14ac:dyDescent="0.2">
      <c r="AB237" s="149">
        <f t="shared" ca="1" si="14"/>
        <v>10.522254425286981</v>
      </c>
    </row>
    <row r="238" spans="28:28" x14ac:dyDescent="0.2">
      <c r="AB238" s="149">
        <f t="shared" ca="1" si="14"/>
        <v>111.74114439284888</v>
      </c>
    </row>
    <row r="239" spans="28:28" x14ac:dyDescent="0.2">
      <c r="AB239" s="149">
        <f t="shared" ca="1" si="14"/>
        <v>769.44288774810991</v>
      </c>
    </row>
    <row r="240" spans="28:28" x14ac:dyDescent="0.2">
      <c r="AB240" s="149">
        <f t="shared" ca="1" si="14"/>
        <v>728.55756454027642</v>
      </c>
    </row>
    <row r="241" spans="28:28" x14ac:dyDescent="0.2">
      <c r="AB241" s="149">
        <f t="shared" ca="1" si="14"/>
        <v>361.85613845066223</v>
      </c>
    </row>
    <row r="242" spans="28:28" x14ac:dyDescent="0.2">
      <c r="AB242" s="149">
        <f t="shared" ca="1" si="14"/>
        <v>61.853722230654441</v>
      </c>
    </row>
    <row r="243" spans="28:28" x14ac:dyDescent="0.2">
      <c r="AB243" s="149">
        <f t="shared" ca="1" si="14"/>
        <v>778.51230065996742</v>
      </c>
    </row>
    <row r="244" spans="28:28" x14ac:dyDescent="0.2">
      <c r="AB244" s="149">
        <f t="shared" ca="1" si="14"/>
        <v>266.45208092057283</v>
      </c>
    </row>
    <row r="245" spans="28:28" x14ac:dyDescent="0.2">
      <c r="AB245" s="149">
        <f t="shared" ca="1" si="14"/>
        <v>160.97298690933425</v>
      </c>
    </row>
    <row r="246" spans="28:28" x14ac:dyDescent="0.2">
      <c r="AB246" s="149">
        <f t="shared" ca="1" si="14"/>
        <v>940.61588303228916</v>
      </c>
    </row>
    <row r="247" spans="28:28" x14ac:dyDescent="0.2">
      <c r="AB247" s="149">
        <f t="shared" ca="1" si="14"/>
        <v>98.066583714353612</v>
      </c>
    </row>
    <row r="248" spans="28:28" x14ac:dyDescent="0.2">
      <c r="AB248" s="149">
        <f t="shared" ca="1" si="14"/>
        <v>234.45829304857745</v>
      </c>
    </row>
    <row r="249" spans="28:28" x14ac:dyDescent="0.2">
      <c r="AB249" s="149">
        <f t="shared" ca="1" si="14"/>
        <v>169.91634661144715</v>
      </c>
    </row>
    <row r="250" spans="28:28" x14ac:dyDescent="0.2">
      <c r="AB250" s="149">
        <f t="shared" ca="1" si="14"/>
        <v>268.96805837363092</v>
      </c>
    </row>
    <row r="251" spans="28:28" x14ac:dyDescent="0.2">
      <c r="AB251" s="149">
        <f t="shared" ca="1" si="14"/>
        <v>279.11315795496773</v>
      </c>
    </row>
    <row r="252" spans="28:28" x14ac:dyDescent="0.2">
      <c r="AB252" s="149">
        <f t="shared" ca="1" si="14"/>
        <v>247.51420024615257</v>
      </c>
    </row>
    <row r="253" spans="28:28" x14ac:dyDescent="0.2">
      <c r="AB253" s="149">
        <f t="shared" ca="1" si="14"/>
        <v>714.71352997931263</v>
      </c>
    </row>
    <row r="254" spans="28:28" x14ac:dyDescent="0.2">
      <c r="AB254" s="149">
        <f t="shared" ca="1" si="14"/>
        <v>1.054685969873459</v>
      </c>
    </row>
    <row r="255" spans="28:28" x14ac:dyDescent="0.2">
      <c r="AB255" s="149">
        <f t="shared" ca="1" si="14"/>
        <v>199.08779489454054</v>
      </c>
    </row>
    <row r="256" spans="28:28" x14ac:dyDescent="0.2">
      <c r="AB256" s="149">
        <f t="shared" ca="1" si="14"/>
        <v>456.45809373087241</v>
      </c>
    </row>
    <row r="257" spans="28:28" x14ac:dyDescent="0.2">
      <c r="AB257" s="149">
        <f t="shared" ca="1" si="14"/>
        <v>562.23569943599171</v>
      </c>
    </row>
    <row r="258" spans="28:28" x14ac:dyDescent="0.2">
      <c r="AB258" s="149">
        <f t="shared" ca="1" si="14"/>
        <v>85.580111771221496</v>
      </c>
    </row>
    <row r="259" spans="28:28" x14ac:dyDescent="0.2">
      <c r="AB259" s="149">
        <f t="shared" ca="1" si="14"/>
        <v>244.31477500416344</v>
      </c>
    </row>
    <row r="260" spans="28:28" x14ac:dyDescent="0.2">
      <c r="AB260" s="149">
        <f t="shared" ca="1" si="14"/>
        <v>249.07824627251861</v>
      </c>
    </row>
    <row r="261" spans="28:28" x14ac:dyDescent="0.2">
      <c r="AB261" s="149">
        <f t="shared" ref="AB261:AB324" ca="1" si="15">RAND()*1000</f>
        <v>448.02864411562325</v>
      </c>
    </row>
    <row r="262" spans="28:28" x14ac:dyDescent="0.2">
      <c r="AB262" s="149">
        <f t="shared" ca="1" si="15"/>
        <v>759.24716252926464</v>
      </c>
    </row>
    <row r="263" spans="28:28" x14ac:dyDescent="0.2">
      <c r="AB263" s="149">
        <f t="shared" ca="1" si="15"/>
        <v>956.65300306056747</v>
      </c>
    </row>
    <row r="264" spans="28:28" x14ac:dyDescent="0.2">
      <c r="AB264" s="149">
        <f t="shared" ca="1" si="15"/>
        <v>820.89327855054876</v>
      </c>
    </row>
    <row r="265" spans="28:28" x14ac:dyDescent="0.2">
      <c r="AB265" s="149">
        <f t="shared" ca="1" si="15"/>
        <v>844.03730650070895</v>
      </c>
    </row>
    <row r="266" spans="28:28" x14ac:dyDescent="0.2">
      <c r="AB266" s="149">
        <f t="shared" ca="1" si="15"/>
        <v>179.06282589674439</v>
      </c>
    </row>
    <row r="267" spans="28:28" x14ac:dyDescent="0.2">
      <c r="AB267" s="149">
        <f t="shared" ca="1" si="15"/>
        <v>770.08038154660403</v>
      </c>
    </row>
    <row r="268" spans="28:28" x14ac:dyDescent="0.2">
      <c r="AB268" s="149">
        <f t="shared" ca="1" si="15"/>
        <v>948.69635445239385</v>
      </c>
    </row>
    <row r="269" spans="28:28" x14ac:dyDescent="0.2">
      <c r="AB269" s="149">
        <f t="shared" ca="1" si="15"/>
        <v>545.55473998855757</v>
      </c>
    </row>
    <row r="270" spans="28:28" x14ac:dyDescent="0.2">
      <c r="AB270" s="149">
        <f t="shared" ca="1" si="15"/>
        <v>691.66319805612704</v>
      </c>
    </row>
    <row r="271" spans="28:28" x14ac:dyDescent="0.2">
      <c r="AB271" s="149">
        <f t="shared" ca="1" si="15"/>
        <v>376.56839109388682</v>
      </c>
    </row>
    <row r="272" spans="28:28" x14ac:dyDescent="0.2">
      <c r="AB272" s="149">
        <f t="shared" ca="1" si="15"/>
        <v>133.34277596396305</v>
      </c>
    </row>
    <row r="273" spans="28:28" x14ac:dyDescent="0.2">
      <c r="AB273" s="149">
        <f t="shared" ca="1" si="15"/>
        <v>984.50972394616974</v>
      </c>
    </row>
    <row r="274" spans="28:28" x14ac:dyDescent="0.2">
      <c r="AB274" s="149">
        <f t="shared" ca="1" si="15"/>
        <v>571.82910642961724</v>
      </c>
    </row>
    <row r="275" spans="28:28" x14ac:dyDescent="0.2">
      <c r="AB275" s="149">
        <f t="shared" ca="1" si="15"/>
        <v>804.08580944334471</v>
      </c>
    </row>
    <row r="276" spans="28:28" x14ac:dyDescent="0.2">
      <c r="AB276" s="149">
        <f t="shared" ca="1" si="15"/>
        <v>732.43469439547175</v>
      </c>
    </row>
    <row r="277" spans="28:28" x14ac:dyDescent="0.2">
      <c r="AB277" s="149">
        <f t="shared" ca="1" si="15"/>
        <v>102.20328292709225</v>
      </c>
    </row>
    <row r="278" spans="28:28" x14ac:dyDescent="0.2">
      <c r="AB278" s="149">
        <f t="shared" ca="1" si="15"/>
        <v>524.48283000408287</v>
      </c>
    </row>
    <row r="279" spans="28:28" x14ac:dyDescent="0.2">
      <c r="AB279" s="149">
        <f t="shared" ca="1" si="15"/>
        <v>315.04869297985829</v>
      </c>
    </row>
    <row r="280" spans="28:28" x14ac:dyDescent="0.2">
      <c r="AB280" s="149">
        <f t="shared" ca="1" si="15"/>
        <v>864.42420964329733</v>
      </c>
    </row>
    <row r="281" spans="28:28" x14ac:dyDescent="0.2">
      <c r="AB281" s="149">
        <f t="shared" ca="1" si="15"/>
        <v>189.04298029847743</v>
      </c>
    </row>
    <row r="282" spans="28:28" x14ac:dyDescent="0.2">
      <c r="AB282" s="149">
        <f t="shared" ca="1" si="15"/>
        <v>832.57107748697797</v>
      </c>
    </row>
    <row r="283" spans="28:28" x14ac:dyDescent="0.2">
      <c r="AB283" s="149">
        <f t="shared" ca="1" si="15"/>
        <v>893.28343621031672</v>
      </c>
    </row>
    <row r="284" spans="28:28" x14ac:dyDescent="0.2">
      <c r="AB284" s="149">
        <f t="shared" ca="1" si="15"/>
        <v>273.9637704381912</v>
      </c>
    </row>
    <row r="285" spans="28:28" x14ac:dyDescent="0.2">
      <c r="AB285" s="149">
        <f t="shared" ca="1" si="15"/>
        <v>504.74064308056012</v>
      </c>
    </row>
    <row r="286" spans="28:28" x14ac:dyDescent="0.2">
      <c r="AB286" s="149">
        <f t="shared" ca="1" si="15"/>
        <v>650.46145250819393</v>
      </c>
    </row>
    <row r="287" spans="28:28" x14ac:dyDescent="0.2">
      <c r="AB287" s="149">
        <f t="shared" ca="1" si="15"/>
        <v>97.397727836837973</v>
      </c>
    </row>
    <row r="288" spans="28:28" x14ac:dyDescent="0.2">
      <c r="AB288" s="149">
        <f t="shared" ca="1" si="15"/>
        <v>43.451947239912748</v>
      </c>
    </row>
    <row r="289" spans="28:28" x14ac:dyDescent="0.2">
      <c r="AB289" s="149">
        <f t="shared" ca="1" si="15"/>
        <v>430.45331446920341</v>
      </c>
    </row>
    <row r="290" spans="28:28" x14ac:dyDescent="0.2">
      <c r="AB290" s="149">
        <f t="shared" ca="1" si="15"/>
        <v>79.633806826751481</v>
      </c>
    </row>
    <row r="291" spans="28:28" x14ac:dyDescent="0.2">
      <c r="AB291" s="149">
        <f t="shared" ca="1" si="15"/>
        <v>648.42254060489665</v>
      </c>
    </row>
    <row r="292" spans="28:28" x14ac:dyDescent="0.2">
      <c r="AB292" s="149">
        <f t="shared" ca="1" si="15"/>
        <v>137.81818036566651</v>
      </c>
    </row>
    <row r="293" spans="28:28" x14ac:dyDescent="0.2">
      <c r="AB293" s="149">
        <f t="shared" ca="1" si="15"/>
        <v>937.93373461907561</v>
      </c>
    </row>
    <row r="294" spans="28:28" x14ac:dyDescent="0.2">
      <c r="AB294" s="149">
        <f t="shared" ca="1" si="15"/>
        <v>392.54832718547641</v>
      </c>
    </row>
    <row r="295" spans="28:28" x14ac:dyDescent="0.2">
      <c r="AB295" s="149">
        <f t="shared" ca="1" si="15"/>
        <v>167.59924810929894</v>
      </c>
    </row>
    <row r="296" spans="28:28" x14ac:dyDescent="0.2">
      <c r="AB296" s="149">
        <f t="shared" ca="1" si="15"/>
        <v>680.99486921947039</v>
      </c>
    </row>
    <row r="297" spans="28:28" x14ac:dyDescent="0.2">
      <c r="AB297" s="149">
        <f t="shared" ca="1" si="15"/>
        <v>376.43732827473576</v>
      </c>
    </row>
    <row r="298" spans="28:28" x14ac:dyDescent="0.2">
      <c r="AB298" s="149">
        <f t="shared" ca="1" si="15"/>
        <v>935.45202722758745</v>
      </c>
    </row>
    <row r="299" spans="28:28" x14ac:dyDescent="0.2">
      <c r="AB299" s="149">
        <f t="shared" ca="1" si="15"/>
        <v>393.9086367470864</v>
      </c>
    </row>
    <row r="300" spans="28:28" x14ac:dyDescent="0.2">
      <c r="AB300" s="149">
        <f t="shared" ca="1" si="15"/>
        <v>355.06693901980645</v>
      </c>
    </row>
    <row r="301" spans="28:28" x14ac:dyDescent="0.2">
      <c r="AB301" s="149">
        <f t="shared" ca="1" si="15"/>
        <v>441.47331315884486</v>
      </c>
    </row>
    <row r="302" spans="28:28" x14ac:dyDescent="0.2">
      <c r="AB302" s="149">
        <f t="shared" ca="1" si="15"/>
        <v>531.50713900545315</v>
      </c>
    </row>
    <row r="303" spans="28:28" x14ac:dyDescent="0.2">
      <c r="AB303" s="149">
        <f t="shared" ca="1" si="15"/>
        <v>581.81675263023567</v>
      </c>
    </row>
    <row r="304" spans="28:28" x14ac:dyDescent="0.2">
      <c r="AB304" s="149">
        <f t="shared" ca="1" si="15"/>
        <v>41.333391096381902</v>
      </c>
    </row>
    <row r="305" spans="28:28" x14ac:dyDescent="0.2">
      <c r="AB305" s="149">
        <f t="shared" ca="1" si="15"/>
        <v>813.91199198472941</v>
      </c>
    </row>
    <row r="306" spans="28:28" x14ac:dyDescent="0.2">
      <c r="AB306" s="149">
        <f t="shared" ca="1" si="15"/>
        <v>671.7621469209862</v>
      </c>
    </row>
    <row r="307" spans="28:28" x14ac:dyDescent="0.2">
      <c r="AB307" s="149">
        <f t="shared" ca="1" si="15"/>
        <v>911.78791457578984</v>
      </c>
    </row>
    <row r="308" spans="28:28" x14ac:dyDescent="0.2">
      <c r="AB308" s="149">
        <f t="shared" ca="1" si="15"/>
        <v>106.34962319026087</v>
      </c>
    </row>
    <row r="309" spans="28:28" x14ac:dyDescent="0.2">
      <c r="AB309" s="149">
        <f t="shared" ca="1" si="15"/>
        <v>490.07729940683663</v>
      </c>
    </row>
    <row r="310" spans="28:28" x14ac:dyDescent="0.2">
      <c r="AB310" s="149">
        <f t="shared" ca="1" si="15"/>
        <v>706.14968804629973</v>
      </c>
    </row>
    <row r="311" spans="28:28" x14ac:dyDescent="0.2">
      <c r="AB311" s="149">
        <f t="shared" ca="1" si="15"/>
        <v>756.07092837612151</v>
      </c>
    </row>
    <row r="312" spans="28:28" x14ac:dyDescent="0.2">
      <c r="AB312" s="149">
        <f t="shared" ca="1" si="15"/>
        <v>515.48865154055886</v>
      </c>
    </row>
    <row r="313" spans="28:28" x14ac:dyDescent="0.2">
      <c r="AB313" s="149">
        <f t="shared" ca="1" si="15"/>
        <v>319.32875275495087</v>
      </c>
    </row>
    <row r="314" spans="28:28" x14ac:dyDescent="0.2">
      <c r="AB314" s="149">
        <f t="shared" ca="1" si="15"/>
        <v>674.31204407615292</v>
      </c>
    </row>
    <row r="315" spans="28:28" x14ac:dyDescent="0.2">
      <c r="AB315" s="149">
        <f t="shared" ca="1" si="15"/>
        <v>196.04653849558738</v>
      </c>
    </row>
    <row r="316" spans="28:28" x14ac:dyDescent="0.2">
      <c r="AB316" s="149">
        <f t="shared" ca="1" si="15"/>
        <v>294.2973630067429</v>
      </c>
    </row>
    <row r="317" spans="28:28" x14ac:dyDescent="0.2">
      <c r="AB317" s="149">
        <f t="shared" ca="1" si="15"/>
        <v>986.47431270256163</v>
      </c>
    </row>
    <row r="318" spans="28:28" x14ac:dyDescent="0.2">
      <c r="AB318" s="149">
        <f t="shared" ca="1" si="15"/>
        <v>297.1117391561545</v>
      </c>
    </row>
    <row r="319" spans="28:28" x14ac:dyDescent="0.2">
      <c r="AB319" s="149">
        <f t="shared" ca="1" si="15"/>
        <v>559.7058756268475</v>
      </c>
    </row>
    <row r="320" spans="28:28" x14ac:dyDescent="0.2">
      <c r="AB320" s="149">
        <f t="shared" ca="1" si="15"/>
        <v>504.5156841915541</v>
      </c>
    </row>
    <row r="321" spans="28:28" x14ac:dyDescent="0.2">
      <c r="AB321" s="149">
        <f t="shared" ca="1" si="15"/>
        <v>979.79345231940249</v>
      </c>
    </row>
    <row r="322" spans="28:28" x14ac:dyDescent="0.2">
      <c r="AB322" s="149">
        <f t="shared" ca="1" si="15"/>
        <v>358.98906369523075</v>
      </c>
    </row>
    <row r="323" spans="28:28" x14ac:dyDescent="0.2">
      <c r="AB323" s="149">
        <f t="shared" ca="1" si="15"/>
        <v>208.66577999255929</v>
      </c>
    </row>
    <row r="324" spans="28:28" x14ac:dyDescent="0.2">
      <c r="AB324" s="149">
        <f t="shared" ca="1" si="15"/>
        <v>24.294613669564981</v>
      </c>
    </row>
    <row r="325" spans="28:28" x14ac:dyDescent="0.2">
      <c r="AB325" s="149">
        <f t="shared" ref="AB325:AB388" ca="1" si="16">RAND()*1000</f>
        <v>587.81124077468962</v>
      </c>
    </row>
    <row r="326" spans="28:28" x14ac:dyDescent="0.2">
      <c r="AB326" s="149">
        <f t="shared" ca="1" si="16"/>
        <v>927.10004111399519</v>
      </c>
    </row>
    <row r="327" spans="28:28" x14ac:dyDescent="0.2">
      <c r="AB327" s="149">
        <f t="shared" ca="1" si="16"/>
        <v>965.23604627856776</v>
      </c>
    </row>
    <row r="328" spans="28:28" x14ac:dyDescent="0.2">
      <c r="AB328" s="149">
        <f t="shared" ca="1" si="16"/>
        <v>950.55866493701967</v>
      </c>
    </row>
    <row r="329" spans="28:28" x14ac:dyDescent="0.2">
      <c r="AB329" s="149">
        <f t="shared" ca="1" si="16"/>
        <v>699.30043090162542</v>
      </c>
    </row>
    <row r="330" spans="28:28" x14ac:dyDescent="0.2">
      <c r="AB330" s="149">
        <f t="shared" ca="1" si="16"/>
        <v>754.86970822294199</v>
      </c>
    </row>
    <row r="331" spans="28:28" x14ac:dyDescent="0.2">
      <c r="AB331" s="149">
        <f t="shared" ca="1" si="16"/>
        <v>505.99449861364752</v>
      </c>
    </row>
    <row r="332" spans="28:28" x14ac:dyDescent="0.2">
      <c r="AB332" s="149">
        <f t="shared" ca="1" si="16"/>
        <v>330.62057592728058</v>
      </c>
    </row>
    <row r="333" spans="28:28" x14ac:dyDescent="0.2">
      <c r="AB333" s="149">
        <f t="shared" ca="1" si="16"/>
        <v>664.66529624833311</v>
      </c>
    </row>
    <row r="334" spans="28:28" x14ac:dyDescent="0.2">
      <c r="AB334" s="149">
        <f t="shared" ca="1" si="16"/>
        <v>963.5123259147789</v>
      </c>
    </row>
    <row r="335" spans="28:28" x14ac:dyDescent="0.2">
      <c r="AB335" s="149">
        <f t="shared" ca="1" si="16"/>
        <v>268.0705696668021</v>
      </c>
    </row>
    <row r="336" spans="28:28" x14ac:dyDescent="0.2">
      <c r="AB336" s="149">
        <f t="shared" ca="1" si="16"/>
        <v>397.79971541127355</v>
      </c>
    </row>
    <row r="337" spans="28:28" x14ac:dyDescent="0.2">
      <c r="AB337" s="149">
        <f t="shared" ca="1" si="16"/>
        <v>162.31941525530914</v>
      </c>
    </row>
    <row r="338" spans="28:28" x14ac:dyDescent="0.2">
      <c r="AB338" s="149">
        <f t="shared" ca="1" si="16"/>
        <v>12.729796780105996</v>
      </c>
    </row>
    <row r="339" spans="28:28" x14ac:dyDescent="0.2">
      <c r="AB339" s="149">
        <f t="shared" ca="1" si="16"/>
        <v>998.46090060495965</v>
      </c>
    </row>
    <row r="340" spans="28:28" x14ac:dyDescent="0.2">
      <c r="AB340" s="149">
        <f t="shared" ca="1" si="16"/>
        <v>442.86326342059704</v>
      </c>
    </row>
    <row r="341" spans="28:28" x14ac:dyDescent="0.2">
      <c r="AB341" s="149">
        <f t="shared" ca="1" si="16"/>
        <v>716.91666947923352</v>
      </c>
    </row>
    <row r="342" spans="28:28" x14ac:dyDescent="0.2">
      <c r="AB342" s="149">
        <f t="shared" ca="1" si="16"/>
        <v>552.52528188647341</v>
      </c>
    </row>
    <row r="343" spans="28:28" x14ac:dyDescent="0.2">
      <c r="AB343" s="149">
        <f t="shared" ca="1" si="16"/>
        <v>690.97868026912533</v>
      </c>
    </row>
    <row r="344" spans="28:28" x14ac:dyDescent="0.2">
      <c r="AB344" s="149">
        <f t="shared" ca="1" si="16"/>
        <v>241.64465785961252</v>
      </c>
    </row>
    <row r="345" spans="28:28" x14ac:dyDescent="0.2">
      <c r="AB345" s="149">
        <f t="shared" ca="1" si="16"/>
        <v>107.18976224565746</v>
      </c>
    </row>
    <row r="346" spans="28:28" x14ac:dyDescent="0.2">
      <c r="AB346" s="149">
        <f t="shared" ca="1" si="16"/>
        <v>64.273516885341891</v>
      </c>
    </row>
    <row r="347" spans="28:28" x14ac:dyDescent="0.2">
      <c r="AB347" s="149">
        <f t="shared" ca="1" si="16"/>
        <v>354.51550697758518</v>
      </c>
    </row>
    <row r="348" spans="28:28" x14ac:dyDescent="0.2">
      <c r="AB348" s="149">
        <f t="shared" ca="1" si="16"/>
        <v>524.8983864701562</v>
      </c>
    </row>
    <row r="349" spans="28:28" x14ac:dyDescent="0.2">
      <c r="AB349" s="149">
        <f t="shared" ca="1" si="16"/>
        <v>5.9391506768795566</v>
      </c>
    </row>
    <row r="350" spans="28:28" x14ac:dyDescent="0.2">
      <c r="AB350" s="149">
        <f t="shared" ca="1" si="16"/>
        <v>527.15570320958</v>
      </c>
    </row>
    <row r="351" spans="28:28" x14ac:dyDescent="0.2">
      <c r="AB351" s="149">
        <f t="shared" ca="1" si="16"/>
        <v>541.16149196003551</v>
      </c>
    </row>
    <row r="352" spans="28:28" x14ac:dyDescent="0.2">
      <c r="AB352" s="149">
        <f t="shared" ca="1" si="16"/>
        <v>230.73432583969768</v>
      </c>
    </row>
    <row r="353" spans="28:28" x14ac:dyDescent="0.2">
      <c r="AB353" s="149">
        <f t="shared" ca="1" si="16"/>
        <v>548.8264834554484</v>
      </c>
    </row>
    <row r="354" spans="28:28" x14ac:dyDescent="0.2">
      <c r="AB354" s="149">
        <f t="shared" ca="1" si="16"/>
        <v>465.18480196695009</v>
      </c>
    </row>
    <row r="355" spans="28:28" x14ac:dyDescent="0.2">
      <c r="AB355" s="149">
        <f t="shared" ca="1" si="16"/>
        <v>764.71715379033537</v>
      </c>
    </row>
    <row r="356" spans="28:28" x14ac:dyDescent="0.2">
      <c r="AB356" s="149">
        <f t="shared" ca="1" si="16"/>
        <v>204.97496051245767</v>
      </c>
    </row>
    <row r="357" spans="28:28" x14ac:dyDescent="0.2">
      <c r="AB357" s="149">
        <f t="shared" ca="1" si="16"/>
        <v>155.66217014093965</v>
      </c>
    </row>
    <row r="358" spans="28:28" x14ac:dyDescent="0.2">
      <c r="AB358" s="149">
        <f t="shared" ca="1" si="16"/>
        <v>648.8028764583072</v>
      </c>
    </row>
    <row r="359" spans="28:28" x14ac:dyDescent="0.2">
      <c r="AB359" s="149">
        <f t="shared" ca="1" si="16"/>
        <v>892.87389994158912</v>
      </c>
    </row>
    <row r="360" spans="28:28" x14ac:dyDescent="0.2">
      <c r="AB360" s="149">
        <f t="shared" ca="1" si="16"/>
        <v>372.3392775994804</v>
      </c>
    </row>
    <row r="361" spans="28:28" x14ac:dyDescent="0.2">
      <c r="AB361" s="149">
        <f t="shared" ca="1" si="16"/>
        <v>992.50701001766208</v>
      </c>
    </row>
    <row r="362" spans="28:28" x14ac:dyDescent="0.2">
      <c r="AB362" s="149">
        <f t="shared" ca="1" si="16"/>
        <v>93.817703006821574</v>
      </c>
    </row>
    <row r="363" spans="28:28" x14ac:dyDescent="0.2">
      <c r="AB363" s="149">
        <f t="shared" ca="1" si="16"/>
        <v>76.124267569314114</v>
      </c>
    </row>
    <row r="364" spans="28:28" x14ac:dyDescent="0.2">
      <c r="AB364" s="149">
        <f t="shared" ca="1" si="16"/>
        <v>607.74354588608196</v>
      </c>
    </row>
    <row r="365" spans="28:28" x14ac:dyDescent="0.2">
      <c r="AB365" s="149">
        <f t="shared" ca="1" si="16"/>
        <v>960.98553234093367</v>
      </c>
    </row>
    <row r="366" spans="28:28" x14ac:dyDescent="0.2">
      <c r="AB366" s="149">
        <f t="shared" ca="1" si="16"/>
        <v>414.94844691828348</v>
      </c>
    </row>
    <row r="367" spans="28:28" x14ac:dyDescent="0.2">
      <c r="AB367" s="149">
        <f t="shared" ca="1" si="16"/>
        <v>131.96089399190402</v>
      </c>
    </row>
    <row r="368" spans="28:28" x14ac:dyDescent="0.2">
      <c r="AB368" s="149">
        <f t="shared" ca="1" si="16"/>
        <v>92.35387782650028</v>
      </c>
    </row>
    <row r="369" spans="28:28" x14ac:dyDescent="0.2">
      <c r="AB369" s="149">
        <f t="shared" ca="1" si="16"/>
        <v>920.72650637372692</v>
      </c>
    </row>
    <row r="370" spans="28:28" x14ac:dyDescent="0.2">
      <c r="AB370" s="149">
        <f t="shared" ca="1" si="16"/>
        <v>264.59057792062811</v>
      </c>
    </row>
    <row r="371" spans="28:28" x14ac:dyDescent="0.2">
      <c r="AB371" s="149">
        <f t="shared" ca="1" si="16"/>
        <v>201.51763404018541</v>
      </c>
    </row>
    <row r="372" spans="28:28" x14ac:dyDescent="0.2">
      <c r="AB372" s="149">
        <f t="shared" ca="1" si="16"/>
        <v>226.51309381654318</v>
      </c>
    </row>
    <row r="373" spans="28:28" x14ac:dyDescent="0.2">
      <c r="AB373" s="149">
        <f t="shared" ca="1" si="16"/>
        <v>188.56964250163023</v>
      </c>
    </row>
    <row r="374" spans="28:28" x14ac:dyDescent="0.2">
      <c r="AB374" s="149">
        <f t="shared" ca="1" si="16"/>
        <v>659.14792326617112</v>
      </c>
    </row>
    <row r="375" spans="28:28" x14ac:dyDescent="0.2">
      <c r="AB375" s="149">
        <f t="shared" ca="1" si="16"/>
        <v>512.16034505496918</v>
      </c>
    </row>
    <row r="376" spans="28:28" x14ac:dyDescent="0.2">
      <c r="AB376" s="149">
        <f t="shared" ca="1" si="16"/>
        <v>576.232666924564</v>
      </c>
    </row>
    <row r="377" spans="28:28" x14ac:dyDescent="0.2">
      <c r="AB377" s="149">
        <f t="shared" ca="1" si="16"/>
        <v>471.54325225364624</v>
      </c>
    </row>
    <row r="378" spans="28:28" x14ac:dyDescent="0.2">
      <c r="AB378" s="149">
        <f t="shared" ca="1" si="16"/>
        <v>666.86247833567302</v>
      </c>
    </row>
    <row r="379" spans="28:28" x14ac:dyDescent="0.2">
      <c r="AB379" s="149">
        <f t="shared" ca="1" si="16"/>
        <v>89.317231639837289</v>
      </c>
    </row>
    <row r="380" spans="28:28" x14ac:dyDescent="0.2">
      <c r="AB380" s="149">
        <f t="shared" ca="1" si="16"/>
        <v>975.70167025110527</v>
      </c>
    </row>
    <row r="381" spans="28:28" x14ac:dyDescent="0.2">
      <c r="AB381" s="149">
        <f t="shared" ca="1" si="16"/>
        <v>216.13829853965515</v>
      </c>
    </row>
    <row r="382" spans="28:28" x14ac:dyDescent="0.2">
      <c r="AB382" s="149">
        <f t="shared" ca="1" si="16"/>
        <v>107.15301287552215</v>
      </c>
    </row>
    <row r="383" spans="28:28" x14ac:dyDescent="0.2">
      <c r="AB383" s="149">
        <f t="shared" ca="1" si="16"/>
        <v>864.58769252385503</v>
      </c>
    </row>
    <row r="384" spans="28:28" x14ac:dyDescent="0.2">
      <c r="AB384" s="149">
        <f t="shared" ca="1" si="16"/>
        <v>538.79820532775659</v>
      </c>
    </row>
    <row r="385" spans="28:28" x14ac:dyDescent="0.2">
      <c r="AB385" s="149">
        <f t="shared" ca="1" si="16"/>
        <v>428.86559138861793</v>
      </c>
    </row>
    <row r="386" spans="28:28" x14ac:dyDescent="0.2">
      <c r="AB386" s="149">
        <f t="shared" ca="1" si="16"/>
        <v>549.27773444182787</v>
      </c>
    </row>
    <row r="387" spans="28:28" x14ac:dyDescent="0.2">
      <c r="AB387" s="149">
        <f t="shared" ca="1" si="16"/>
        <v>471.28639603371658</v>
      </c>
    </row>
    <row r="388" spans="28:28" x14ac:dyDescent="0.2">
      <c r="AB388" s="149">
        <f t="shared" ca="1" si="16"/>
        <v>143.85933832876842</v>
      </c>
    </row>
    <row r="389" spans="28:28" x14ac:dyDescent="0.2">
      <c r="AB389" s="149">
        <f t="shared" ref="AB389:AB452" ca="1" si="17">RAND()*1000</f>
        <v>26.902182245846507</v>
      </c>
    </row>
    <row r="390" spans="28:28" x14ac:dyDescent="0.2">
      <c r="AB390" s="149">
        <f t="shared" ca="1" si="17"/>
        <v>24.597036463078759</v>
      </c>
    </row>
    <row r="391" spans="28:28" x14ac:dyDescent="0.2">
      <c r="AB391" s="149">
        <f t="shared" ca="1" si="17"/>
        <v>659.24662656918395</v>
      </c>
    </row>
    <row r="392" spans="28:28" x14ac:dyDescent="0.2">
      <c r="AB392" s="149">
        <f t="shared" ca="1" si="17"/>
        <v>341.15107496909326</v>
      </c>
    </row>
    <row r="393" spans="28:28" x14ac:dyDescent="0.2">
      <c r="AB393" s="149">
        <f t="shared" ca="1" si="17"/>
        <v>120.95669374683537</v>
      </c>
    </row>
    <row r="394" spans="28:28" x14ac:dyDescent="0.2">
      <c r="AB394" s="149">
        <f t="shared" ca="1" si="17"/>
        <v>621.75990024492148</v>
      </c>
    </row>
    <row r="395" spans="28:28" x14ac:dyDescent="0.2">
      <c r="AB395" s="149">
        <f t="shared" ca="1" si="17"/>
        <v>255.50201084515422</v>
      </c>
    </row>
    <row r="396" spans="28:28" x14ac:dyDescent="0.2">
      <c r="AB396" s="149">
        <f t="shared" ca="1" si="17"/>
        <v>821.31050240944114</v>
      </c>
    </row>
    <row r="397" spans="28:28" x14ac:dyDescent="0.2">
      <c r="AB397" s="149">
        <f t="shared" ca="1" si="17"/>
        <v>257.78936613398287</v>
      </c>
    </row>
    <row r="398" spans="28:28" x14ac:dyDescent="0.2">
      <c r="AB398" s="149">
        <f t="shared" ca="1" si="17"/>
        <v>190.76596692681304</v>
      </c>
    </row>
    <row r="399" spans="28:28" x14ac:dyDescent="0.2">
      <c r="AB399" s="149">
        <f t="shared" ca="1" si="17"/>
        <v>423.29668205483682</v>
      </c>
    </row>
    <row r="400" spans="28:28" x14ac:dyDescent="0.2">
      <c r="AB400" s="149">
        <f t="shared" ca="1" si="17"/>
        <v>698.16817096407556</v>
      </c>
    </row>
    <row r="401" spans="28:28" x14ac:dyDescent="0.2">
      <c r="AB401" s="149">
        <f t="shared" ca="1" si="17"/>
        <v>166.99656762128822</v>
      </c>
    </row>
    <row r="402" spans="28:28" x14ac:dyDescent="0.2">
      <c r="AB402" s="149">
        <f t="shared" ca="1" si="17"/>
        <v>843.8737668247087</v>
      </c>
    </row>
    <row r="403" spans="28:28" x14ac:dyDescent="0.2">
      <c r="AB403" s="149">
        <f t="shared" ca="1" si="17"/>
        <v>711.05661220247214</v>
      </c>
    </row>
    <row r="404" spans="28:28" x14ac:dyDescent="0.2">
      <c r="AB404" s="149">
        <f t="shared" ca="1" si="17"/>
        <v>953.91538072082528</v>
      </c>
    </row>
    <row r="405" spans="28:28" x14ac:dyDescent="0.2">
      <c r="AB405" s="149">
        <f t="shared" ca="1" si="17"/>
        <v>209.50584847911813</v>
      </c>
    </row>
    <row r="406" spans="28:28" x14ac:dyDescent="0.2">
      <c r="AB406" s="149">
        <f t="shared" ca="1" si="17"/>
        <v>581.25005282910138</v>
      </c>
    </row>
    <row r="407" spans="28:28" x14ac:dyDescent="0.2">
      <c r="AB407" s="149">
        <f t="shared" ca="1" si="17"/>
        <v>85.367654153919233</v>
      </c>
    </row>
    <row r="408" spans="28:28" x14ac:dyDescent="0.2">
      <c r="AB408" s="149">
        <f t="shared" ca="1" si="17"/>
        <v>388.24047716137102</v>
      </c>
    </row>
    <row r="409" spans="28:28" x14ac:dyDescent="0.2">
      <c r="AB409" s="149">
        <f t="shared" ca="1" si="17"/>
        <v>640.20269771524545</v>
      </c>
    </row>
    <row r="410" spans="28:28" x14ac:dyDescent="0.2">
      <c r="AB410" s="149">
        <f t="shared" ca="1" si="17"/>
        <v>323.75632408329682</v>
      </c>
    </row>
    <row r="411" spans="28:28" x14ac:dyDescent="0.2">
      <c r="AB411" s="149">
        <f t="shared" ca="1" si="17"/>
        <v>410.54048684258993</v>
      </c>
    </row>
    <row r="412" spans="28:28" x14ac:dyDescent="0.2">
      <c r="AB412" s="149">
        <f t="shared" ca="1" si="17"/>
        <v>32.812635630023678</v>
      </c>
    </row>
    <row r="413" spans="28:28" x14ac:dyDescent="0.2">
      <c r="AB413" s="149">
        <f t="shared" ca="1" si="17"/>
        <v>936.14538675539404</v>
      </c>
    </row>
    <row r="414" spans="28:28" x14ac:dyDescent="0.2">
      <c r="AB414" s="149">
        <f t="shared" ca="1" si="17"/>
        <v>202.85528731271941</v>
      </c>
    </row>
    <row r="415" spans="28:28" x14ac:dyDescent="0.2">
      <c r="AB415" s="149">
        <f t="shared" ca="1" si="17"/>
        <v>818.017250129437</v>
      </c>
    </row>
    <row r="416" spans="28:28" x14ac:dyDescent="0.2">
      <c r="AB416" s="149">
        <f t="shared" ca="1" si="17"/>
        <v>956.95949716272867</v>
      </c>
    </row>
    <row r="417" spans="28:28" x14ac:dyDescent="0.2">
      <c r="AB417" s="149">
        <f t="shared" ca="1" si="17"/>
        <v>646.35686223344408</v>
      </c>
    </row>
    <row r="418" spans="28:28" x14ac:dyDescent="0.2">
      <c r="AB418" s="149">
        <f t="shared" ca="1" si="17"/>
        <v>867.00600469795131</v>
      </c>
    </row>
    <row r="419" spans="28:28" x14ac:dyDescent="0.2">
      <c r="AB419" s="149">
        <f t="shared" ca="1" si="17"/>
        <v>661.70787226713639</v>
      </c>
    </row>
    <row r="420" spans="28:28" x14ac:dyDescent="0.2">
      <c r="AB420" s="149">
        <f t="shared" ca="1" si="17"/>
        <v>267.05912913359174</v>
      </c>
    </row>
    <row r="421" spans="28:28" x14ac:dyDescent="0.2">
      <c r="AB421" s="149">
        <f t="shared" ca="1" si="17"/>
        <v>803.74733169561591</v>
      </c>
    </row>
    <row r="422" spans="28:28" x14ac:dyDescent="0.2">
      <c r="AB422" s="149">
        <f t="shared" ca="1" si="17"/>
        <v>613.98889721371006</v>
      </c>
    </row>
    <row r="423" spans="28:28" x14ac:dyDescent="0.2">
      <c r="AB423" s="149">
        <f t="shared" ca="1" si="17"/>
        <v>868.33324141807464</v>
      </c>
    </row>
    <row r="424" spans="28:28" x14ac:dyDescent="0.2">
      <c r="AB424" s="149">
        <f t="shared" ca="1" si="17"/>
        <v>533.00758501178291</v>
      </c>
    </row>
    <row r="425" spans="28:28" x14ac:dyDescent="0.2">
      <c r="AB425" s="149">
        <f t="shared" ca="1" si="17"/>
        <v>320.80879324059254</v>
      </c>
    </row>
    <row r="426" spans="28:28" x14ac:dyDescent="0.2">
      <c r="AB426" s="149">
        <f t="shared" ca="1" si="17"/>
        <v>25.439078648482159</v>
      </c>
    </row>
    <row r="427" spans="28:28" x14ac:dyDescent="0.2">
      <c r="AB427" s="149">
        <f t="shared" ca="1" si="17"/>
        <v>763.33823760415237</v>
      </c>
    </row>
    <row r="428" spans="28:28" x14ac:dyDescent="0.2">
      <c r="AB428" s="149">
        <f t="shared" ca="1" si="17"/>
        <v>5.24195164417951</v>
      </c>
    </row>
    <row r="429" spans="28:28" x14ac:dyDescent="0.2">
      <c r="AB429" s="149">
        <f t="shared" ca="1" si="17"/>
        <v>124.17931390372905</v>
      </c>
    </row>
    <row r="430" spans="28:28" x14ac:dyDescent="0.2">
      <c r="AB430" s="149">
        <f t="shared" ca="1" si="17"/>
        <v>149.8437075942083</v>
      </c>
    </row>
    <row r="431" spans="28:28" x14ac:dyDescent="0.2">
      <c r="AB431" s="149">
        <f t="shared" ca="1" si="17"/>
        <v>81.477149295081659</v>
      </c>
    </row>
    <row r="432" spans="28:28" x14ac:dyDescent="0.2">
      <c r="AB432" s="149">
        <f t="shared" ca="1" si="17"/>
        <v>673.84850706788154</v>
      </c>
    </row>
    <row r="433" spans="28:28" x14ac:dyDescent="0.2">
      <c r="AB433" s="149">
        <f t="shared" ca="1" si="17"/>
        <v>70.447395195096348</v>
      </c>
    </row>
    <row r="434" spans="28:28" x14ac:dyDescent="0.2">
      <c r="AB434" s="149">
        <f t="shared" ca="1" si="17"/>
        <v>495.65621375571681</v>
      </c>
    </row>
    <row r="435" spans="28:28" x14ac:dyDescent="0.2">
      <c r="AB435" s="149">
        <f t="shared" ca="1" si="17"/>
        <v>517.36789769973575</v>
      </c>
    </row>
    <row r="436" spans="28:28" x14ac:dyDescent="0.2">
      <c r="AB436" s="149">
        <f t="shared" ca="1" si="17"/>
        <v>29.583746015443001</v>
      </c>
    </row>
    <row r="437" spans="28:28" x14ac:dyDescent="0.2">
      <c r="AB437" s="149">
        <f t="shared" ca="1" si="17"/>
        <v>315.69102472463004</v>
      </c>
    </row>
    <row r="438" spans="28:28" x14ac:dyDescent="0.2">
      <c r="AB438" s="149">
        <f t="shared" ca="1" si="17"/>
        <v>197.71315631176699</v>
      </c>
    </row>
    <row r="439" spans="28:28" x14ac:dyDescent="0.2">
      <c r="AB439" s="149">
        <f t="shared" ca="1" si="17"/>
        <v>751.49966976015889</v>
      </c>
    </row>
    <row r="440" spans="28:28" x14ac:dyDescent="0.2">
      <c r="AB440" s="149">
        <f t="shared" ca="1" si="17"/>
        <v>935.34099565945633</v>
      </c>
    </row>
    <row r="441" spans="28:28" x14ac:dyDescent="0.2">
      <c r="AB441" s="149">
        <f t="shared" ca="1" si="17"/>
        <v>690.72385076695787</v>
      </c>
    </row>
    <row r="442" spans="28:28" x14ac:dyDescent="0.2">
      <c r="AB442" s="149">
        <f t="shared" ca="1" si="17"/>
        <v>672.06437315764845</v>
      </c>
    </row>
    <row r="443" spans="28:28" x14ac:dyDescent="0.2">
      <c r="AB443" s="149">
        <f t="shared" ca="1" si="17"/>
        <v>845.80982034330111</v>
      </c>
    </row>
    <row r="444" spans="28:28" x14ac:dyDescent="0.2">
      <c r="AB444" s="149">
        <f t="shared" ca="1" si="17"/>
        <v>43.352407427558859</v>
      </c>
    </row>
    <row r="445" spans="28:28" x14ac:dyDescent="0.2">
      <c r="AB445" s="149">
        <f t="shared" ca="1" si="17"/>
        <v>820.11859399405114</v>
      </c>
    </row>
    <row r="446" spans="28:28" x14ac:dyDescent="0.2">
      <c r="AB446" s="149">
        <f t="shared" ca="1" si="17"/>
        <v>337.47081633798814</v>
      </c>
    </row>
    <row r="447" spans="28:28" x14ac:dyDescent="0.2">
      <c r="AB447" s="149">
        <f t="shared" ca="1" si="17"/>
        <v>149.12623054376584</v>
      </c>
    </row>
    <row r="448" spans="28:28" x14ac:dyDescent="0.2">
      <c r="AB448" s="149">
        <f t="shared" ca="1" si="17"/>
        <v>194.03230340628008</v>
      </c>
    </row>
    <row r="449" spans="28:28" x14ac:dyDescent="0.2">
      <c r="AB449" s="149">
        <f t="shared" ca="1" si="17"/>
        <v>522.69353062902701</v>
      </c>
    </row>
    <row r="450" spans="28:28" x14ac:dyDescent="0.2">
      <c r="AB450" s="149">
        <f t="shared" ca="1" si="17"/>
        <v>85.326962127026505</v>
      </c>
    </row>
    <row r="451" spans="28:28" x14ac:dyDescent="0.2">
      <c r="AB451" s="149">
        <f t="shared" ca="1" si="17"/>
        <v>672.76641568182617</v>
      </c>
    </row>
    <row r="452" spans="28:28" x14ac:dyDescent="0.2">
      <c r="AB452" s="149">
        <f t="shared" ca="1" si="17"/>
        <v>122.4000557212388</v>
      </c>
    </row>
    <row r="453" spans="28:28" x14ac:dyDescent="0.2">
      <c r="AB453" s="149">
        <f t="shared" ref="AB453:AB516" ca="1" si="18">RAND()*1000</f>
        <v>243.18898049924553</v>
      </c>
    </row>
    <row r="454" spans="28:28" x14ac:dyDescent="0.2">
      <c r="AB454" s="149">
        <f t="shared" ca="1" si="18"/>
        <v>111.58219271479342</v>
      </c>
    </row>
    <row r="455" spans="28:28" x14ac:dyDescent="0.2">
      <c r="AB455" s="149">
        <f t="shared" ca="1" si="18"/>
        <v>828.58284756316959</v>
      </c>
    </row>
    <row r="456" spans="28:28" x14ac:dyDescent="0.2">
      <c r="AB456" s="149">
        <f t="shared" ca="1" si="18"/>
        <v>75.136289141050085</v>
      </c>
    </row>
    <row r="457" spans="28:28" x14ac:dyDescent="0.2">
      <c r="AB457" s="149">
        <f t="shared" ca="1" si="18"/>
        <v>202.64303579624277</v>
      </c>
    </row>
    <row r="458" spans="28:28" x14ac:dyDescent="0.2">
      <c r="AB458" s="149">
        <f t="shared" ca="1" si="18"/>
        <v>543.756119649825</v>
      </c>
    </row>
    <row r="459" spans="28:28" x14ac:dyDescent="0.2">
      <c r="AB459" s="149">
        <f t="shared" ca="1" si="18"/>
        <v>21.437518374104457</v>
      </c>
    </row>
    <row r="460" spans="28:28" x14ac:dyDescent="0.2">
      <c r="AB460" s="149">
        <f t="shared" ca="1" si="18"/>
        <v>633.0011632780836</v>
      </c>
    </row>
    <row r="461" spans="28:28" x14ac:dyDescent="0.2">
      <c r="AB461" s="149">
        <f t="shared" ca="1" si="18"/>
        <v>765.9838999288088</v>
      </c>
    </row>
    <row r="462" spans="28:28" x14ac:dyDescent="0.2">
      <c r="AB462" s="149">
        <f t="shared" ca="1" si="18"/>
        <v>139.04351791619419</v>
      </c>
    </row>
    <row r="463" spans="28:28" x14ac:dyDescent="0.2">
      <c r="AB463" s="149">
        <f t="shared" ca="1" si="18"/>
        <v>149.83570072434239</v>
      </c>
    </row>
    <row r="464" spans="28:28" x14ac:dyDescent="0.2">
      <c r="AB464" s="149">
        <f t="shared" ca="1" si="18"/>
        <v>75.832601222453505</v>
      </c>
    </row>
    <row r="465" spans="28:28" x14ac:dyDescent="0.2">
      <c r="AB465" s="149">
        <f t="shared" ca="1" si="18"/>
        <v>695.71307724124722</v>
      </c>
    </row>
    <row r="466" spans="28:28" x14ac:dyDescent="0.2">
      <c r="AB466" s="149">
        <f t="shared" ca="1" si="18"/>
        <v>118.46366573821277</v>
      </c>
    </row>
    <row r="467" spans="28:28" x14ac:dyDescent="0.2">
      <c r="AB467" s="149">
        <f t="shared" ca="1" si="18"/>
        <v>611.09232820632326</v>
      </c>
    </row>
    <row r="468" spans="28:28" x14ac:dyDescent="0.2">
      <c r="AB468" s="149">
        <f t="shared" ca="1" si="18"/>
        <v>78.733163213094429</v>
      </c>
    </row>
    <row r="469" spans="28:28" x14ac:dyDescent="0.2">
      <c r="AB469" s="149">
        <f t="shared" ca="1" si="18"/>
        <v>104.36725719747031</v>
      </c>
    </row>
    <row r="470" spans="28:28" x14ac:dyDescent="0.2">
      <c r="AB470" s="149">
        <f t="shared" ca="1" si="18"/>
        <v>228.28756696651996</v>
      </c>
    </row>
    <row r="471" spans="28:28" x14ac:dyDescent="0.2">
      <c r="AB471" s="149">
        <f t="shared" ca="1" si="18"/>
        <v>87.656878873350379</v>
      </c>
    </row>
    <row r="472" spans="28:28" x14ac:dyDescent="0.2">
      <c r="AB472" s="149">
        <f t="shared" ca="1" si="18"/>
        <v>285.98405435493532</v>
      </c>
    </row>
    <row r="473" spans="28:28" x14ac:dyDescent="0.2">
      <c r="AB473" s="149">
        <f t="shared" ca="1" si="18"/>
        <v>381.59574348414748</v>
      </c>
    </row>
    <row r="474" spans="28:28" x14ac:dyDescent="0.2">
      <c r="AB474" s="149">
        <f t="shared" ca="1" si="18"/>
        <v>284.8744331437677</v>
      </c>
    </row>
    <row r="475" spans="28:28" x14ac:dyDescent="0.2">
      <c r="AB475" s="149">
        <f t="shared" ca="1" si="18"/>
        <v>502.95511005149041</v>
      </c>
    </row>
    <row r="476" spans="28:28" x14ac:dyDescent="0.2">
      <c r="AB476" s="149">
        <f t="shared" ca="1" si="18"/>
        <v>680.32473511113676</v>
      </c>
    </row>
    <row r="477" spans="28:28" x14ac:dyDescent="0.2">
      <c r="AB477" s="149">
        <f t="shared" ca="1" si="18"/>
        <v>913.50900341309466</v>
      </c>
    </row>
    <row r="478" spans="28:28" x14ac:dyDescent="0.2">
      <c r="AB478" s="149">
        <f t="shared" ca="1" si="18"/>
        <v>206.73835830462272</v>
      </c>
    </row>
    <row r="479" spans="28:28" x14ac:dyDescent="0.2">
      <c r="AB479" s="149">
        <f t="shared" ca="1" si="18"/>
        <v>291.04808292497688</v>
      </c>
    </row>
    <row r="480" spans="28:28" x14ac:dyDescent="0.2">
      <c r="AB480" s="149">
        <f t="shared" ca="1" si="18"/>
        <v>567.1930887666291</v>
      </c>
    </row>
    <row r="481" spans="28:28" x14ac:dyDescent="0.2">
      <c r="AB481" s="149">
        <f t="shared" ca="1" si="18"/>
        <v>717.97239570663385</v>
      </c>
    </row>
    <row r="482" spans="28:28" x14ac:dyDescent="0.2">
      <c r="AB482" s="149">
        <f t="shared" ca="1" si="18"/>
        <v>900.24994403788139</v>
      </c>
    </row>
    <row r="483" spans="28:28" x14ac:dyDescent="0.2">
      <c r="AB483" s="149">
        <f t="shared" ca="1" si="18"/>
        <v>276.16175966003698</v>
      </c>
    </row>
    <row r="484" spans="28:28" x14ac:dyDescent="0.2">
      <c r="AB484" s="149">
        <f t="shared" ca="1" si="18"/>
        <v>214.82695356911108</v>
      </c>
    </row>
    <row r="485" spans="28:28" x14ac:dyDescent="0.2">
      <c r="AB485" s="149">
        <f t="shared" ca="1" si="18"/>
        <v>26.106435808453622</v>
      </c>
    </row>
    <row r="486" spans="28:28" x14ac:dyDescent="0.2">
      <c r="AB486" s="149">
        <f t="shared" ca="1" si="18"/>
        <v>738.89913782407541</v>
      </c>
    </row>
    <row r="487" spans="28:28" x14ac:dyDescent="0.2">
      <c r="AB487" s="149">
        <f t="shared" ca="1" si="18"/>
        <v>479.51830340376944</v>
      </c>
    </row>
    <row r="488" spans="28:28" x14ac:dyDescent="0.2">
      <c r="AB488" s="149">
        <f t="shared" ca="1" si="18"/>
        <v>392.38610790992192</v>
      </c>
    </row>
    <row r="489" spans="28:28" x14ac:dyDescent="0.2">
      <c r="AB489" s="149">
        <f t="shared" ca="1" si="18"/>
        <v>671.66395360158435</v>
      </c>
    </row>
    <row r="490" spans="28:28" x14ac:dyDescent="0.2">
      <c r="AB490" s="149">
        <f t="shared" ca="1" si="18"/>
        <v>965.36057299126799</v>
      </c>
    </row>
    <row r="491" spans="28:28" x14ac:dyDescent="0.2">
      <c r="AB491" s="149">
        <f t="shared" ca="1" si="18"/>
        <v>961.34452647288299</v>
      </c>
    </row>
    <row r="492" spans="28:28" x14ac:dyDescent="0.2">
      <c r="AB492" s="149">
        <f t="shared" ca="1" si="18"/>
        <v>935.23304777923613</v>
      </c>
    </row>
    <row r="493" spans="28:28" x14ac:dyDescent="0.2">
      <c r="AB493" s="149">
        <f t="shared" ca="1" si="18"/>
        <v>598.21561354578898</v>
      </c>
    </row>
    <row r="494" spans="28:28" x14ac:dyDescent="0.2">
      <c r="AB494" s="149">
        <f t="shared" ca="1" si="18"/>
        <v>318.39798009868224</v>
      </c>
    </row>
    <row r="495" spans="28:28" x14ac:dyDescent="0.2">
      <c r="AB495" s="149">
        <f t="shared" ca="1" si="18"/>
        <v>635.51846249398477</v>
      </c>
    </row>
    <row r="496" spans="28:28" x14ac:dyDescent="0.2">
      <c r="AB496" s="149">
        <f t="shared" ca="1" si="18"/>
        <v>578.59612209599356</v>
      </c>
    </row>
    <row r="497" spans="28:28" x14ac:dyDescent="0.2">
      <c r="AB497" s="149">
        <f t="shared" ca="1" si="18"/>
        <v>839.69345910631012</v>
      </c>
    </row>
    <row r="498" spans="28:28" x14ac:dyDescent="0.2">
      <c r="AB498" s="149">
        <f t="shared" ca="1" si="18"/>
        <v>806.3372356409061</v>
      </c>
    </row>
    <row r="499" spans="28:28" x14ac:dyDescent="0.2">
      <c r="AB499" s="149">
        <f t="shared" ca="1" si="18"/>
        <v>858.08032144544438</v>
      </c>
    </row>
    <row r="500" spans="28:28" x14ac:dyDescent="0.2">
      <c r="AB500" s="149">
        <f t="shared" ca="1" si="18"/>
        <v>991.72498572705501</v>
      </c>
    </row>
    <row r="501" spans="28:28" x14ac:dyDescent="0.2">
      <c r="AB501" s="149">
        <f t="shared" ca="1" si="18"/>
        <v>838.91369561975296</v>
      </c>
    </row>
    <row r="502" spans="28:28" x14ac:dyDescent="0.2">
      <c r="AB502" s="149">
        <f t="shared" ca="1" si="18"/>
        <v>728.88713779973205</v>
      </c>
    </row>
    <row r="503" spans="28:28" x14ac:dyDescent="0.2">
      <c r="AB503" s="149">
        <f t="shared" ca="1" si="18"/>
        <v>952.6164231556296</v>
      </c>
    </row>
    <row r="504" spans="28:28" x14ac:dyDescent="0.2">
      <c r="AB504" s="149">
        <f t="shared" ca="1" si="18"/>
        <v>402.12150817589878</v>
      </c>
    </row>
    <row r="505" spans="28:28" x14ac:dyDescent="0.2">
      <c r="AB505" s="149">
        <f t="shared" ca="1" si="18"/>
        <v>349.00611185107056</v>
      </c>
    </row>
    <row r="506" spans="28:28" x14ac:dyDescent="0.2">
      <c r="AB506" s="149">
        <f t="shared" ca="1" si="18"/>
        <v>498.32344832807507</v>
      </c>
    </row>
    <row r="507" spans="28:28" x14ac:dyDescent="0.2">
      <c r="AB507" s="149">
        <f t="shared" ca="1" si="18"/>
        <v>218.79946131845219</v>
      </c>
    </row>
    <row r="508" spans="28:28" x14ac:dyDescent="0.2">
      <c r="AB508" s="149">
        <f t="shared" ca="1" si="18"/>
        <v>4.0989335187673337</v>
      </c>
    </row>
    <row r="509" spans="28:28" x14ac:dyDescent="0.2">
      <c r="AB509" s="149">
        <f t="shared" ca="1" si="18"/>
        <v>749.12578459322549</v>
      </c>
    </row>
    <row r="510" spans="28:28" x14ac:dyDescent="0.2">
      <c r="AB510" s="149">
        <f t="shared" ca="1" si="18"/>
        <v>686.88212968368555</v>
      </c>
    </row>
    <row r="511" spans="28:28" x14ac:dyDescent="0.2">
      <c r="AB511" s="149">
        <f t="shared" ca="1" si="18"/>
        <v>253.26316099508873</v>
      </c>
    </row>
    <row r="512" spans="28:28" x14ac:dyDescent="0.2">
      <c r="AB512" s="149">
        <f t="shared" ca="1" si="18"/>
        <v>859.47626277239408</v>
      </c>
    </row>
    <row r="513" spans="28:28" x14ac:dyDescent="0.2">
      <c r="AB513" s="149">
        <f t="shared" ca="1" si="18"/>
        <v>771.99285644156828</v>
      </c>
    </row>
    <row r="514" spans="28:28" x14ac:dyDescent="0.2">
      <c r="AB514" s="149">
        <f t="shared" ca="1" si="18"/>
        <v>994.40229612104906</v>
      </c>
    </row>
    <row r="515" spans="28:28" x14ac:dyDescent="0.2">
      <c r="AB515" s="149">
        <f t="shared" ca="1" si="18"/>
        <v>973.27444257445563</v>
      </c>
    </row>
    <row r="516" spans="28:28" x14ac:dyDescent="0.2">
      <c r="AB516" s="149">
        <f t="shared" ca="1" si="18"/>
        <v>565.03521420052925</v>
      </c>
    </row>
    <row r="517" spans="28:28" x14ac:dyDescent="0.2">
      <c r="AB517" s="149">
        <f t="shared" ref="AB517:AB580" ca="1" si="19">RAND()*1000</f>
        <v>495.28846301030148</v>
      </c>
    </row>
    <row r="518" spans="28:28" x14ac:dyDescent="0.2">
      <c r="AB518" s="149">
        <f t="shared" ca="1" si="19"/>
        <v>92.258858235978678</v>
      </c>
    </row>
    <row r="519" spans="28:28" x14ac:dyDescent="0.2">
      <c r="AB519" s="149">
        <f t="shared" ca="1" si="19"/>
        <v>972.58053464785758</v>
      </c>
    </row>
    <row r="520" spans="28:28" x14ac:dyDescent="0.2">
      <c r="AB520" s="149">
        <f t="shared" ca="1" si="19"/>
        <v>983.15285630226413</v>
      </c>
    </row>
    <row r="521" spans="28:28" x14ac:dyDescent="0.2">
      <c r="AB521" s="149">
        <f t="shared" ca="1" si="19"/>
        <v>566.29911178106181</v>
      </c>
    </row>
    <row r="522" spans="28:28" x14ac:dyDescent="0.2">
      <c r="AB522" s="149">
        <f t="shared" ca="1" si="19"/>
        <v>779.43245456923512</v>
      </c>
    </row>
    <row r="523" spans="28:28" x14ac:dyDescent="0.2">
      <c r="AB523" s="149">
        <f t="shared" ca="1" si="19"/>
        <v>176.6547388137547</v>
      </c>
    </row>
    <row r="524" spans="28:28" x14ac:dyDescent="0.2">
      <c r="AB524" s="149">
        <f t="shared" ca="1" si="19"/>
        <v>596.99475802697953</v>
      </c>
    </row>
    <row r="525" spans="28:28" x14ac:dyDescent="0.2">
      <c r="AB525" s="149">
        <f t="shared" ca="1" si="19"/>
        <v>97.481519211255033</v>
      </c>
    </row>
    <row r="526" spans="28:28" x14ac:dyDescent="0.2">
      <c r="AB526" s="149">
        <f t="shared" ca="1" si="19"/>
        <v>460.56854665621563</v>
      </c>
    </row>
    <row r="527" spans="28:28" x14ac:dyDescent="0.2">
      <c r="AB527" s="149">
        <f t="shared" ca="1" si="19"/>
        <v>97.186733727469004</v>
      </c>
    </row>
    <row r="528" spans="28:28" x14ac:dyDescent="0.2">
      <c r="AB528" s="149">
        <f t="shared" ca="1" si="19"/>
        <v>122.10585260748918</v>
      </c>
    </row>
    <row r="529" spans="28:28" x14ac:dyDescent="0.2">
      <c r="AB529" s="149">
        <f t="shared" ca="1" si="19"/>
        <v>553.8915384667016</v>
      </c>
    </row>
    <row r="530" spans="28:28" x14ac:dyDescent="0.2">
      <c r="AB530" s="149">
        <f t="shared" ca="1" si="19"/>
        <v>392.83676966550365</v>
      </c>
    </row>
    <row r="531" spans="28:28" x14ac:dyDescent="0.2">
      <c r="AB531" s="149">
        <f t="shared" ca="1" si="19"/>
        <v>186.08096468748124</v>
      </c>
    </row>
    <row r="532" spans="28:28" x14ac:dyDescent="0.2">
      <c r="AB532" s="149">
        <f t="shared" ca="1" si="19"/>
        <v>149.19278793152114</v>
      </c>
    </row>
    <row r="533" spans="28:28" x14ac:dyDescent="0.2">
      <c r="AB533" s="149">
        <f t="shared" ca="1" si="19"/>
        <v>311.49207449549579</v>
      </c>
    </row>
    <row r="534" spans="28:28" x14ac:dyDescent="0.2">
      <c r="AB534" s="149">
        <f t="shared" ca="1" si="19"/>
        <v>987.23588230770736</v>
      </c>
    </row>
    <row r="535" spans="28:28" x14ac:dyDescent="0.2">
      <c r="AB535" s="149">
        <f t="shared" ca="1" si="19"/>
        <v>984.57122990050266</v>
      </c>
    </row>
    <row r="536" spans="28:28" x14ac:dyDescent="0.2">
      <c r="AB536" s="149">
        <f t="shared" ca="1" si="19"/>
        <v>963.74436069513365</v>
      </c>
    </row>
    <row r="537" spans="28:28" x14ac:dyDescent="0.2">
      <c r="AB537" s="149">
        <f t="shared" ca="1" si="19"/>
        <v>146.13435427387111</v>
      </c>
    </row>
    <row r="538" spans="28:28" x14ac:dyDescent="0.2">
      <c r="AB538" s="149">
        <f t="shared" ca="1" si="19"/>
        <v>992.77681531947439</v>
      </c>
    </row>
    <row r="539" spans="28:28" x14ac:dyDescent="0.2">
      <c r="AB539" s="149">
        <f t="shared" ca="1" si="19"/>
        <v>435.56504668545602</v>
      </c>
    </row>
    <row r="540" spans="28:28" x14ac:dyDescent="0.2">
      <c r="AB540" s="149">
        <f t="shared" ca="1" si="19"/>
        <v>549.09490876664643</v>
      </c>
    </row>
    <row r="541" spans="28:28" x14ac:dyDescent="0.2">
      <c r="AB541" s="149">
        <f t="shared" ca="1" si="19"/>
        <v>362.34050497255288</v>
      </c>
    </row>
    <row r="542" spans="28:28" x14ac:dyDescent="0.2">
      <c r="AB542" s="149">
        <f t="shared" ca="1" si="19"/>
        <v>757.76294736673492</v>
      </c>
    </row>
    <row r="543" spans="28:28" x14ac:dyDescent="0.2">
      <c r="AB543" s="149">
        <f t="shared" ca="1" si="19"/>
        <v>94.696853938032618</v>
      </c>
    </row>
    <row r="544" spans="28:28" x14ac:dyDescent="0.2">
      <c r="AB544" s="149">
        <f t="shared" ca="1" si="19"/>
        <v>358.86494275721913</v>
      </c>
    </row>
    <row r="545" spans="28:28" x14ac:dyDescent="0.2">
      <c r="AB545" s="149">
        <f t="shared" ca="1" si="19"/>
        <v>90.653467737426439</v>
      </c>
    </row>
    <row r="546" spans="28:28" x14ac:dyDescent="0.2">
      <c r="AB546" s="149">
        <f t="shared" ca="1" si="19"/>
        <v>951.52623689096163</v>
      </c>
    </row>
    <row r="547" spans="28:28" x14ac:dyDescent="0.2">
      <c r="AB547" s="149">
        <f t="shared" ca="1" si="19"/>
        <v>256.09034603686945</v>
      </c>
    </row>
    <row r="548" spans="28:28" x14ac:dyDescent="0.2">
      <c r="AB548" s="149">
        <f t="shared" ca="1" si="19"/>
        <v>256.55133613906156</v>
      </c>
    </row>
    <row r="549" spans="28:28" x14ac:dyDescent="0.2">
      <c r="AB549" s="149">
        <f t="shared" ca="1" si="19"/>
        <v>908.92508569470033</v>
      </c>
    </row>
    <row r="550" spans="28:28" x14ac:dyDescent="0.2">
      <c r="AB550" s="149">
        <f t="shared" ca="1" si="19"/>
        <v>495.19225775002161</v>
      </c>
    </row>
    <row r="551" spans="28:28" x14ac:dyDescent="0.2">
      <c r="AB551" s="149">
        <f t="shared" ca="1" si="19"/>
        <v>86.106805150042433</v>
      </c>
    </row>
    <row r="552" spans="28:28" x14ac:dyDescent="0.2">
      <c r="AB552" s="149">
        <f t="shared" ca="1" si="19"/>
        <v>460.29644972698549</v>
      </c>
    </row>
    <row r="553" spans="28:28" x14ac:dyDescent="0.2">
      <c r="AB553" s="149">
        <f t="shared" ca="1" si="19"/>
        <v>254.61222078233936</v>
      </c>
    </row>
    <row r="554" spans="28:28" x14ac:dyDescent="0.2">
      <c r="AB554" s="149">
        <f t="shared" ca="1" si="19"/>
        <v>452.18165646212748</v>
      </c>
    </row>
    <row r="555" spans="28:28" x14ac:dyDescent="0.2">
      <c r="AB555" s="149">
        <f t="shared" ca="1" si="19"/>
        <v>268.90694883181277</v>
      </c>
    </row>
    <row r="556" spans="28:28" x14ac:dyDescent="0.2">
      <c r="AB556" s="149">
        <f t="shared" ca="1" si="19"/>
        <v>550.50421956250375</v>
      </c>
    </row>
    <row r="557" spans="28:28" x14ac:dyDescent="0.2">
      <c r="AB557" s="149">
        <f t="shared" ca="1" si="19"/>
        <v>599.73961032343016</v>
      </c>
    </row>
    <row r="558" spans="28:28" x14ac:dyDescent="0.2">
      <c r="AB558" s="149">
        <f t="shared" ca="1" si="19"/>
        <v>94.466182658379367</v>
      </c>
    </row>
    <row r="559" spans="28:28" x14ac:dyDescent="0.2">
      <c r="AB559" s="149">
        <f t="shared" ca="1" si="19"/>
        <v>392.63813162522456</v>
      </c>
    </row>
    <row r="560" spans="28:28" x14ac:dyDescent="0.2">
      <c r="AB560" s="149">
        <f t="shared" ca="1" si="19"/>
        <v>407.87112994953947</v>
      </c>
    </row>
    <row r="561" spans="28:28" x14ac:dyDescent="0.2">
      <c r="AB561" s="149">
        <f t="shared" ca="1" si="19"/>
        <v>535.86928557422641</v>
      </c>
    </row>
    <row r="562" spans="28:28" x14ac:dyDescent="0.2">
      <c r="AB562" s="149">
        <f t="shared" ca="1" si="19"/>
        <v>577.66659032996188</v>
      </c>
    </row>
    <row r="563" spans="28:28" x14ac:dyDescent="0.2">
      <c r="AB563" s="149">
        <f t="shared" ca="1" si="19"/>
        <v>503.25269136059683</v>
      </c>
    </row>
    <row r="564" spans="28:28" x14ac:dyDescent="0.2">
      <c r="AB564" s="149">
        <f t="shared" ca="1" si="19"/>
        <v>527.40466757173681</v>
      </c>
    </row>
    <row r="565" spans="28:28" x14ac:dyDescent="0.2">
      <c r="AB565" s="149">
        <f t="shared" ca="1" si="19"/>
        <v>822.83311653731926</v>
      </c>
    </row>
    <row r="566" spans="28:28" x14ac:dyDescent="0.2">
      <c r="AB566" s="149">
        <f t="shared" ca="1" si="19"/>
        <v>58.469717941127875</v>
      </c>
    </row>
    <row r="567" spans="28:28" x14ac:dyDescent="0.2">
      <c r="AB567" s="149">
        <f t="shared" ca="1" si="19"/>
        <v>356.93690864147385</v>
      </c>
    </row>
    <row r="568" spans="28:28" x14ac:dyDescent="0.2">
      <c r="AB568" s="149">
        <f t="shared" ca="1" si="19"/>
        <v>578.44792993744261</v>
      </c>
    </row>
    <row r="569" spans="28:28" x14ac:dyDescent="0.2">
      <c r="AB569" s="149">
        <f t="shared" ca="1" si="19"/>
        <v>249.42302986296906</v>
      </c>
    </row>
    <row r="570" spans="28:28" x14ac:dyDescent="0.2">
      <c r="AB570" s="149">
        <f t="shared" ca="1" si="19"/>
        <v>577.48831017373016</v>
      </c>
    </row>
    <row r="571" spans="28:28" x14ac:dyDescent="0.2">
      <c r="AB571" s="149">
        <f t="shared" ca="1" si="19"/>
        <v>244.87594334314511</v>
      </c>
    </row>
    <row r="572" spans="28:28" x14ac:dyDescent="0.2">
      <c r="AB572" s="149">
        <f t="shared" ca="1" si="19"/>
        <v>487.88495104612127</v>
      </c>
    </row>
    <row r="573" spans="28:28" x14ac:dyDescent="0.2">
      <c r="AB573" s="149">
        <f t="shared" ca="1" si="19"/>
        <v>842.63522315819273</v>
      </c>
    </row>
    <row r="574" spans="28:28" x14ac:dyDescent="0.2">
      <c r="AB574" s="149">
        <f t="shared" ca="1" si="19"/>
        <v>786.6967748749413</v>
      </c>
    </row>
    <row r="575" spans="28:28" x14ac:dyDescent="0.2">
      <c r="AB575" s="149">
        <f t="shared" ca="1" si="19"/>
        <v>176.51119321772103</v>
      </c>
    </row>
    <row r="576" spans="28:28" x14ac:dyDescent="0.2">
      <c r="AB576" s="149">
        <f t="shared" ca="1" si="19"/>
        <v>959.45659599534076</v>
      </c>
    </row>
    <row r="577" spans="28:28" x14ac:dyDescent="0.2">
      <c r="AB577" s="149">
        <f t="shared" ca="1" si="19"/>
        <v>405.7972137536301</v>
      </c>
    </row>
    <row r="578" spans="28:28" x14ac:dyDescent="0.2">
      <c r="AB578" s="149">
        <f t="shared" ca="1" si="19"/>
        <v>149.84434056678521</v>
      </c>
    </row>
    <row r="579" spans="28:28" x14ac:dyDescent="0.2">
      <c r="AB579" s="149">
        <f t="shared" ca="1" si="19"/>
        <v>496.99566629763967</v>
      </c>
    </row>
    <row r="580" spans="28:28" x14ac:dyDescent="0.2">
      <c r="AB580" s="149">
        <f t="shared" ca="1" si="19"/>
        <v>209.26809597910056</v>
      </c>
    </row>
    <row r="581" spans="28:28" x14ac:dyDescent="0.2">
      <c r="AB581" s="149">
        <f t="shared" ref="AB581:AB644" ca="1" si="20">RAND()*1000</f>
        <v>963.7327908275272</v>
      </c>
    </row>
    <row r="582" spans="28:28" x14ac:dyDescent="0.2">
      <c r="AB582" s="149">
        <f t="shared" ca="1" si="20"/>
        <v>27.891058975310191</v>
      </c>
    </row>
    <row r="583" spans="28:28" x14ac:dyDescent="0.2">
      <c r="AB583" s="149">
        <f t="shared" ca="1" si="20"/>
        <v>44.550136633191848</v>
      </c>
    </row>
    <row r="584" spans="28:28" x14ac:dyDescent="0.2">
      <c r="AB584" s="149">
        <f t="shared" ca="1" si="20"/>
        <v>384.55964344391879</v>
      </c>
    </row>
    <row r="585" spans="28:28" x14ac:dyDescent="0.2">
      <c r="AB585" s="149">
        <f t="shared" ca="1" si="20"/>
        <v>364.34735006941298</v>
      </c>
    </row>
    <row r="586" spans="28:28" x14ac:dyDescent="0.2">
      <c r="AB586" s="149">
        <f t="shared" ca="1" si="20"/>
        <v>346.61203758841043</v>
      </c>
    </row>
    <row r="587" spans="28:28" x14ac:dyDescent="0.2">
      <c r="AB587" s="149">
        <f t="shared" ca="1" si="20"/>
        <v>684.28397650831585</v>
      </c>
    </row>
    <row r="588" spans="28:28" x14ac:dyDescent="0.2">
      <c r="AB588" s="149">
        <f t="shared" ca="1" si="20"/>
        <v>146.61632512416844</v>
      </c>
    </row>
    <row r="589" spans="28:28" x14ac:dyDescent="0.2">
      <c r="AB589" s="149">
        <f t="shared" ca="1" si="20"/>
        <v>342.97689796810846</v>
      </c>
    </row>
    <row r="590" spans="28:28" x14ac:dyDescent="0.2">
      <c r="AB590" s="149">
        <f t="shared" ca="1" si="20"/>
        <v>628.66415772032838</v>
      </c>
    </row>
    <row r="591" spans="28:28" x14ac:dyDescent="0.2">
      <c r="AB591" s="149">
        <f t="shared" ca="1" si="20"/>
        <v>781.571007646505</v>
      </c>
    </row>
    <row r="592" spans="28:28" x14ac:dyDescent="0.2">
      <c r="AB592" s="149">
        <f t="shared" ca="1" si="20"/>
        <v>148.65976087289067</v>
      </c>
    </row>
    <row r="593" spans="28:28" x14ac:dyDescent="0.2">
      <c r="AB593" s="149">
        <f t="shared" ca="1" si="20"/>
        <v>743.42868849210276</v>
      </c>
    </row>
    <row r="594" spans="28:28" x14ac:dyDescent="0.2">
      <c r="AB594" s="149">
        <f t="shared" ca="1" si="20"/>
        <v>445.00867915548884</v>
      </c>
    </row>
    <row r="595" spans="28:28" x14ac:dyDescent="0.2">
      <c r="AB595" s="149">
        <f t="shared" ca="1" si="20"/>
        <v>734.34262139422788</v>
      </c>
    </row>
    <row r="596" spans="28:28" x14ac:dyDescent="0.2">
      <c r="AB596" s="149">
        <f t="shared" ca="1" si="20"/>
        <v>389.14739547129329</v>
      </c>
    </row>
    <row r="597" spans="28:28" x14ac:dyDescent="0.2">
      <c r="AB597" s="149">
        <f t="shared" ca="1" si="20"/>
        <v>759.16919496783692</v>
      </c>
    </row>
    <row r="598" spans="28:28" x14ac:dyDescent="0.2">
      <c r="AB598" s="149">
        <f t="shared" ca="1" si="20"/>
        <v>188.09494660616389</v>
      </c>
    </row>
    <row r="599" spans="28:28" x14ac:dyDescent="0.2">
      <c r="AB599" s="149">
        <f t="shared" ca="1" si="20"/>
        <v>350.7975133725987</v>
      </c>
    </row>
    <row r="600" spans="28:28" x14ac:dyDescent="0.2">
      <c r="AB600" s="149">
        <f t="shared" ca="1" si="20"/>
        <v>579.37774592029859</v>
      </c>
    </row>
    <row r="601" spans="28:28" x14ac:dyDescent="0.2">
      <c r="AB601" s="149">
        <f t="shared" ca="1" si="20"/>
        <v>523.72689304550352</v>
      </c>
    </row>
    <row r="602" spans="28:28" x14ac:dyDescent="0.2">
      <c r="AB602" s="149">
        <f t="shared" ca="1" si="20"/>
        <v>403.72788115198455</v>
      </c>
    </row>
    <row r="603" spans="28:28" x14ac:dyDescent="0.2">
      <c r="AB603" s="149">
        <f t="shared" ca="1" si="20"/>
        <v>19.934725979547487</v>
      </c>
    </row>
    <row r="604" spans="28:28" x14ac:dyDescent="0.2">
      <c r="AB604" s="149">
        <f t="shared" ca="1" si="20"/>
        <v>151.34359102974815</v>
      </c>
    </row>
    <row r="605" spans="28:28" x14ac:dyDescent="0.2">
      <c r="AB605" s="149">
        <f t="shared" ca="1" si="20"/>
        <v>603.32027428385459</v>
      </c>
    </row>
    <row r="606" spans="28:28" x14ac:dyDescent="0.2">
      <c r="AB606" s="149">
        <f t="shared" ca="1" si="20"/>
        <v>62.439599278230283</v>
      </c>
    </row>
    <row r="607" spans="28:28" x14ac:dyDescent="0.2">
      <c r="AB607" s="149">
        <f t="shared" ca="1" si="20"/>
        <v>812.70325959740421</v>
      </c>
    </row>
    <row r="608" spans="28:28" x14ac:dyDescent="0.2">
      <c r="AB608" s="149">
        <f t="shared" ca="1" si="20"/>
        <v>731.5168020653698</v>
      </c>
    </row>
    <row r="609" spans="28:28" x14ac:dyDescent="0.2">
      <c r="AB609" s="149">
        <f t="shared" ca="1" si="20"/>
        <v>130.08389927028773</v>
      </c>
    </row>
    <row r="610" spans="28:28" x14ac:dyDescent="0.2">
      <c r="AB610" s="149">
        <f t="shared" ca="1" si="20"/>
        <v>82.928831233434082</v>
      </c>
    </row>
    <row r="611" spans="28:28" x14ac:dyDescent="0.2">
      <c r="AB611" s="149">
        <f t="shared" ca="1" si="20"/>
        <v>803.64728010729243</v>
      </c>
    </row>
    <row r="612" spans="28:28" x14ac:dyDescent="0.2">
      <c r="AB612" s="149">
        <f t="shared" ca="1" si="20"/>
        <v>170.75257733330963</v>
      </c>
    </row>
    <row r="613" spans="28:28" x14ac:dyDescent="0.2">
      <c r="AB613" s="149">
        <f t="shared" ca="1" si="20"/>
        <v>201.5670845213987</v>
      </c>
    </row>
    <row r="614" spans="28:28" x14ac:dyDescent="0.2">
      <c r="AB614" s="149">
        <f t="shared" ca="1" si="20"/>
        <v>771.40818525146869</v>
      </c>
    </row>
    <row r="615" spans="28:28" x14ac:dyDescent="0.2">
      <c r="AB615" s="149">
        <f t="shared" ca="1" si="20"/>
        <v>450.09812254681481</v>
      </c>
    </row>
    <row r="616" spans="28:28" x14ac:dyDescent="0.2">
      <c r="AB616" s="149">
        <f t="shared" ca="1" si="20"/>
        <v>356.72843271483333</v>
      </c>
    </row>
    <row r="617" spans="28:28" x14ac:dyDescent="0.2">
      <c r="AB617" s="149">
        <f t="shared" ca="1" si="20"/>
        <v>886.75086634067702</v>
      </c>
    </row>
    <row r="618" spans="28:28" x14ac:dyDescent="0.2">
      <c r="AB618" s="149">
        <f t="shared" ca="1" si="20"/>
        <v>758.65506916462732</v>
      </c>
    </row>
    <row r="619" spans="28:28" x14ac:dyDescent="0.2">
      <c r="AB619" s="149">
        <f t="shared" ca="1" si="20"/>
        <v>939.09516906565455</v>
      </c>
    </row>
    <row r="620" spans="28:28" x14ac:dyDescent="0.2">
      <c r="AB620" s="149">
        <f t="shared" ca="1" si="20"/>
        <v>846.59631150231871</v>
      </c>
    </row>
    <row r="621" spans="28:28" x14ac:dyDescent="0.2">
      <c r="AB621" s="149">
        <f t="shared" ca="1" si="20"/>
        <v>641.78747789542695</v>
      </c>
    </row>
    <row r="622" spans="28:28" x14ac:dyDescent="0.2">
      <c r="AB622" s="149">
        <f t="shared" ca="1" si="20"/>
        <v>653.70569990903732</v>
      </c>
    </row>
    <row r="623" spans="28:28" x14ac:dyDescent="0.2">
      <c r="AB623" s="149">
        <f t="shared" ca="1" si="20"/>
        <v>196.98475567240092</v>
      </c>
    </row>
    <row r="624" spans="28:28" x14ac:dyDescent="0.2">
      <c r="AB624" s="149">
        <f t="shared" ca="1" si="20"/>
        <v>633.52207283747543</v>
      </c>
    </row>
    <row r="625" spans="28:28" x14ac:dyDescent="0.2">
      <c r="AB625" s="149">
        <f t="shared" ca="1" si="20"/>
        <v>70.177294245668207</v>
      </c>
    </row>
    <row r="626" spans="28:28" x14ac:dyDescent="0.2">
      <c r="AB626" s="149">
        <f t="shared" ca="1" si="20"/>
        <v>681.09669473478675</v>
      </c>
    </row>
    <row r="627" spans="28:28" x14ac:dyDescent="0.2">
      <c r="AB627" s="149">
        <f t="shared" ca="1" si="20"/>
        <v>947.53725278198669</v>
      </c>
    </row>
    <row r="628" spans="28:28" x14ac:dyDescent="0.2">
      <c r="AB628" s="149">
        <f t="shared" ca="1" si="20"/>
        <v>421.46680953446491</v>
      </c>
    </row>
    <row r="629" spans="28:28" x14ac:dyDescent="0.2">
      <c r="AB629" s="149">
        <f t="shared" ca="1" si="20"/>
        <v>584.59468111143428</v>
      </c>
    </row>
    <row r="630" spans="28:28" x14ac:dyDescent="0.2">
      <c r="AB630" s="149">
        <f t="shared" ca="1" si="20"/>
        <v>804.13523178914249</v>
      </c>
    </row>
    <row r="631" spans="28:28" x14ac:dyDescent="0.2">
      <c r="AB631" s="149">
        <f t="shared" ca="1" si="20"/>
        <v>218.73528094060879</v>
      </c>
    </row>
    <row r="632" spans="28:28" x14ac:dyDescent="0.2">
      <c r="AB632" s="149">
        <f t="shared" ca="1" si="20"/>
        <v>846.87423559786066</v>
      </c>
    </row>
    <row r="633" spans="28:28" x14ac:dyDescent="0.2">
      <c r="AB633" s="149">
        <f t="shared" ca="1" si="20"/>
        <v>136.1130018685991</v>
      </c>
    </row>
    <row r="634" spans="28:28" x14ac:dyDescent="0.2">
      <c r="AB634" s="149">
        <f t="shared" ca="1" si="20"/>
        <v>543.21677847439742</v>
      </c>
    </row>
    <row r="635" spans="28:28" x14ac:dyDescent="0.2">
      <c r="AB635" s="149">
        <f t="shared" ca="1" si="20"/>
        <v>301.79475935201327</v>
      </c>
    </row>
    <row r="636" spans="28:28" x14ac:dyDescent="0.2">
      <c r="AB636" s="149">
        <f t="shared" ca="1" si="20"/>
        <v>362.40002542302653</v>
      </c>
    </row>
    <row r="637" spans="28:28" x14ac:dyDescent="0.2">
      <c r="AB637" s="149">
        <f t="shared" ca="1" si="20"/>
        <v>402.85081787965026</v>
      </c>
    </row>
    <row r="638" spans="28:28" x14ac:dyDescent="0.2">
      <c r="AB638" s="149">
        <f t="shared" ca="1" si="20"/>
        <v>447.43455316512126</v>
      </c>
    </row>
    <row r="639" spans="28:28" x14ac:dyDescent="0.2">
      <c r="AB639" s="149">
        <f t="shared" ca="1" si="20"/>
        <v>762.38086035799734</v>
      </c>
    </row>
    <row r="640" spans="28:28" x14ac:dyDescent="0.2">
      <c r="AB640" s="149">
        <f t="shared" ca="1" si="20"/>
        <v>525.39276017775398</v>
      </c>
    </row>
    <row r="641" spans="28:28" x14ac:dyDescent="0.2">
      <c r="AB641" s="149">
        <f t="shared" ca="1" si="20"/>
        <v>772.18665377351215</v>
      </c>
    </row>
    <row r="642" spans="28:28" x14ac:dyDescent="0.2">
      <c r="AB642" s="149">
        <f t="shared" ca="1" si="20"/>
        <v>54.554225016888893</v>
      </c>
    </row>
    <row r="643" spans="28:28" x14ac:dyDescent="0.2">
      <c r="AB643" s="149">
        <f t="shared" ca="1" si="20"/>
        <v>662.60686098825306</v>
      </c>
    </row>
    <row r="644" spans="28:28" x14ac:dyDescent="0.2">
      <c r="AB644" s="149">
        <f t="shared" ca="1" si="20"/>
        <v>252.51073659646727</v>
      </c>
    </row>
    <row r="645" spans="28:28" x14ac:dyDescent="0.2">
      <c r="AB645" s="149">
        <f t="shared" ref="AB645:AB708" ca="1" si="21">RAND()*1000</f>
        <v>217.11881010485467</v>
      </c>
    </row>
    <row r="646" spans="28:28" x14ac:dyDescent="0.2">
      <c r="AB646" s="149">
        <f t="shared" ca="1" si="21"/>
        <v>115.297915887689</v>
      </c>
    </row>
    <row r="647" spans="28:28" x14ac:dyDescent="0.2">
      <c r="AB647" s="149">
        <f t="shared" ca="1" si="21"/>
        <v>541.96344744185933</v>
      </c>
    </row>
    <row r="648" spans="28:28" x14ac:dyDescent="0.2">
      <c r="AB648" s="149">
        <f t="shared" ca="1" si="21"/>
        <v>500.82107022471035</v>
      </c>
    </row>
    <row r="649" spans="28:28" x14ac:dyDescent="0.2">
      <c r="AB649" s="149">
        <f t="shared" ca="1" si="21"/>
        <v>687.15080756808391</v>
      </c>
    </row>
    <row r="650" spans="28:28" x14ac:dyDescent="0.2">
      <c r="AB650" s="149">
        <f t="shared" ca="1" si="21"/>
        <v>970.35962627690355</v>
      </c>
    </row>
    <row r="651" spans="28:28" x14ac:dyDescent="0.2">
      <c r="AB651" s="149">
        <f t="shared" ca="1" si="21"/>
        <v>356.6282713094555</v>
      </c>
    </row>
    <row r="652" spans="28:28" x14ac:dyDescent="0.2">
      <c r="AB652" s="149">
        <f t="shared" ca="1" si="21"/>
        <v>577.0075367278539</v>
      </c>
    </row>
    <row r="653" spans="28:28" x14ac:dyDescent="0.2">
      <c r="AB653" s="149">
        <f t="shared" ca="1" si="21"/>
        <v>521.41738306522063</v>
      </c>
    </row>
    <row r="654" spans="28:28" x14ac:dyDescent="0.2">
      <c r="AB654" s="149">
        <f t="shared" ca="1" si="21"/>
        <v>399.64287029818388</v>
      </c>
    </row>
    <row r="655" spans="28:28" x14ac:dyDescent="0.2">
      <c r="AB655" s="149">
        <f t="shared" ca="1" si="21"/>
        <v>318.63161097623873</v>
      </c>
    </row>
    <row r="656" spans="28:28" x14ac:dyDescent="0.2">
      <c r="AB656" s="149">
        <f t="shared" ca="1" si="21"/>
        <v>598.51504281967971</v>
      </c>
    </row>
    <row r="657" spans="28:28" x14ac:dyDescent="0.2">
      <c r="AB657" s="149">
        <f t="shared" ca="1" si="21"/>
        <v>986.20928498845183</v>
      </c>
    </row>
    <row r="658" spans="28:28" x14ac:dyDescent="0.2">
      <c r="AB658" s="149">
        <f t="shared" ca="1" si="21"/>
        <v>617.48973715199361</v>
      </c>
    </row>
    <row r="659" spans="28:28" x14ac:dyDescent="0.2">
      <c r="AB659" s="149">
        <f t="shared" ca="1" si="21"/>
        <v>915.31145372829974</v>
      </c>
    </row>
    <row r="660" spans="28:28" x14ac:dyDescent="0.2">
      <c r="AB660" s="149">
        <f t="shared" ca="1" si="21"/>
        <v>904.79896005298406</v>
      </c>
    </row>
    <row r="661" spans="28:28" x14ac:dyDescent="0.2">
      <c r="AB661" s="149">
        <f t="shared" ca="1" si="21"/>
        <v>926.23104518688319</v>
      </c>
    </row>
    <row r="662" spans="28:28" x14ac:dyDescent="0.2">
      <c r="AB662" s="149">
        <f t="shared" ca="1" si="21"/>
        <v>15.701985711265909</v>
      </c>
    </row>
    <row r="663" spans="28:28" x14ac:dyDescent="0.2">
      <c r="AB663" s="149">
        <f t="shared" ca="1" si="21"/>
        <v>30.67471763801899</v>
      </c>
    </row>
    <row r="664" spans="28:28" x14ac:dyDescent="0.2">
      <c r="AB664" s="149">
        <f t="shared" ca="1" si="21"/>
        <v>801.81836318413605</v>
      </c>
    </row>
    <row r="665" spans="28:28" x14ac:dyDescent="0.2">
      <c r="AB665" s="149">
        <f t="shared" ca="1" si="21"/>
        <v>125.69502589712955</v>
      </c>
    </row>
    <row r="666" spans="28:28" x14ac:dyDescent="0.2">
      <c r="AB666" s="149">
        <f t="shared" ca="1" si="21"/>
        <v>409.70714122081733</v>
      </c>
    </row>
    <row r="667" spans="28:28" x14ac:dyDescent="0.2">
      <c r="AB667" s="149">
        <f t="shared" ca="1" si="21"/>
        <v>264.57615252691289</v>
      </c>
    </row>
    <row r="668" spans="28:28" x14ac:dyDescent="0.2">
      <c r="AB668" s="149">
        <f t="shared" ca="1" si="21"/>
        <v>218.2737484665742</v>
      </c>
    </row>
    <row r="669" spans="28:28" x14ac:dyDescent="0.2">
      <c r="AB669" s="149">
        <f t="shared" ca="1" si="21"/>
        <v>895.17999966915534</v>
      </c>
    </row>
    <row r="670" spans="28:28" x14ac:dyDescent="0.2">
      <c r="AB670" s="149">
        <f t="shared" ca="1" si="21"/>
        <v>52.201523256886986</v>
      </c>
    </row>
    <row r="671" spans="28:28" x14ac:dyDescent="0.2">
      <c r="AB671" s="149">
        <f t="shared" ca="1" si="21"/>
        <v>687.55485854691551</v>
      </c>
    </row>
    <row r="672" spans="28:28" x14ac:dyDescent="0.2">
      <c r="AB672" s="149">
        <f t="shared" ca="1" si="21"/>
        <v>818.83855458301434</v>
      </c>
    </row>
    <row r="673" spans="28:28" x14ac:dyDescent="0.2">
      <c r="AB673" s="149">
        <f t="shared" ca="1" si="21"/>
        <v>670.83833156241303</v>
      </c>
    </row>
    <row r="674" spans="28:28" x14ac:dyDescent="0.2">
      <c r="AB674" s="149">
        <f t="shared" ca="1" si="21"/>
        <v>566.96601172287035</v>
      </c>
    </row>
    <row r="675" spans="28:28" x14ac:dyDescent="0.2">
      <c r="AB675" s="149">
        <f t="shared" ca="1" si="21"/>
        <v>145.28343262553221</v>
      </c>
    </row>
    <row r="676" spans="28:28" x14ac:dyDescent="0.2">
      <c r="AB676" s="149">
        <f t="shared" ca="1" si="21"/>
        <v>795.25929798309153</v>
      </c>
    </row>
    <row r="677" spans="28:28" x14ac:dyDescent="0.2">
      <c r="AB677" s="149">
        <f t="shared" ca="1" si="21"/>
        <v>674.67929136892485</v>
      </c>
    </row>
    <row r="678" spans="28:28" x14ac:dyDescent="0.2">
      <c r="AB678" s="149">
        <f t="shared" ca="1" si="21"/>
        <v>25.74216003769958</v>
      </c>
    </row>
    <row r="679" spans="28:28" x14ac:dyDescent="0.2">
      <c r="AB679" s="149">
        <f t="shared" ca="1" si="21"/>
        <v>781.3696404258925</v>
      </c>
    </row>
    <row r="680" spans="28:28" x14ac:dyDescent="0.2">
      <c r="AB680" s="149">
        <f t="shared" ca="1" si="21"/>
        <v>690.42754288051947</v>
      </c>
    </row>
    <row r="681" spans="28:28" x14ac:dyDescent="0.2">
      <c r="AB681" s="149">
        <f t="shared" ca="1" si="21"/>
        <v>353.58928355739891</v>
      </c>
    </row>
    <row r="682" spans="28:28" x14ac:dyDescent="0.2">
      <c r="AB682" s="149">
        <f t="shared" ca="1" si="21"/>
        <v>285.75130046778372</v>
      </c>
    </row>
    <row r="683" spans="28:28" x14ac:dyDescent="0.2">
      <c r="AB683" s="149">
        <f t="shared" ca="1" si="21"/>
        <v>34.599518176151257</v>
      </c>
    </row>
    <row r="684" spans="28:28" x14ac:dyDescent="0.2">
      <c r="AB684" s="149">
        <f t="shared" ca="1" si="21"/>
        <v>55.397931832277706</v>
      </c>
    </row>
    <row r="685" spans="28:28" x14ac:dyDescent="0.2">
      <c r="AB685" s="149">
        <f t="shared" ca="1" si="21"/>
        <v>151.68004072215112</v>
      </c>
    </row>
    <row r="686" spans="28:28" x14ac:dyDescent="0.2">
      <c r="AB686" s="149">
        <f t="shared" ca="1" si="21"/>
        <v>652.72885592414366</v>
      </c>
    </row>
    <row r="687" spans="28:28" x14ac:dyDescent="0.2">
      <c r="AB687" s="149">
        <f t="shared" ca="1" si="21"/>
        <v>346.32444611559379</v>
      </c>
    </row>
    <row r="688" spans="28:28" x14ac:dyDescent="0.2">
      <c r="AB688" s="149">
        <f t="shared" ca="1" si="21"/>
        <v>348.38623212601374</v>
      </c>
    </row>
    <row r="689" spans="28:28" x14ac:dyDescent="0.2">
      <c r="AB689" s="149">
        <f t="shared" ca="1" si="21"/>
        <v>467.69256046969298</v>
      </c>
    </row>
    <row r="690" spans="28:28" x14ac:dyDescent="0.2">
      <c r="AB690" s="149">
        <f t="shared" ca="1" si="21"/>
        <v>117.29843168495124</v>
      </c>
    </row>
    <row r="691" spans="28:28" x14ac:dyDescent="0.2">
      <c r="AB691" s="149">
        <f t="shared" ca="1" si="21"/>
        <v>40.749840696337799</v>
      </c>
    </row>
    <row r="692" spans="28:28" x14ac:dyDescent="0.2">
      <c r="AB692" s="149">
        <f t="shared" ca="1" si="21"/>
        <v>190.22782446083863</v>
      </c>
    </row>
    <row r="693" spans="28:28" x14ac:dyDescent="0.2">
      <c r="AB693" s="149">
        <f t="shared" ca="1" si="21"/>
        <v>961.08355249710871</v>
      </c>
    </row>
    <row r="694" spans="28:28" x14ac:dyDescent="0.2">
      <c r="AB694" s="149">
        <f t="shared" ca="1" si="21"/>
        <v>91.768945169684486</v>
      </c>
    </row>
    <row r="695" spans="28:28" x14ac:dyDescent="0.2">
      <c r="AB695" s="149">
        <f t="shared" ca="1" si="21"/>
        <v>616.4708798549475</v>
      </c>
    </row>
    <row r="696" spans="28:28" x14ac:dyDescent="0.2">
      <c r="AB696" s="149">
        <f t="shared" ca="1" si="21"/>
        <v>902.09015335660843</v>
      </c>
    </row>
    <row r="697" spans="28:28" x14ac:dyDescent="0.2">
      <c r="AB697" s="149">
        <f t="shared" ca="1" si="21"/>
        <v>324.30445218038193</v>
      </c>
    </row>
    <row r="698" spans="28:28" x14ac:dyDescent="0.2">
      <c r="AB698" s="149">
        <f t="shared" ca="1" si="21"/>
        <v>23.853247333542214</v>
      </c>
    </row>
    <row r="699" spans="28:28" x14ac:dyDescent="0.2">
      <c r="AB699" s="149">
        <f t="shared" ca="1" si="21"/>
        <v>251.22994159964151</v>
      </c>
    </row>
    <row r="700" spans="28:28" x14ac:dyDescent="0.2">
      <c r="AB700" s="149">
        <f t="shared" ca="1" si="21"/>
        <v>877.09670830578034</v>
      </c>
    </row>
    <row r="701" spans="28:28" x14ac:dyDescent="0.2">
      <c r="AB701" s="149">
        <f t="shared" ca="1" si="21"/>
        <v>747.83566469399091</v>
      </c>
    </row>
    <row r="702" spans="28:28" x14ac:dyDescent="0.2">
      <c r="AB702" s="149">
        <f t="shared" ca="1" si="21"/>
        <v>878.90757334499494</v>
      </c>
    </row>
    <row r="703" spans="28:28" x14ac:dyDescent="0.2">
      <c r="AB703" s="149">
        <f t="shared" ca="1" si="21"/>
        <v>55.385745594674354</v>
      </c>
    </row>
    <row r="704" spans="28:28" x14ac:dyDescent="0.2">
      <c r="AB704" s="149">
        <f t="shared" ca="1" si="21"/>
        <v>207.23439802484279</v>
      </c>
    </row>
    <row r="705" spans="28:28" x14ac:dyDescent="0.2">
      <c r="AB705" s="149">
        <f t="shared" ca="1" si="21"/>
        <v>641.70537388364755</v>
      </c>
    </row>
    <row r="706" spans="28:28" x14ac:dyDescent="0.2">
      <c r="AB706" s="149">
        <f t="shared" ca="1" si="21"/>
        <v>436.13603691009826</v>
      </c>
    </row>
    <row r="707" spans="28:28" x14ac:dyDescent="0.2">
      <c r="AB707" s="149">
        <f t="shared" ca="1" si="21"/>
        <v>966.87163245041768</v>
      </c>
    </row>
    <row r="708" spans="28:28" x14ac:dyDescent="0.2">
      <c r="AB708" s="149">
        <f t="shared" ca="1" si="21"/>
        <v>710.55402262127529</v>
      </c>
    </row>
    <row r="709" spans="28:28" x14ac:dyDescent="0.2">
      <c r="AB709" s="149">
        <f t="shared" ref="AB709:AB772" ca="1" si="22">RAND()*1000</f>
        <v>319.92989066144219</v>
      </c>
    </row>
    <row r="710" spans="28:28" x14ac:dyDescent="0.2">
      <c r="AB710" s="149">
        <f t="shared" ca="1" si="22"/>
        <v>721.72606080443359</v>
      </c>
    </row>
    <row r="711" spans="28:28" x14ac:dyDescent="0.2">
      <c r="AB711" s="149">
        <f t="shared" ca="1" si="22"/>
        <v>261.42676996087533</v>
      </c>
    </row>
    <row r="712" spans="28:28" x14ac:dyDescent="0.2">
      <c r="AB712" s="149">
        <f t="shared" ca="1" si="22"/>
        <v>603.50654621827277</v>
      </c>
    </row>
    <row r="713" spans="28:28" x14ac:dyDescent="0.2">
      <c r="AB713" s="149">
        <f t="shared" ca="1" si="22"/>
        <v>41.127040155146233</v>
      </c>
    </row>
    <row r="714" spans="28:28" x14ac:dyDescent="0.2">
      <c r="AB714" s="149">
        <f t="shared" ca="1" si="22"/>
        <v>157.3129442033916</v>
      </c>
    </row>
    <row r="715" spans="28:28" x14ac:dyDescent="0.2">
      <c r="AB715" s="149">
        <f t="shared" ca="1" si="22"/>
        <v>850.44085857773098</v>
      </c>
    </row>
    <row r="716" spans="28:28" x14ac:dyDescent="0.2">
      <c r="AB716" s="149">
        <f t="shared" ca="1" si="22"/>
        <v>73.189969350507255</v>
      </c>
    </row>
    <row r="717" spans="28:28" x14ac:dyDescent="0.2">
      <c r="AB717" s="149">
        <f t="shared" ca="1" si="22"/>
        <v>26.958241780728919</v>
      </c>
    </row>
    <row r="718" spans="28:28" x14ac:dyDescent="0.2">
      <c r="AB718" s="149">
        <f t="shared" ca="1" si="22"/>
        <v>966.736146986172</v>
      </c>
    </row>
    <row r="719" spans="28:28" x14ac:dyDescent="0.2">
      <c r="AB719" s="149">
        <f t="shared" ca="1" si="22"/>
        <v>799.65594592939499</v>
      </c>
    </row>
    <row r="720" spans="28:28" x14ac:dyDescent="0.2">
      <c r="AB720" s="149">
        <f t="shared" ca="1" si="22"/>
        <v>917.53508653413769</v>
      </c>
    </row>
    <row r="721" spans="28:28" x14ac:dyDescent="0.2">
      <c r="AB721" s="149">
        <f t="shared" ca="1" si="22"/>
        <v>181.50366342826652</v>
      </c>
    </row>
    <row r="722" spans="28:28" x14ac:dyDescent="0.2">
      <c r="AB722" s="149">
        <f t="shared" ca="1" si="22"/>
        <v>58.539091407481258</v>
      </c>
    </row>
    <row r="723" spans="28:28" x14ac:dyDescent="0.2">
      <c r="AB723" s="149">
        <f t="shared" ca="1" si="22"/>
        <v>93.127424799648637</v>
      </c>
    </row>
    <row r="724" spans="28:28" x14ac:dyDescent="0.2">
      <c r="AB724" s="149">
        <f t="shared" ca="1" si="22"/>
        <v>433.6615978128969</v>
      </c>
    </row>
    <row r="725" spans="28:28" x14ac:dyDescent="0.2">
      <c r="AB725" s="149">
        <f t="shared" ca="1" si="22"/>
        <v>859.78025529046442</v>
      </c>
    </row>
    <row r="726" spans="28:28" x14ac:dyDescent="0.2">
      <c r="AB726" s="149">
        <f t="shared" ca="1" si="22"/>
        <v>606.48848471034864</v>
      </c>
    </row>
    <row r="727" spans="28:28" x14ac:dyDescent="0.2">
      <c r="AB727" s="149">
        <f t="shared" ca="1" si="22"/>
        <v>410.14593526497168</v>
      </c>
    </row>
    <row r="728" spans="28:28" x14ac:dyDescent="0.2">
      <c r="AB728" s="149">
        <f t="shared" ca="1" si="22"/>
        <v>458.21943429147859</v>
      </c>
    </row>
    <row r="729" spans="28:28" x14ac:dyDescent="0.2">
      <c r="AB729" s="149">
        <f t="shared" ca="1" si="22"/>
        <v>654.52603309799088</v>
      </c>
    </row>
    <row r="730" spans="28:28" x14ac:dyDescent="0.2">
      <c r="AB730" s="149">
        <f t="shared" ca="1" si="22"/>
        <v>836.5669139255524</v>
      </c>
    </row>
    <row r="731" spans="28:28" x14ac:dyDescent="0.2">
      <c r="AB731" s="149">
        <f t="shared" ca="1" si="22"/>
        <v>831.87060359201075</v>
      </c>
    </row>
    <row r="732" spans="28:28" x14ac:dyDescent="0.2">
      <c r="AB732" s="149">
        <f t="shared" ca="1" si="22"/>
        <v>279.84588792930799</v>
      </c>
    </row>
    <row r="733" spans="28:28" x14ac:dyDescent="0.2">
      <c r="AB733" s="149">
        <f t="shared" ca="1" si="22"/>
        <v>139.85783772593285</v>
      </c>
    </row>
    <row r="734" spans="28:28" x14ac:dyDescent="0.2">
      <c r="AB734" s="149">
        <f t="shared" ca="1" si="22"/>
        <v>596.17697981971185</v>
      </c>
    </row>
    <row r="735" spans="28:28" x14ac:dyDescent="0.2">
      <c r="AB735" s="149">
        <f t="shared" ca="1" si="22"/>
        <v>985.21393137778477</v>
      </c>
    </row>
    <row r="736" spans="28:28" x14ac:dyDescent="0.2">
      <c r="AB736" s="149">
        <f t="shared" ca="1" si="22"/>
        <v>126.37285079384675</v>
      </c>
    </row>
    <row r="737" spans="28:28" x14ac:dyDescent="0.2">
      <c r="AB737" s="149">
        <f t="shared" ca="1" si="22"/>
        <v>859.14041392526565</v>
      </c>
    </row>
    <row r="738" spans="28:28" x14ac:dyDescent="0.2">
      <c r="AB738" s="149">
        <f t="shared" ca="1" si="22"/>
        <v>999.62279076491632</v>
      </c>
    </row>
    <row r="739" spans="28:28" x14ac:dyDescent="0.2">
      <c r="AB739" s="149">
        <f t="shared" ca="1" si="22"/>
        <v>849.75310154403292</v>
      </c>
    </row>
    <row r="740" spans="28:28" x14ac:dyDescent="0.2">
      <c r="AB740" s="149">
        <f t="shared" ca="1" si="22"/>
        <v>352.72789049198161</v>
      </c>
    </row>
    <row r="741" spans="28:28" x14ac:dyDescent="0.2">
      <c r="AB741" s="149">
        <f t="shared" ca="1" si="22"/>
        <v>916.35036252912596</v>
      </c>
    </row>
    <row r="742" spans="28:28" x14ac:dyDescent="0.2">
      <c r="AB742" s="149">
        <f t="shared" ca="1" si="22"/>
        <v>875.95338442469711</v>
      </c>
    </row>
    <row r="743" spans="28:28" x14ac:dyDescent="0.2">
      <c r="AB743" s="149">
        <f t="shared" ca="1" si="22"/>
        <v>617.80446197399624</v>
      </c>
    </row>
    <row r="744" spans="28:28" x14ac:dyDescent="0.2">
      <c r="AB744" s="149">
        <f t="shared" ca="1" si="22"/>
        <v>708.85013765739973</v>
      </c>
    </row>
    <row r="745" spans="28:28" x14ac:dyDescent="0.2">
      <c r="AB745" s="149">
        <f t="shared" ca="1" si="22"/>
        <v>999.51768132313759</v>
      </c>
    </row>
    <row r="746" spans="28:28" x14ac:dyDescent="0.2">
      <c r="AB746" s="149">
        <f t="shared" ca="1" si="22"/>
        <v>832.81819406778629</v>
      </c>
    </row>
    <row r="747" spans="28:28" x14ac:dyDescent="0.2">
      <c r="AB747" s="149">
        <f t="shared" ca="1" si="22"/>
        <v>13.045485331657058</v>
      </c>
    </row>
    <row r="748" spans="28:28" x14ac:dyDescent="0.2">
      <c r="AB748" s="149">
        <f t="shared" ca="1" si="22"/>
        <v>640.71226714968475</v>
      </c>
    </row>
    <row r="749" spans="28:28" x14ac:dyDescent="0.2">
      <c r="AB749" s="149">
        <f t="shared" ca="1" si="22"/>
        <v>562.2354321558862</v>
      </c>
    </row>
    <row r="750" spans="28:28" x14ac:dyDescent="0.2">
      <c r="AB750" s="149">
        <f t="shared" ca="1" si="22"/>
        <v>927.03999390542515</v>
      </c>
    </row>
    <row r="751" spans="28:28" x14ac:dyDescent="0.2">
      <c r="AB751" s="149">
        <f t="shared" ca="1" si="22"/>
        <v>832.59444285642678</v>
      </c>
    </row>
    <row r="752" spans="28:28" x14ac:dyDescent="0.2">
      <c r="AB752" s="149">
        <f t="shared" ca="1" si="22"/>
        <v>608.96470846575482</v>
      </c>
    </row>
    <row r="753" spans="28:28" x14ac:dyDescent="0.2">
      <c r="AB753" s="149">
        <f t="shared" ca="1" si="22"/>
        <v>361.88251567894383</v>
      </c>
    </row>
    <row r="754" spans="28:28" x14ac:dyDescent="0.2">
      <c r="AB754" s="149">
        <f t="shared" ca="1" si="22"/>
        <v>238.70333183961733</v>
      </c>
    </row>
    <row r="755" spans="28:28" x14ac:dyDescent="0.2">
      <c r="AB755" s="149">
        <f t="shared" ca="1" si="22"/>
        <v>832.75688938539156</v>
      </c>
    </row>
    <row r="756" spans="28:28" x14ac:dyDescent="0.2">
      <c r="AB756" s="149">
        <f t="shared" ca="1" si="22"/>
        <v>571.71188933854899</v>
      </c>
    </row>
    <row r="757" spans="28:28" x14ac:dyDescent="0.2">
      <c r="AB757" s="149">
        <f t="shared" ca="1" si="22"/>
        <v>389.58224809937872</v>
      </c>
    </row>
    <row r="758" spans="28:28" x14ac:dyDescent="0.2">
      <c r="AB758" s="149">
        <f t="shared" ca="1" si="22"/>
        <v>301.92197054266512</v>
      </c>
    </row>
    <row r="759" spans="28:28" x14ac:dyDescent="0.2">
      <c r="AB759" s="149">
        <f t="shared" ca="1" si="22"/>
        <v>514.85825599958048</v>
      </c>
    </row>
    <row r="760" spans="28:28" x14ac:dyDescent="0.2">
      <c r="AB760" s="149">
        <f t="shared" ca="1" si="22"/>
        <v>175.11465884292244</v>
      </c>
    </row>
    <row r="761" spans="28:28" x14ac:dyDescent="0.2">
      <c r="AB761" s="149">
        <f t="shared" ca="1" si="22"/>
        <v>128.07311700666347</v>
      </c>
    </row>
    <row r="762" spans="28:28" x14ac:dyDescent="0.2">
      <c r="AB762" s="149">
        <f t="shared" ca="1" si="22"/>
        <v>979.34083698374764</v>
      </c>
    </row>
    <row r="763" spans="28:28" x14ac:dyDescent="0.2">
      <c r="AB763" s="149">
        <f t="shared" ca="1" si="22"/>
        <v>851.82164900890928</v>
      </c>
    </row>
    <row r="764" spans="28:28" x14ac:dyDescent="0.2">
      <c r="AB764" s="149">
        <f t="shared" ca="1" si="22"/>
        <v>158.88181340413777</v>
      </c>
    </row>
    <row r="765" spans="28:28" x14ac:dyDescent="0.2">
      <c r="AB765" s="149">
        <f t="shared" ca="1" si="22"/>
        <v>705.01196551891371</v>
      </c>
    </row>
    <row r="766" spans="28:28" x14ac:dyDescent="0.2">
      <c r="AB766" s="149">
        <f t="shared" ca="1" si="22"/>
        <v>181.40243810961454</v>
      </c>
    </row>
    <row r="767" spans="28:28" x14ac:dyDescent="0.2">
      <c r="AB767" s="149">
        <f t="shared" ca="1" si="22"/>
        <v>209.47999671235141</v>
      </c>
    </row>
    <row r="768" spans="28:28" x14ac:dyDescent="0.2">
      <c r="AB768" s="149">
        <f t="shared" ca="1" si="22"/>
        <v>513.67654668559192</v>
      </c>
    </row>
    <row r="769" spans="28:28" x14ac:dyDescent="0.2">
      <c r="AB769" s="149">
        <f t="shared" ca="1" si="22"/>
        <v>739.45280397523584</v>
      </c>
    </row>
    <row r="770" spans="28:28" x14ac:dyDescent="0.2">
      <c r="AB770" s="149">
        <f t="shared" ca="1" si="22"/>
        <v>378.68069860719208</v>
      </c>
    </row>
    <row r="771" spans="28:28" x14ac:dyDescent="0.2">
      <c r="AB771" s="149">
        <f t="shared" ca="1" si="22"/>
        <v>211.66622180635775</v>
      </c>
    </row>
    <row r="772" spans="28:28" x14ac:dyDescent="0.2">
      <c r="AB772" s="149">
        <f t="shared" ca="1" si="22"/>
        <v>650.47926048780312</v>
      </c>
    </row>
    <row r="773" spans="28:28" x14ac:dyDescent="0.2">
      <c r="AB773" s="149">
        <f t="shared" ref="AB773:AB836" ca="1" si="23">RAND()*1000</f>
        <v>876.58213689447064</v>
      </c>
    </row>
    <row r="774" spans="28:28" x14ac:dyDescent="0.2">
      <c r="AB774" s="149">
        <f t="shared" ca="1" si="23"/>
        <v>354.19376047206032</v>
      </c>
    </row>
    <row r="775" spans="28:28" x14ac:dyDescent="0.2">
      <c r="AB775" s="149">
        <f t="shared" ca="1" si="23"/>
        <v>142.44598283643828</v>
      </c>
    </row>
    <row r="776" spans="28:28" x14ac:dyDescent="0.2">
      <c r="AB776" s="149">
        <f t="shared" ca="1" si="23"/>
        <v>302.10415628723752</v>
      </c>
    </row>
    <row r="777" spans="28:28" x14ac:dyDescent="0.2">
      <c r="AB777" s="149">
        <f t="shared" ca="1" si="23"/>
        <v>900.82976660640941</v>
      </c>
    </row>
    <row r="778" spans="28:28" x14ac:dyDescent="0.2">
      <c r="AB778" s="149">
        <f t="shared" ca="1" si="23"/>
        <v>378.62692262816023</v>
      </c>
    </row>
    <row r="779" spans="28:28" x14ac:dyDescent="0.2">
      <c r="AB779" s="149">
        <f t="shared" ca="1" si="23"/>
        <v>409.24067019628785</v>
      </c>
    </row>
    <row r="780" spans="28:28" x14ac:dyDescent="0.2">
      <c r="AB780" s="149">
        <f t="shared" ca="1" si="23"/>
        <v>471.89248638366445</v>
      </c>
    </row>
    <row r="781" spans="28:28" x14ac:dyDescent="0.2">
      <c r="AB781" s="149">
        <f t="shared" ca="1" si="23"/>
        <v>390.72285971575894</v>
      </c>
    </row>
    <row r="782" spans="28:28" x14ac:dyDescent="0.2">
      <c r="AB782" s="149">
        <f t="shared" ca="1" si="23"/>
        <v>869.16175344214014</v>
      </c>
    </row>
    <row r="783" spans="28:28" x14ac:dyDescent="0.2">
      <c r="AB783" s="149">
        <f t="shared" ca="1" si="23"/>
        <v>809.18276333263361</v>
      </c>
    </row>
    <row r="784" spans="28:28" x14ac:dyDescent="0.2">
      <c r="AB784" s="149">
        <f t="shared" ca="1" si="23"/>
        <v>731.32229116070607</v>
      </c>
    </row>
    <row r="785" spans="28:28" x14ac:dyDescent="0.2">
      <c r="AB785" s="149">
        <f t="shared" ca="1" si="23"/>
        <v>609.61554386254534</v>
      </c>
    </row>
    <row r="786" spans="28:28" x14ac:dyDescent="0.2">
      <c r="AB786" s="149">
        <f t="shared" ca="1" si="23"/>
        <v>557.00513151215728</v>
      </c>
    </row>
    <row r="787" spans="28:28" x14ac:dyDescent="0.2">
      <c r="AB787" s="149">
        <f t="shared" ca="1" si="23"/>
        <v>586.17100061519739</v>
      </c>
    </row>
    <row r="788" spans="28:28" x14ac:dyDescent="0.2">
      <c r="AB788" s="149">
        <f t="shared" ca="1" si="23"/>
        <v>248.0963464668441</v>
      </c>
    </row>
    <row r="789" spans="28:28" x14ac:dyDescent="0.2">
      <c r="AB789" s="149">
        <f t="shared" ca="1" si="23"/>
        <v>946.5710482506928</v>
      </c>
    </row>
    <row r="790" spans="28:28" x14ac:dyDescent="0.2">
      <c r="AB790" s="149">
        <f t="shared" ca="1" si="23"/>
        <v>501.78411575150807</v>
      </c>
    </row>
    <row r="791" spans="28:28" x14ac:dyDescent="0.2">
      <c r="AB791" s="149">
        <f t="shared" ca="1" si="23"/>
        <v>351.92928669958536</v>
      </c>
    </row>
    <row r="792" spans="28:28" x14ac:dyDescent="0.2">
      <c r="AB792" s="149">
        <f t="shared" ca="1" si="23"/>
        <v>438.13616909720645</v>
      </c>
    </row>
    <row r="793" spans="28:28" x14ac:dyDescent="0.2">
      <c r="AB793" s="149">
        <f t="shared" ca="1" si="23"/>
        <v>74.249992504559771</v>
      </c>
    </row>
    <row r="794" spans="28:28" x14ac:dyDescent="0.2">
      <c r="AB794" s="149">
        <f t="shared" ca="1" si="23"/>
        <v>22.608663418842934</v>
      </c>
    </row>
    <row r="795" spans="28:28" x14ac:dyDescent="0.2">
      <c r="AB795" s="149">
        <f t="shared" ca="1" si="23"/>
        <v>201.17381566232484</v>
      </c>
    </row>
    <row r="796" spans="28:28" x14ac:dyDescent="0.2">
      <c r="AB796" s="149">
        <f t="shared" ca="1" si="23"/>
        <v>509.83349887066845</v>
      </c>
    </row>
    <row r="797" spans="28:28" x14ac:dyDescent="0.2">
      <c r="AB797" s="149">
        <f t="shared" ca="1" si="23"/>
        <v>516.4945376808289</v>
      </c>
    </row>
    <row r="798" spans="28:28" x14ac:dyDescent="0.2">
      <c r="AB798" s="149">
        <f t="shared" ca="1" si="23"/>
        <v>493.78500858074261</v>
      </c>
    </row>
    <row r="799" spans="28:28" x14ac:dyDescent="0.2">
      <c r="AB799" s="149">
        <f t="shared" ca="1" si="23"/>
        <v>295.60563713650657</v>
      </c>
    </row>
    <row r="800" spans="28:28" x14ac:dyDescent="0.2">
      <c r="AB800" s="149">
        <f t="shared" ca="1" si="23"/>
        <v>975.33900968604996</v>
      </c>
    </row>
    <row r="801" spans="28:28" x14ac:dyDescent="0.2">
      <c r="AB801" s="149">
        <f t="shared" ca="1" si="23"/>
        <v>157.57260784319749</v>
      </c>
    </row>
    <row r="802" spans="28:28" x14ac:dyDescent="0.2">
      <c r="AB802" s="149">
        <f t="shared" ca="1" si="23"/>
        <v>904.65681197329366</v>
      </c>
    </row>
    <row r="803" spans="28:28" x14ac:dyDescent="0.2">
      <c r="AB803" s="149">
        <f t="shared" ca="1" si="23"/>
        <v>343.63129489469725</v>
      </c>
    </row>
    <row r="804" spans="28:28" x14ac:dyDescent="0.2">
      <c r="AB804" s="149">
        <f t="shared" ca="1" si="23"/>
        <v>46.424716239962471</v>
      </c>
    </row>
    <row r="805" spans="28:28" x14ac:dyDescent="0.2">
      <c r="AB805" s="149">
        <f t="shared" ca="1" si="23"/>
        <v>699.8612948109685</v>
      </c>
    </row>
    <row r="806" spans="28:28" x14ac:dyDescent="0.2">
      <c r="AB806" s="149">
        <f t="shared" ca="1" si="23"/>
        <v>972.33343719493587</v>
      </c>
    </row>
    <row r="807" spans="28:28" x14ac:dyDescent="0.2">
      <c r="AB807" s="149">
        <f t="shared" ca="1" si="23"/>
        <v>138.43433663775795</v>
      </c>
    </row>
    <row r="808" spans="28:28" x14ac:dyDescent="0.2">
      <c r="AB808" s="149">
        <f t="shared" ca="1" si="23"/>
        <v>285.2629546647334</v>
      </c>
    </row>
    <row r="809" spans="28:28" x14ac:dyDescent="0.2">
      <c r="AB809" s="149">
        <f t="shared" ca="1" si="23"/>
        <v>620.65818804110449</v>
      </c>
    </row>
    <row r="810" spans="28:28" x14ac:dyDescent="0.2">
      <c r="AB810" s="149">
        <f t="shared" ca="1" si="23"/>
        <v>509.1278923650807</v>
      </c>
    </row>
    <row r="811" spans="28:28" x14ac:dyDescent="0.2">
      <c r="AB811" s="149">
        <f t="shared" ca="1" si="23"/>
        <v>681.416238614073</v>
      </c>
    </row>
    <row r="812" spans="28:28" x14ac:dyDescent="0.2">
      <c r="AB812" s="149">
        <f t="shared" ca="1" si="23"/>
        <v>50.30088831792834</v>
      </c>
    </row>
    <row r="813" spans="28:28" x14ac:dyDescent="0.2">
      <c r="AB813" s="149">
        <f t="shared" ca="1" si="23"/>
        <v>665.87333583832276</v>
      </c>
    </row>
    <row r="814" spans="28:28" x14ac:dyDescent="0.2">
      <c r="AB814" s="149">
        <f t="shared" ca="1" si="23"/>
        <v>268.36243150228535</v>
      </c>
    </row>
    <row r="815" spans="28:28" x14ac:dyDescent="0.2">
      <c r="AB815" s="149">
        <f t="shared" ca="1" si="23"/>
        <v>461.40310198211245</v>
      </c>
    </row>
    <row r="816" spans="28:28" x14ac:dyDescent="0.2">
      <c r="AB816" s="149">
        <f t="shared" ca="1" si="23"/>
        <v>421.62922742679399</v>
      </c>
    </row>
    <row r="817" spans="28:28" x14ac:dyDescent="0.2">
      <c r="AB817" s="149">
        <f t="shared" ca="1" si="23"/>
        <v>186.57824912576569</v>
      </c>
    </row>
    <row r="818" spans="28:28" x14ac:dyDescent="0.2">
      <c r="AB818" s="149">
        <f t="shared" ca="1" si="23"/>
        <v>154.6842998432395</v>
      </c>
    </row>
    <row r="819" spans="28:28" x14ac:dyDescent="0.2">
      <c r="AB819" s="149">
        <f t="shared" ca="1" si="23"/>
        <v>123.36240409399524</v>
      </c>
    </row>
    <row r="820" spans="28:28" x14ac:dyDescent="0.2">
      <c r="AB820" s="149">
        <f t="shared" ca="1" si="23"/>
        <v>954.67305940437416</v>
      </c>
    </row>
    <row r="821" spans="28:28" x14ac:dyDescent="0.2">
      <c r="AB821" s="149">
        <f t="shared" ca="1" si="23"/>
        <v>470.5397790657716</v>
      </c>
    </row>
    <row r="822" spans="28:28" x14ac:dyDescent="0.2">
      <c r="AB822" s="149">
        <f t="shared" ca="1" si="23"/>
        <v>672.00872532977303</v>
      </c>
    </row>
    <row r="823" spans="28:28" x14ac:dyDescent="0.2">
      <c r="AB823" s="149">
        <f t="shared" ca="1" si="23"/>
        <v>960.75153253829865</v>
      </c>
    </row>
    <row r="824" spans="28:28" x14ac:dyDescent="0.2">
      <c r="AB824" s="149">
        <f t="shared" ca="1" si="23"/>
        <v>729.64570744352534</v>
      </c>
    </row>
    <row r="825" spans="28:28" x14ac:dyDescent="0.2">
      <c r="AB825" s="149">
        <f t="shared" ca="1" si="23"/>
        <v>426.16292496618104</v>
      </c>
    </row>
    <row r="826" spans="28:28" x14ac:dyDescent="0.2">
      <c r="AB826" s="149">
        <f t="shared" ca="1" si="23"/>
        <v>746.34114781090022</v>
      </c>
    </row>
    <row r="827" spans="28:28" x14ac:dyDescent="0.2">
      <c r="AB827" s="149">
        <f t="shared" ca="1" si="23"/>
        <v>185.17723857636614</v>
      </c>
    </row>
    <row r="828" spans="28:28" x14ac:dyDescent="0.2">
      <c r="AB828" s="149">
        <f t="shared" ca="1" si="23"/>
        <v>416.84093395363652</v>
      </c>
    </row>
    <row r="829" spans="28:28" x14ac:dyDescent="0.2">
      <c r="AB829" s="149">
        <f t="shared" ca="1" si="23"/>
        <v>360.9614587614787</v>
      </c>
    </row>
    <row r="830" spans="28:28" x14ac:dyDescent="0.2">
      <c r="AB830" s="149">
        <f t="shared" ca="1" si="23"/>
        <v>928.99041130106411</v>
      </c>
    </row>
    <row r="831" spans="28:28" x14ac:dyDescent="0.2">
      <c r="AB831" s="149">
        <f t="shared" ca="1" si="23"/>
        <v>613.69479464668859</v>
      </c>
    </row>
    <row r="832" spans="28:28" x14ac:dyDescent="0.2">
      <c r="AB832" s="149">
        <f t="shared" ca="1" si="23"/>
        <v>759.27182838135832</v>
      </c>
    </row>
    <row r="833" spans="28:28" x14ac:dyDescent="0.2">
      <c r="AB833" s="149">
        <f t="shared" ca="1" si="23"/>
        <v>717.36627832261308</v>
      </c>
    </row>
    <row r="834" spans="28:28" x14ac:dyDescent="0.2">
      <c r="AB834" s="149">
        <f t="shared" ca="1" si="23"/>
        <v>556.26492834050589</v>
      </c>
    </row>
    <row r="835" spans="28:28" x14ac:dyDescent="0.2">
      <c r="AB835" s="149">
        <f t="shared" ca="1" si="23"/>
        <v>509.07080394964686</v>
      </c>
    </row>
    <row r="836" spans="28:28" x14ac:dyDescent="0.2">
      <c r="AB836" s="149">
        <f t="shared" ca="1" si="23"/>
        <v>525.02410911140703</v>
      </c>
    </row>
    <row r="837" spans="28:28" x14ac:dyDescent="0.2">
      <c r="AB837" s="149">
        <f t="shared" ref="AB837:AB900" ca="1" si="24">RAND()*1000</f>
        <v>285.1521669756608</v>
      </c>
    </row>
    <row r="838" spans="28:28" x14ac:dyDescent="0.2">
      <c r="AB838" s="149">
        <f t="shared" ca="1" si="24"/>
        <v>694.6630765096445</v>
      </c>
    </row>
    <row r="839" spans="28:28" x14ac:dyDescent="0.2">
      <c r="AB839" s="149">
        <f t="shared" ca="1" si="24"/>
        <v>637.8963261103022</v>
      </c>
    </row>
    <row r="840" spans="28:28" x14ac:dyDescent="0.2">
      <c r="AB840" s="149">
        <f t="shared" ca="1" si="24"/>
        <v>249.129876989297</v>
      </c>
    </row>
    <row r="841" spans="28:28" x14ac:dyDescent="0.2">
      <c r="AB841" s="149">
        <f t="shared" ca="1" si="24"/>
        <v>241.20540765470423</v>
      </c>
    </row>
    <row r="842" spans="28:28" x14ac:dyDescent="0.2">
      <c r="AB842" s="149">
        <f t="shared" ca="1" si="24"/>
        <v>215.50315688068778</v>
      </c>
    </row>
    <row r="843" spans="28:28" x14ac:dyDescent="0.2">
      <c r="AB843" s="149">
        <f t="shared" ca="1" si="24"/>
        <v>767.87958032838822</v>
      </c>
    </row>
    <row r="844" spans="28:28" x14ac:dyDescent="0.2">
      <c r="AB844" s="149">
        <f t="shared" ca="1" si="24"/>
        <v>624.14183697120825</v>
      </c>
    </row>
    <row r="845" spans="28:28" x14ac:dyDescent="0.2">
      <c r="AB845" s="149">
        <f t="shared" ca="1" si="24"/>
        <v>212.67877109429622</v>
      </c>
    </row>
    <row r="846" spans="28:28" x14ac:dyDescent="0.2">
      <c r="AB846" s="149">
        <f t="shared" ca="1" si="24"/>
        <v>136.2489274930455</v>
      </c>
    </row>
    <row r="847" spans="28:28" x14ac:dyDescent="0.2">
      <c r="AB847" s="149">
        <f t="shared" ca="1" si="24"/>
        <v>766.75415395785524</v>
      </c>
    </row>
    <row r="848" spans="28:28" x14ac:dyDescent="0.2">
      <c r="AB848" s="149">
        <f t="shared" ca="1" si="24"/>
        <v>286.50492026736708</v>
      </c>
    </row>
    <row r="849" spans="28:28" x14ac:dyDescent="0.2">
      <c r="AB849" s="149">
        <f t="shared" ca="1" si="24"/>
        <v>445.66839824770375</v>
      </c>
    </row>
    <row r="850" spans="28:28" x14ac:dyDescent="0.2">
      <c r="AB850" s="149">
        <f t="shared" ca="1" si="24"/>
        <v>403.14095830588826</v>
      </c>
    </row>
    <row r="851" spans="28:28" x14ac:dyDescent="0.2">
      <c r="AB851" s="149">
        <f t="shared" ca="1" si="24"/>
        <v>229.32150846480727</v>
      </c>
    </row>
    <row r="852" spans="28:28" x14ac:dyDescent="0.2">
      <c r="AB852" s="149">
        <f t="shared" ca="1" si="24"/>
        <v>138.39907982407496</v>
      </c>
    </row>
    <row r="853" spans="28:28" x14ac:dyDescent="0.2">
      <c r="AB853" s="149">
        <f t="shared" ca="1" si="24"/>
        <v>914.08021498970356</v>
      </c>
    </row>
    <row r="854" spans="28:28" x14ac:dyDescent="0.2">
      <c r="AB854" s="149">
        <f t="shared" ca="1" si="24"/>
        <v>824.48811498282885</v>
      </c>
    </row>
    <row r="855" spans="28:28" x14ac:dyDescent="0.2">
      <c r="AB855" s="149">
        <f t="shared" ca="1" si="24"/>
        <v>643.43367263297523</v>
      </c>
    </row>
    <row r="856" spans="28:28" x14ac:dyDescent="0.2">
      <c r="AB856" s="149">
        <f t="shared" ca="1" si="24"/>
        <v>457.93437869924958</v>
      </c>
    </row>
    <row r="857" spans="28:28" x14ac:dyDescent="0.2">
      <c r="AB857" s="149">
        <f t="shared" ca="1" si="24"/>
        <v>309.96536348028678</v>
      </c>
    </row>
    <row r="858" spans="28:28" x14ac:dyDescent="0.2">
      <c r="AB858" s="149">
        <f t="shared" ca="1" si="24"/>
        <v>915.05663627436206</v>
      </c>
    </row>
    <row r="859" spans="28:28" x14ac:dyDescent="0.2">
      <c r="AB859" s="149">
        <f t="shared" ca="1" si="24"/>
        <v>563.49024989308612</v>
      </c>
    </row>
    <row r="860" spans="28:28" x14ac:dyDescent="0.2">
      <c r="AB860" s="149">
        <f t="shared" ca="1" si="24"/>
        <v>967.59227186067005</v>
      </c>
    </row>
    <row r="861" spans="28:28" x14ac:dyDescent="0.2">
      <c r="AB861" s="149">
        <f t="shared" ca="1" si="24"/>
        <v>446.39222098170148</v>
      </c>
    </row>
    <row r="862" spans="28:28" x14ac:dyDescent="0.2">
      <c r="AB862" s="149">
        <f t="shared" ca="1" si="24"/>
        <v>383.13378951151691</v>
      </c>
    </row>
    <row r="863" spans="28:28" x14ac:dyDescent="0.2">
      <c r="AB863" s="149">
        <f t="shared" ca="1" si="24"/>
        <v>715.68924900492766</v>
      </c>
    </row>
    <row r="864" spans="28:28" x14ac:dyDescent="0.2">
      <c r="AB864" s="149">
        <f t="shared" ca="1" si="24"/>
        <v>768.51199610945469</v>
      </c>
    </row>
    <row r="865" spans="28:28" x14ac:dyDescent="0.2">
      <c r="AB865" s="149">
        <f t="shared" ca="1" si="24"/>
        <v>864.37526470671571</v>
      </c>
    </row>
    <row r="866" spans="28:28" x14ac:dyDescent="0.2">
      <c r="AB866" s="149">
        <f t="shared" ca="1" si="24"/>
        <v>116.07589592248191</v>
      </c>
    </row>
    <row r="867" spans="28:28" x14ac:dyDescent="0.2">
      <c r="AB867" s="149">
        <f t="shared" ca="1" si="24"/>
        <v>647.96619437230595</v>
      </c>
    </row>
    <row r="868" spans="28:28" x14ac:dyDescent="0.2">
      <c r="AB868" s="149">
        <f t="shared" ca="1" si="24"/>
        <v>895.59111637376373</v>
      </c>
    </row>
    <row r="869" spans="28:28" x14ac:dyDescent="0.2">
      <c r="AB869" s="149">
        <f t="shared" ca="1" si="24"/>
        <v>84.356527148060081</v>
      </c>
    </row>
    <row r="870" spans="28:28" x14ac:dyDescent="0.2">
      <c r="AB870" s="149">
        <f t="shared" ca="1" si="24"/>
        <v>543.1889013020002</v>
      </c>
    </row>
    <row r="871" spans="28:28" x14ac:dyDescent="0.2">
      <c r="AB871" s="149">
        <f t="shared" ca="1" si="24"/>
        <v>546.66280546534892</v>
      </c>
    </row>
    <row r="872" spans="28:28" x14ac:dyDescent="0.2">
      <c r="AB872" s="149">
        <f t="shared" ca="1" si="24"/>
        <v>670.06010629006687</v>
      </c>
    </row>
    <row r="873" spans="28:28" x14ac:dyDescent="0.2">
      <c r="AB873" s="149">
        <f t="shared" ca="1" si="24"/>
        <v>95.412065226484259</v>
      </c>
    </row>
    <row r="874" spans="28:28" x14ac:dyDescent="0.2">
      <c r="AB874" s="149">
        <f t="shared" ca="1" si="24"/>
        <v>757.66770414492692</v>
      </c>
    </row>
    <row r="875" spans="28:28" x14ac:dyDescent="0.2">
      <c r="AB875" s="149">
        <f t="shared" ca="1" si="24"/>
        <v>930.34954792244821</v>
      </c>
    </row>
    <row r="876" spans="28:28" x14ac:dyDescent="0.2">
      <c r="AB876" s="149">
        <f t="shared" ca="1" si="24"/>
        <v>964.15902346737903</v>
      </c>
    </row>
    <row r="877" spans="28:28" x14ac:dyDescent="0.2">
      <c r="AB877" s="149">
        <f t="shared" ca="1" si="24"/>
        <v>998.37879863012142</v>
      </c>
    </row>
    <row r="878" spans="28:28" x14ac:dyDescent="0.2">
      <c r="AB878" s="149">
        <f t="shared" ca="1" si="24"/>
        <v>143.40520566592741</v>
      </c>
    </row>
    <row r="879" spans="28:28" x14ac:dyDescent="0.2">
      <c r="AB879" s="149">
        <f t="shared" ca="1" si="24"/>
        <v>397.82433093355343</v>
      </c>
    </row>
    <row r="880" spans="28:28" x14ac:dyDescent="0.2">
      <c r="AB880" s="149">
        <f t="shared" ca="1" si="24"/>
        <v>381.63385308034026</v>
      </c>
    </row>
    <row r="881" spans="28:28" x14ac:dyDescent="0.2">
      <c r="AB881" s="149">
        <f t="shared" ca="1" si="24"/>
        <v>465.98458990995186</v>
      </c>
    </row>
    <row r="882" spans="28:28" x14ac:dyDescent="0.2">
      <c r="AB882" s="149">
        <f t="shared" ca="1" si="24"/>
        <v>687.70058893135104</v>
      </c>
    </row>
    <row r="883" spans="28:28" x14ac:dyDescent="0.2">
      <c r="AB883" s="149">
        <f t="shared" ca="1" si="24"/>
        <v>605.9026780147376</v>
      </c>
    </row>
    <row r="884" spans="28:28" x14ac:dyDescent="0.2">
      <c r="AB884" s="149">
        <f t="shared" ca="1" si="24"/>
        <v>844.20636121380164</v>
      </c>
    </row>
    <row r="885" spans="28:28" x14ac:dyDescent="0.2">
      <c r="AB885" s="149">
        <f t="shared" ca="1" si="24"/>
        <v>847.62896757599026</v>
      </c>
    </row>
    <row r="886" spans="28:28" x14ac:dyDescent="0.2">
      <c r="AB886" s="149">
        <f t="shared" ca="1" si="24"/>
        <v>116.91070608403741</v>
      </c>
    </row>
    <row r="887" spans="28:28" x14ac:dyDescent="0.2">
      <c r="AB887" s="149">
        <f t="shared" ca="1" si="24"/>
        <v>908.53403338604369</v>
      </c>
    </row>
    <row r="888" spans="28:28" x14ac:dyDescent="0.2">
      <c r="AB888" s="149">
        <f t="shared" ca="1" si="24"/>
        <v>727.39685186450936</v>
      </c>
    </row>
    <row r="889" spans="28:28" x14ac:dyDescent="0.2">
      <c r="AB889" s="149">
        <f t="shared" ca="1" si="24"/>
        <v>671.06966910555559</v>
      </c>
    </row>
    <row r="890" spans="28:28" x14ac:dyDescent="0.2">
      <c r="AB890" s="149">
        <f t="shared" ca="1" si="24"/>
        <v>230.66131959044</v>
      </c>
    </row>
    <row r="891" spans="28:28" x14ac:dyDescent="0.2">
      <c r="AB891" s="149">
        <f t="shared" ca="1" si="24"/>
        <v>466.14225372411278</v>
      </c>
    </row>
    <row r="892" spans="28:28" x14ac:dyDescent="0.2">
      <c r="AB892" s="149">
        <f t="shared" ca="1" si="24"/>
        <v>310.0886985894453</v>
      </c>
    </row>
    <row r="893" spans="28:28" x14ac:dyDescent="0.2">
      <c r="AB893" s="149">
        <f t="shared" ca="1" si="24"/>
        <v>505.58475800532131</v>
      </c>
    </row>
    <row r="894" spans="28:28" x14ac:dyDescent="0.2">
      <c r="AB894" s="149">
        <f t="shared" ca="1" si="24"/>
        <v>336.38972630703779</v>
      </c>
    </row>
    <row r="895" spans="28:28" x14ac:dyDescent="0.2">
      <c r="AB895" s="149">
        <f t="shared" ca="1" si="24"/>
        <v>432.20894236104556</v>
      </c>
    </row>
    <row r="896" spans="28:28" x14ac:dyDescent="0.2">
      <c r="AB896" s="149">
        <f t="shared" ca="1" si="24"/>
        <v>231.09653707381861</v>
      </c>
    </row>
    <row r="897" spans="28:28" x14ac:dyDescent="0.2">
      <c r="AB897" s="149">
        <f t="shared" ca="1" si="24"/>
        <v>129.99974073266708</v>
      </c>
    </row>
    <row r="898" spans="28:28" x14ac:dyDescent="0.2">
      <c r="AB898" s="149">
        <f t="shared" ca="1" si="24"/>
        <v>387.96957141588905</v>
      </c>
    </row>
    <row r="899" spans="28:28" x14ac:dyDescent="0.2">
      <c r="AB899" s="149">
        <f t="shared" ca="1" si="24"/>
        <v>2.8359467700527219</v>
      </c>
    </row>
    <row r="900" spans="28:28" x14ac:dyDescent="0.2">
      <c r="AB900" s="149">
        <f t="shared" ca="1" si="24"/>
        <v>185.53508659478234</v>
      </c>
    </row>
    <row r="901" spans="28:28" x14ac:dyDescent="0.2">
      <c r="AB901" s="149">
        <f t="shared" ref="AB901:AB964" ca="1" si="25">RAND()*1000</f>
        <v>764.237087772363</v>
      </c>
    </row>
    <row r="902" spans="28:28" x14ac:dyDescent="0.2">
      <c r="AB902" s="149">
        <f t="shared" ca="1" si="25"/>
        <v>254.39223163947656</v>
      </c>
    </row>
    <row r="903" spans="28:28" x14ac:dyDescent="0.2">
      <c r="AB903" s="149">
        <f t="shared" ca="1" si="25"/>
        <v>440.92005975475166</v>
      </c>
    </row>
    <row r="904" spans="28:28" x14ac:dyDescent="0.2">
      <c r="AB904" s="149">
        <f t="shared" ca="1" si="25"/>
        <v>258.88968690753347</v>
      </c>
    </row>
    <row r="905" spans="28:28" x14ac:dyDescent="0.2">
      <c r="AB905" s="149">
        <f t="shared" ca="1" si="25"/>
        <v>113.50354659524686</v>
      </c>
    </row>
    <row r="906" spans="28:28" x14ac:dyDescent="0.2">
      <c r="AB906" s="149">
        <f t="shared" ca="1" si="25"/>
        <v>59.225930182242983</v>
      </c>
    </row>
    <row r="907" spans="28:28" x14ac:dyDescent="0.2">
      <c r="AB907" s="149">
        <f t="shared" ca="1" si="25"/>
        <v>876.05455229917266</v>
      </c>
    </row>
    <row r="908" spans="28:28" x14ac:dyDescent="0.2">
      <c r="AB908" s="149">
        <f t="shared" ca="1" si="25"/>
        <v>197.57993667139405</v>
      </c>
    </row>
    <row r="909" spans="28:28" x14ac:dyDescent="0.2">
      <c r="AB909" s="149">
        <f t="shared" ca="1" si="25"/>
        <v>216.99921238605768</v>
      </c>
    </row>
    <row r="910" spans="28:28" x14ac:dyDescent="0.2">
      <c r="AB910" s="149">
        <f t="shared" ca="1" si="25"/>
        <v>449.15057701485392</v>
      </c>
    </row>
    <row r="911" spans="28:28" x14ac:dyDescent="0.2">
      <c r="AB911" s="149">
        <f t="shared" ca="1" si="25"/>
        <v>601.93590859401706</v>
      </c>
    </row>
    <row r="912" spans="28:28" x14ac:dyDescent="0.2">
      <c r="AB912" s="149">
        <f t="shared" ca="1" si="25"/>
        <v>561.07053780482352</v>
      </c>
    </row>
    <row r="913" spans="28:28" x14ac:dyDescent="0.2">
      <c r="AB913" s="149">
        <f t="shared" ca="1" si="25"/>
        <v>24.448783556821006</v>
      </c>
    </row>
    <row r="914" spans="28:28" x14ac:dyDescent="0.2">
      <c r="AB914" s="149">
        <f t="shared" ca="1" si="25"/>
        <v>191.361636365886</v>
      </c>
    </row>
    <row r="915" spans="28:28" x14ac:dyDescent="0.2">
      <c r="AB915" s="149">
        <f t="shared" ca="1" si="25"/>
        <v>523.74012439730586</v>
      </c>
    </row>
    <row r="916" spans="28:28" x14ac:dyDescent="0.2">
      <c r="AB916" s="149">
        <f t="shared" ca="1" si="25"/>
        <v>639.72560487132318</v>
      </c>
    </row>
    <row r="917" spans="28:28" x14ac:dyDescent="0.2">
      <c r="AB917" s="149">
        <f t="shared" ca="1" si="25"/>
        <v>63.926600113408668</v>
      </c>
    </row>
    <row r="918" spans="28:28" x14ac:dyDescent="0.2">
      <c r="AB918" s="149">
        <f t="shared" ca="1" si="25"/>
        <v>225.75795665701526</v>
      </c>
    </row>
    <row r="919" spans="28:28" x14ac:dyDescent="0.2">
      <c r="AB919" s="149">
        <f t="shared" ca="1" si="25"/>
        <v>455.39825006364953</v>
      </c>
    </row>
    <row r="920" spans="28:28" x14ac:dyDescent="0.2">
      <c r="AB920" s="149">
        <f t="shared" ca="1" si="25"/>
        <v>420.02129863545434</v>
      </c>
    </row>
    <row r="921" spans="28:28" x14ac:dyDescent="0.2">
      <c r="AB921" s="149">
        <f t="shared" ca="1" si="25"/>
        <v>186.28703006591374</v>
      </c>
    </row>
    <row r="922" spans="28:28" x14ac:dyDescent="0.2">
      <c r="AB922" s="149">
        <f t="shared" ca="1" si="25"/>
        <v>380.97217359606697</v>
      </c>
    </row>
    <row r="923" spans="28:28" x14ac:dyDescent="0.2">
      <c r="AB923" s="149">
        <f t="shared" ca="1" si="25"/>
        <v>316.25378237689119</v>
      </c>
    </row>
    <row r="924" spans="28:28" x14ac:dyDescent="0.2">
      <c r="AB924" s="149">
        <f t="shared" ca="1" si="25"/>
        <v>822.11684749320398</v>
      </c>
    </row>
    <row r="925" spans="28:28" x14ac:dyDescent="0.2">
      <c r="AB925" s="149">
        <f t="shared" ca="1" si="25"/>
        <v>758.99515615857445</v>
      </c>
    </row>
    <row r="926" spans="28:28" x14ac:dyDescent="0.2">
      <c r="AB926" s="149">
        <f t="shared" ca="1" si="25"/>
        <v>687.7056261016503</v>
      </c>
    </row>
    <row r="927" spans="28:28" x14ac:dyDescent="0.2">
      <c r="AB927" s="149">
        <f t="shared" ca="1" si="25"/>
        <v>930.04623495533974</v>
      </c>
    </row>
    <row r="928" spans="28:28" x14ac:dyDescent="0.2">
      <c r="AB928" s="149">
        <f t="shared" ca="1" si="25"/>
        <v>513.31968992859288</v>
      </c>
    </row>
    <row r="929" spans="28:28" x14ac:dyDescent="0.2">
      <c r="AB929" s="149">
        <f t="shared" ca="1" si="25"/>
        <v>390.36558726299899</v>
      </c>
    </row>
    <row r="930" spans="28:28" x14ac:dyDescent="0.2">
      <c r="AB930" s="149">
        <f t="shared" ca="1" si="25"/>
        <v>13.203895991370839</v>
      </c>
    </row>
    <row r="931" spans="28:28" x14ac:dyDescent="0.2">
      <c r="AB931" s="149">
        <f t="shared" ca="1" si="25"/>
        <v>356.10258936425021</v>
      </c>
    </row>
    <row r="932" spans="28:28" x14ac:dyDescent="0.2">
      <c r="AB932" s="149">
        <f t="shared" ca="1" si="25"/>
        <v>134.68384455561667</v>
      </c>
    </row>
    <row r="933" spans="28:28" x14ac:dyDescent="0.2">
      <c r="AB933" s="149">
        <f t="shared" ca="1" si="25"/>
        <v>500.93439938312036</v>
      </c>
    </row>
    <row r="934" spans="28:28" x14ac:dyDescent="0.2">
      <c r="AB934" s="149">
        <f t="shared" ca="1" si="25"/>
        <v>185.14464286926335</v>
      </c>
    </row>
    <row r="935" spans="28:28" x14ac:dyDescent="0.2">
      <c r="AB935" s="149">
        <f t="shared" ca="1" si="25"/>
        <v>958.05695817178605</v>
      </c>
    </row>
    <row r="936" spans="28:28" x14ac:dyDescent="0.2">
      <c r="AB936" s="149">
        <f t="shared" ca="1" si="25"/>
        <v>729.68770998353386</v>
      </c>
    </row>
    <row r="937" spans="28:28" x14ac:dyDescent="0.2">
      <c r="AB937" s="149">
        <f t="shared" ca="1" si="25"/>
        <v>617.11584657173148</v>
      </c>
    </row>
    <row r="938" spans="28:28" x14ac:dyDescent="0.2">
      <c r="AB938" s="149">
        <f t="shared" ca="1" si="25"/>
        <v>147.38428156602436</v>
      </c>
    </row>
    <row r="939" spans="28:28" x14ac:dyDescent="0.2">
      <c r="AB939" s="149">
        <f t="shared" ca="1" si="25"/>
        <v>580.8698504583507</v>
      </c>
    </row>
    <row r="940" spans="28:28" x14ac:dyDescent="0.2">
      <c r="AB940" s="149">
        <f t="shared" ca="1" si="25"/>
        <v>824.21693889851122</v>
      </c>
    </row>
    <row r="941" spans="28:28" x14ac:dyDescent="0.2">
      <c r="AB941" s="149">
        <f t="shared" ca="1" si="25"/>
        <v>455.83641747619941</v>
      </c>
    </row>
    <row r="942" spans="28:28" x14ac:dyDescent="0.2">
      <c r="AB942" s="149">
        <f t="shared" ca="1" si="25"/>
        <v>237.97307578911176</v>
      </c>
    </row>
    <row r="943" spans="28:28" x14ac:dyDescent="0.2">
      <c r="AB943" s="149">
        <f t="shared" ca="1" si="25"/>
        <v>855.03396879847196</v>
      </c>
    </row>
    <row r="944" spans="28:28" x14ac:dyDescent="0.2">
      <c r="AB944" s="149">
        <f t="shared" ca="1" si="25"/>
        <v>943.65943739349325</v>
      </c>
    </row>
    <row r="945" spans="28:28" x14ac:dyDescent="0.2">
      <c r="AB945" s="149">
        <f t="shared" ca="1" si="25"/>
        <v>708.56842872966058</v>
      </c>
    </row>
    <row r="946" spans="28:28" x14ac:dyDescent="0.2">
      <c r="AB946" s="149">
        <f t="shared" ca="1" si="25"/>
        <v>59.659108329267241</v>
      </c>
    </row>
    <row r="947" spans="28:28" x14ac:dyDescent="0.2">
      <c r="AB947" s="149">
        <f t="shared" ca="1" si="25"/>
        <v>831.70683237572814</v>
      </c>
    </row>
    <row r="948" spans="28:28" x14ac:dyDescent="0.2">
      <c r="AB948" s="149">
        <f t="shared" ca="1" si="25"/>
        <v>0.44813851274760896</v>
      </c>
    </row>
    <row r="949" spans="28:28" x14ac:dyDescent="0.2">
      <c r="AB949" s="149">
        <f t="shared" ca="1" si="25"/>
        <v>645.54143792677678</v>
      </c>
    </row>
    <row r="950" spans="28:28" x14ac:dyDescent="0.2">
      <c r="AB950" s="149">
        <f t="shared" ca="1" si="25"/>
        <v>893.17054648055182</v>
      </c>
    </row>
    <row r="951" spans="28:28" x14ac:dyDescent="0.2">
      <c r="AB951" s="149">
        <f t="shared" ca="1" si="25"/>
        <v>842.73613801480235</v>
      </c>
    </row>
    <row r="952" spans="28:28" x14ac:dyDescent="0.2">
      <c r="AB952" s="149">
        <f t="shared" ca="1" si="25"/>
        <v>941.60193838067391</v>
      </c>
    </row>
    <row r="953" spans="28:28" x14ac:dyDescent="0.2">
      <c r="AB953" s="149">
        <f t="shared" ca="1" si="25"/>
        <v>726.06704012466309</v>
      </c>
    </row>
    <row r="954" spans="28:28" x14ac:dyDescent="0.2">
      <c r="AB954" s="149">
        <f t="shared" ca="1" si="25"/>
        <v>851.45826004642583</v>
      </c>
    </row>
    <row r="955" spans="28:28" x14ac:dyDescent="0.2">
      <c r="AB955" s="149">
        <f t="shared" ca="1" si="25"/>
        <v>53.296189394753554</v>
      </c>
    </row>
    <row r="956" spans="28:28" x14ac:dyDescent="0.2">
      <c r="AB956" s="149">
        <f t="shared" ca="1" si="25"/>
        <v>672.23754426637163</v>
      </c>
    </row>
    <row r="957" spans="28:28" x14ac:dyDescent="0.2">
      <c r="AB957" s="149">
        <f t="shared" ca="1" si="25"/>
        <v>999.97873371196863</v>
      </c>
    </row>
    <row r="958" spans="28:28" x14ac:dyDescent="0.2">
      <c r="AB958" s="149">
        <f t="shared" ca="1" si="25"/>
        <v>198.25839725237216</v>
      </c>
    </row>
    <row r="959" spans="28:28" x14ac:dyDescent="0.2">
      <c r="AB959" s="149">
        <f t="shared" ca="1" si="25"/>
        <v>501.20685274228816</v>
      </c>
    </row>
    <row r="960" spans="28:28" x14ac:dyDescent="0.2">
      <c r="AB960" s="149">
        <f t="shared" ca="1" si="25"/>
        <v>183.87179603019334</v>
      </c>
    </row>
    <row r="961" spans="28:28" x14ac:dyDescent="0.2">
      <c r="AB961" s="149">
        <f t="shared" ca="1" si="25"/>
        <v>994.12361327572387</v>
      </c>
    </row>
    <row r="962" spans="28:28" x14ac:dyDescent="0.2">
      <c r="AB962" s="149">
        <f t="shared" ca="1" si="25"/>
        <v>407.838508446834</v>
      </c>
    </row>
    <row r="963" spans="28:28" x14ac:dyDescent="0.2">
      <c r="AB963" s="149">
        <f t="shared" ca="1" si="25"/>
        <v>9.9756371230672602</v>
      </c>
    </row>
    <row r="964" spans="28:28" x14ac:dyDescent="0.2">
      <c r="AB964" s="149">
        <f t="shared" ca="1" si="25"/>
        <v>10.145116469213233</v>
      </c>
    </row>
    <row r="965" spans="28:28" x14ac:dyDescent="0.2">
      <c r="AB965" s="149">
        <f t="shared" ref="AB965:AB1028" ca="1" si="26">RAND()*1000</f>
        <v>276.93763954625115</v>
      </c>
    </row>
    <row r="966" spans="28:28" x14ac:dyDescent="0.2">
      <c r="AB966" s="149">
        <f t="shared" ca="1" si="26"/>
        <v>475.14058964041385</v>
      </c>
    </row>
    <row r="967" spans="28:28" x14ac:dyDescent="0.2">
      <c r="AB967" s="149">
        <f t="shared" ca="1" si="26"/>
        <v>37.445829152718765</v>
      </c>
    </row>
    <row r="968" spans="28:28" x14ac:dyDescent="0.2">
      <c r="AB968" s="149">
        <f t="shared" ca="1" si="26"/>
        <v>847.05256744987275</v>
      </c>
    </row>
    <row r="969" spans="28:28" x14ac:dyDescent="0.2">
      <c r="AB969" s="149">
        <f t="shared" ca="1" si="26"/>
        <v>595.37793027649457</v>
      </c>
    </row>
    <row r="970" spans="28:28" x14ac:dyDescent="0.2">
      <c r="AB970" s="149">
        <f t="shared" ca="1" si="26"/>
        <v>491.14681586726181</v>
      </c>
    </row>
    <row r="971" spans="28:28" x14ac:dyDescent="0.2">
      <c r="AB971" s="149">
        <f t="shared" ca="1" si="26"/>
        <v>953.4682893177137</v>
      </c>
    </row>
    <row r="972" spans="28:28" x14ac:dyDescent="0.2">
      <c r="AB972" s="149">
        <f t="shared" ca="1" si="26"/>
        <v>298.32578083494087</v>
      </c>
    </row>
    <row r="973" spans="28:28" x14ac:dyDescent="0.2">
      <c r="AB973" s="149">
        <f t="shared" ca="1" si="26"/>
        <v>406.99090828882225</v>
      </c>
    </row>
    <row r="974" spans="28:28" x14ac:dyDescent="0.2">
      <c r="AB974" s="149">
        <f t="shared" ca="1" si="26"/>
        <v>513.90895173851106</v>
      </c>
    </row>
    <row r="975" spans="28:28" x14ac:dyDescent="0.2">
      <c r="AB975" s="149">
        <f t="shared" ca="1" si="26"/>
        <v>26.104850459158115</v>
      </c>
    </row>
    <row r="976" spans="28:28" x14ac:dyDescent="0.2">
      <c r="AB976" s="149">
        <f t="shared" ca="1" si="26"/>
        <v>247.17534158938059</v>
      </c>
    </row>
    <row r="977" spans="28:28" x14ac:dyDescent="0.2">
      <c r="AB977" s="149">
        <f t="shared" ca="1" si="26"/>
        <v>98.83344069726175</v>
      </c>
    </row>
    <row r="978" spans="28:28" x14ac:dyDescent="0.2">
      <c r="AB978" s="149">
        <f t="shared" ca="1" si="26"/>
        <v>913.81739599089599</v>
      </c>
    </row>
    <row r="979" spans="28:28" x14ac:dyDescent="0.2">
      <c r="AB979" s="149">
        <f t="shared" ca="1" si="26"/>
        <v>233.52739399839228</v>
      </c>
    </row>
    <row r="980" spans="28:28" x14ac:dyDescent="0.2">
      <c r="AB980" s="149">
        <f t="shared" ca="1" si="26"/>
        <v>270.09648705981795</v>
      </c>
    </row>
    <row r="981" spans="28:28" x14ac:dyDescent="0.2">
      <c r="AB981" s="149">
        <f t="shared" ca="1" si="26"/>
        <v>562.74997689718953</v>
      </c>
    </row>
    <row r="982" spans="28:28" x14ac:dyDescent="0.2">
      <c r="AB982" s="149">
        <f t="shared" ca="1" si="26"/>
        <v>56.945766195533707</v>
      </c>
    </row>
    <row r="983" spans="28:28" x14ac:dyDescent="0.2">
      <c r="AB983" s="149">
        <f t="shared" ca="1" si="26"/>
        <v>856.1023879443253</v>
      </c>
    </row>
    <row r="984" spans="28:28" x14ac:dyDescent="0.2">
      <c r="AB984" s="149">
        <f t="shared" ca="1" si="26"/>
        <v>507.22476224673738</v>
      </c>
    </row>
    <row r="985" spans="28:28" x14ac:dyDescent="0.2">
      <c r="AB985" s="149">
        <f t="shared" ca="1" si="26"/>
        <v>120.69971085409081</v>
      </c>
    </row>
    <row r="986" spans="28:28" x14ac:dyDescent="0.2">
      <c r="AB986" s="149">
        <f t="shared" ca="1" si="26"/>
        <v>988.74714790570761</v>
      </c>
    </row>
    <row r="987" spans="28:28" x14ac:dyDescent="0.2">
      <c r="AB987" s="149">
        <f t="shared" ca="1" si="26"/>
        <v>311.95821510106936</v>
      </c>
    </row>
    <row r="988" spans="28:28" x14ac:dyDescent="0.2">
      <c r="AB988" s="149">
        <f t="shared" ca="1" si="26"/>
        <v>125.15923616623859</v>
      </c>
    </row>
    <row r="989" spans="28:28" x14ac:dyDescent="0.2">
      <c r="AB989" s="149">
        <f t="shared" ca="1" si="26"/>
        <v>802.50018420174001</v>
      </c>
    </row>
    <row r="990" spans="28:28" x14ac:dyDescent="0.2">
      <c r="AB990" s="149">
        <f t="shared" ca="1" si="26"/>
        <v>947.59879196245879</v>
      </c>
    </row>
    <row r="991" spans="28:28" x14ac:dyDescent="0.2">
      <c r="AB991" s="149">
        <f t="shared" ca="1" si="26"/>
        <v>180.92588442827295</v>
      </c>
    </row>
    <row r="992" spans="28:28" x14ac:dyDescent="0.2">
      <c r="AB992" s="149">
        <f t="shared" ca="1" si="26"/>
        <v>22.395995568980087</v>
      </c>
    </row>
    <row r="993" spans="28:28" x14ac:dyDescent="0.2">
      <c r="AB993" s="149">
        <f t="shared" ca="1" si="26"/>
        <v>137.33544812117526</v>
      </c>
    </row>
    <row r="994" spans="28:28" x14ac:dyDescent="0.2">
      <c r="AB994" s="149">
        <f t="shared" ca="1" si="26"/>
        <v>278.13452822128204</v>
      </c>
    </row>
    <row r="995" spans="28:28" x14ac:dyDescent="0.2">
      <c r="AB995" s="149">
        <f t="shared" ca="1" si="26"/>
        <v>457.44789897140481</v>
      </c>
    </row>
    <row r="996" spans="28:28" x14ac:dyDescent="0.2">
      <c r="AB996" s="149">
        <f t="shared" ca="1" si="26"/>
        <v>176.23793286774347</v>
      </c>
    </row>
    <row r="997" spans="28:28" x14ac:dyDescent="0.2">
      <c r="AB997" s="149">
        <f t="shared" ca="1" si="26"/>
        <v>218.03664266353695</v>
      </c>
    </row>
    <row r="998" spans="28:28" x14ac:dyDescent="0.2">
      <c r="AB998" s="149">
        <f t="shared" ca="1" si="26"/>
        <v>193.23310174532926</v>
      </c>
    </row>
    <row r="999" spans="28:28" x14ac:dyDescent="0.2">
      <c r="AB999" s="149">
        <f t="shared" ca="1" si="26"/>
        <v>649.49338336018525</v>
      </c>
    </row>
    <row r="1000" spans="28:28" x14ac:dyDescent="0.2">
      <c r="AB1000" s="149">
        <f t="shared" ca="1" si="26"/>
        <v>672.77613918456393</v>
      </c>
    </row>
    <row r="1001" spans="28:28" x14ac:dyDescent="0.2">
      <c r="AB1001" s="149">
        <f t="shared" ca="1" si="26"/>
        <v>606.15198093513629</v>
      </c>
    </row>
    <row r="1002" spans="28:28" x14ac:dyDescent="0.2">
      <c r="AB1002" s="149">
        <f t="shared" ca="1" si="26"/>
        <v>8.6473817460713818</v>
      </c>
    </row>
    <row r="1003" spans="28:28" x14ac:dyDescent="0.2">
      <c r="AB1003" s="149">
        <f t="shared" ca="1" si="26"/>
        <v>188.89109349138477</v>
      </c>
    </row>
    <row r="1004" spans="28:28" x14ac:dyDescent="0.2">
      <c r="AB1004" s="149">
        <f t="shared" ca="1" si="26"/>
        <v>902.27866543674361</v>
      </c>
    </row>
    <row r="1005" spans="28:28" x14ac:dyDescent="0.2">
      <c r="AB1005" s="149">
        <f t="shared" ca="1" si="26"/>
        <v>448.86350232587614</v>
      </c>
    </row>
    <row r="1006" spans="28:28" x14ac:dyDescent="0.2">
      <c r="AB1006" s="149">
        <f t="shared" ca="1" si="26"/>
        <v>309.78590013502429</v>
      </c>
    </row>
    <row r="1007" spans="28:28" x14ac:dyDescent="0.2">
      <c r="AB1007" s="149">
        <f t="shared" ca="1" si="26"/>
        <v>916.42656257459896</v>
      </c>
    </row>
    <row r="1008" spans="28:28" x14ac:dyDescent="0.2">
      <c r="AB1008" s="149">
        <f t="shared" ca="1" si="26"/>
        <v>492.77259730153821</v>
      </c>
    </row>
    <row r="1009" spans="28:28" x14ac:dyDescent="0.2">
      <c r="AB1009" s="149">
        <f t="shared" ca="1" si="26"/>
        <v>570.81974283013164</v>
      </c>
    </row>
    <row r="1010" spans="28:28" x14ac:dyDescent="0.2">
      <c r="AB1010" s="149">
        <f t="shared" ca="1" si="26"/>
        <v>208.83114315081275</v>
      </c>
    </row>
    <row r="1011" spans="28:28" x14ac:dyDescent="0.2">
      <c r="AB1011" s="149">
        <f t="shared" ca="1" si="26"/>
        <v>974.78393424093929</v>
      </c>
    </row>
    <row r="1012" spans="28:28" x14ac:dyDescent="0.2">
      <c r="AB1012" s="149">
        <f t="shared" ca="1" si="26"/>
        <v>462.21847101541414</v>
      </c>
    </row>
    <row r="1013" spans="28:28" x14ac:dyDescent="0.2">
      <c r="AB1013" s="149">
        <f t="shared" ca="1" si="26"/>
        <v>193.01420634175491</v>
      </c>
    </row>
    <row r="1014" spans="28:28" x14ac:dyDescent="0.2">
      <c r="AB1014" s="149">
        <f t="shared" ca="1" si="26"/>
        <v>939.54780418450673</v>
      </c>
    </row>
    <row r="1015" spans="28:28" x14ac:dyDescent="0.2">
      <c r="AB1015" s="149">
        <f t="shared" ca="1" si="26"/>
        <v>892.78885066462419</v>
      </c>
    </row>
    <row r="1016" spans="28:28" x14ac:dyDescent="0.2">
      <c r="AB1016" s="149">
        <f t="shared" ca="1" si="26"/>
        <v>417.14180042998095</v>
      </c>
    </row>
    <row r="1017" spans="28:28" x14ac:dyDescent="0.2">
      <c r="AB1017" s="149">
        <f t="shared" ca="1" si="26"/>
        <v>749.32086336378472</v>
      </c>
    </row>
    <row r="1018" spans="28:28" x14ac:dyDescent="0.2">
      <c r="AB1018" s="149">
        <f t="shared" ca="1" si="26"/>
        <v>897.94895451775892</v>
      </c>
    </row>
    <row r="1019" spans="28:28" x14ac:dyDescent="0.2">
      <c r="AB1019" s="149">
        <f t="shared" ca="1" si="26"/>
        <v>773.71964889875812</v>
      </c>
    </row>
    <row r="1020" spans="28:28" x14ac:dyDescent="0.2">
      <c r="AB1020" s="149">
        <f t="shared" ca="1" si="26"/>
        <v>156.43787512640193</v>
      </c>
    </row>
    <row r="1021" spans="28:28" x14ac:dyDescent="0.2">
      <c r="AB1021" s="149">
        <f t="shared" ca="1" si="26"/>
        <v>889.81251565614104</v>
      </c>
    </row>
    <row r="1022" spans="28:28" x14ac:dyDescent="0.2">
      <c r="AB1022" s="149">
        <f t="shared" ca="1" si="26"/>
        <v>949.26746298699641</v>
      </c>
    </row>
    <row r="1023" spans="28:28" x14ac:dyDescent="0.2">
      <c r="AB1023" s="149">
        <f t="shared" ca="1" si="26"/>
        <v>793.64910085976464</v>
      </c>
    </row>
    <row r="1024" spans="28:28" x14ac:dyDescent="0.2">
      <c r="AB1024" s="149">
        <f t="shared" ca="1" si="26"/>
        <v>372.8551249151655</v>
      </c>
    </row>
    <row r="1025" spans="28:28" x14ac:dyDescent="0.2">
      <c r="AB1025" s="149">
        <f t="shared" ca="1" si="26"/>
        <v>472.40129381330689</v>
      </c>
    </row>
    <row r="1026" spans="28:28" x14ac:dyDescent="0.2">
      <c r="AB1026" s="149">
        <f t="shared" ca="1" si="26"/>
        <v>372.50904466583665</v>
      </c>
    </row>
    <row r="1027" spans="28:28" x14ac:dyDescent="0.2">
      <c r="AB1027" s="149">
        <f t="shared" ca="1" si="26"/>
        <v>938.29829341921061</v>
      </c>
    </row>
    <row r="1028" spans="28:28" x14ac:dyDescent="0.2">
      <c r="AB1028" s="149">
        <f t="shared" ca="1" si="26"/>
        <v>920.00099916277952</v>
      </c>
    </row>
    <row r="1029" spans="28:28" x14ac:dyDescent="0.2">
      <c r="AB1029" s="149">
        <f t="shared" ref="AB1029:AB1092" ca="1" si="27">RAND()*1000</f>
        <v>662.51935323416978</v>
      </c>
    </row>
    <row r="1030" spans="28:28" x14ac:dyDescent="0.2">
      <c r="AB1030" s="149">
        <f t="shared" ca="1" si="27"/>
        <v>653.29253678098428</v>
      </c>
    </row>
    <row r="1031" spans="28:28" x14ac:dyDescent="0.2">
      <c r="AB1031" s="149">
        <f t="shared" ca="1" si="27"/>
        <v>897.77802190000136</v>
      </c>
    </row>
    <row r="1032" spans="28:28" x14ac:dyDescent="0.2">
      <c r="AB1032" s="149">
        <f t="shared" ca="1" si="27"/>
        <v>63.652890535890741</v>
      </c>
    </row>
    <row r="1033" spans="28:28" x14ac:dyDescent="0.2">
      <c r="AB1033" s="149">
        <f t="shared" ca="1" si="27"/>
        <v>66.010934639764045</v>
      </c>
    </row>
    <row r="1034" spans="28:28" x14ac:dyDescent="0.2">
      <c r="AB1034" s="149">
        <f t="shared" ca="1" si="27"/>
        <v>530.6469219150872</v>
      </c>
    </row>
    <row r="1035" spans="28:28" x14ac:dyDescent="0.2">
      <c r="AB1035" s="149">
        <f t="shared" ca="1" si="27"/>
        <v>725.57733234991781</v>
      </c>
    </row>
    <row r="1036" spans="28:28" x14ac:dyDescent="0.2">
      <c r="AB1036" s="149">
        <f t="shared" ca="1" si="27"/>
        <v>750.87430085951905</v>
      </c>
    </row>
    <row r="1037" spans="28:28" x14ac:dyDescent="0.2">
      <c r="AB1037" s="149">
        <f t="shared" ca="1" si="27"/>
        <v>990.34885789072189</v>
      </c>
    </row>
    <row r="1038" spans="28:28" x14ac:dyDescent="0.2">
      <c r="AB1038" s="149">
        <f t="shared" ca="1" si="27"/>
        <v>31.847021741788218</v>
      </c>
    </row>
    <row r="1039" spans="28:28" x14ac:dyDescent="0.2">
      <c r="AB1039" s="149">
        <f t="shared" ca="1" si="27"/>
        <v>996.61013319182211</v>
      </c>
    </row>
    <row r="1040" spans="28:28" x14ac:dyDescent="0.2">
      <c r="AB1040" s="149">
        <f t="shared" ca="1" si="27"/>
        <v>494.20237580298055</v>
      </c>
    </row>
    <row r="1041" spans="28:28" x14ac:dyDescent="0.2">
      <c r="AB1041" s="149">
        <f t="shared" ca="1" si="27"/>
        <v>848.97393157964359</v>
      </c>
    </row>
    <row r="1042" spans="28:28" x14ac:dyDescent="0.2">
      <c r="AB1042" s="149">
        <f t="shared" ca="1" si="27"/>
        <v>411.63429697338296</v>
      </c>
    </row>
    <row r="1043" spans="28:28" x14ac:dyDescent="0.2">
      <c r="AB1043" s="149">
        <f t="shared" ca="1" si="27"/>
        <v>293.7967908812177</v>
      </c>
    </row>
    <row r="1044" spans="28:28" x14ac:dyDescent="0.2">
      <c r="AB1044" s="149">
        <f t="shared" ca="1" si="27"/>
        <v>959.26614808046907</v>
      </c>
    </row>
    <row r="1045" spans="28:28" x14ac:dyDescent="0.2">
      <c r="AB1045" s="149">
        <f t="shared" ca="1" si="27"/>
        <v>358.630841695443</v>
      </c>
    </row>
    <row r="1046" spans="28:28" x14ac:dyDescent="0.2">
      <c r="AB1046" s="149">
        <f t="shared" ca="1" si="27"/>
        <v>993.58589055465313</v>
      </c>
    </row>
    <row r="1047" spans="28:28" x14ac:dyDescent="0.2">
      <c r="AB1047" s="149">
        <f t="shared" ca="1" si="27"/>
        <v>144.41046025388883</v>
      </c>
    </row>
    <row r="1048" spans="28:28" x14ac:dyDescent="0.2">
      <c r="AB1048" s="149">
        <f t="shared" ca="1" si="27"/>
        <v>225.60217839920048</v>
      </c>
    </row>
    <row r="1049" spans="28:28" x14ac:dyDescent="0.2">
      <c r="AB1049" s="149">
        <f t="shared" ca="1" si="27"/>
        <v>365.86826233157257</v>
      </c>
    </row>
    <row r="1050" spans="28:28" x14ac:dyDescent="0.2">
      <c r="AB1050" s="149">
        <f t="shared" ca="1" si="27"/>
        <v>339.14311907605776</v>
      </c>
    </row>
    <row r="1051" spans="28:28" x14ac:dyDescent="0.2">
      <c r="AB1051" s="149">
        <f t="shared" ca="1" si="27"/>
        <v>599.43782435683386</v>
      </c>
    </row>
    <row r="1052" spans="28:28" x14ac:dyDescent="0.2">
      <c r="AB1052" s="149">
        <f t="shared" ca="1" si="27"/>
        <v>229.54470082731581</v>
      </c>
    </row>
    <row r="1053" spans="28:28" x14ac:dyDescent="0.2">
      <c r="AB1053" s="149">
        <f t="shared" ca="1" si="27"/>
        <v>667.17543578082643</v>
      </c>
    </row>
    <row r="1054" spans="28:28" x14ac:dyDescent="0.2">
      <c r="AB1054" s="149">
        <f t="shared" ca="1" si="27"/>
        <v>375.76476836209372</v>
      </c>
    </row>
    <row r="1055" spans="28:28" x14ac:dyDescent="0.2">
      <c r="AB1055" s="149">
        <f t="shared" ca="1" si="27"/>
        <v>858.84454830294487</v>
      </c>
    </row>
    <row r="1056" spans="28:28" x14ac:dyDescent="0.2">
      <c r="AB1056" s="149">
        <f t="shared" ca="1" si="27"/>
        <v>172.59789007296976</v>
      </c>
    </row>
    <row r="1057" spans="28:28" x14ac:dyDescent="0.2">
      <c r="AB1057" s="149">
        <f t="shared" ca="1" si="27"/>
        <v>29.353972364601798</v>
      </c>
    </row>
    <row r="1058" spans="28:28" x14ac:dyDescent="0.2">
      <c r="AB1058" s="149">
        <f t="shared" ca="1" si="27"/>
        <v>974.23837791947301</v>
      </c>
    </row>
    <row r="1059" spans="28:28" x14ac:dyDescent="0.2">
      <c r="AB1059" s="149">
        <f t="shared" ca="1" si="27"/>
        <v>9.7179638647231226</v>
      </c>
    </row>
    <row r="1060" spans="28:28" x14ac:dyDescent="0.2">
      <c r="AB1060" s="149">
        <f t="shared" ca="1" si="27"/>
        <v>484.96778922633712</v>
      </c>
    </row>
    <row r="1061" spans="28:28" x14ac:dyDescent="0.2">
      <c r="AB1061" s="149">
        <f t="shared" ca="1" si="27"/>
        <v>502.92094716307389</v>
      </c>
    </row>
    <row r="1062" spans="28:28" x14ac:dyDescent="0.2">
      <c r="AB1062" s="149">
        <f t="shared" ca="1" si="27"/>
        <v>248.3727202007785</v>
      </c>
    </row>
    <row r="1063" spans="28:28" x14ac:dyDescent="0.2">
      <c r="AB1063" s="149">
        <f t="shared" ca="1" si="27"/>
        <v>511.78297274795483</v>
      </c>
    </row>
    <row r="1064" spans="28:28" x14ac:dyDescent="0.2">
      <c r="AB1064" s="149">
        <f t="shared" ca="1" si="27"/>
        <v>959.66293261559508</v>
      </c>
    </row>
    <row r="1065" spans="28:28" x14ac:dyDescent="0.2">
      <c r="AB1065" s="149">
        <f t="shared" ca="1" si="27"/>
        <v>372.98760666339734</v>
      </c>
    </row>
    <row r="1066" spans="28:28" x14ac:dyDescent="0.2">
      <c r="AB1066" s="149">
        <f t="shared" ca="1" si="27"/>
        <v>58.535106465364308</v>
      </c>
    </row>
    <row r="1067" spans="28:28" x14ac:dyDescent="0.2">
      <c r="AB1067" s="149">
        <f t="shared" ca="1" si="27"/>
        <v>629.46775194621603</v>
      </c>
    </row>
    <row r="1068" spans="28:28" x14ac:dyDescent="0.2">
      <c r="AB1068" s="149">
        <f t="shared" ca="1" si="27"/>
        <v>552.60384346569322</v>
      </c>
    </row>
    <row r="1069" spans="28:28" x14ac:dyDescent="0.2">
      <c r="AB1069" s="149">
        <f t="shared" ca="1" si="27"/>
        <v>547.95920388271918</v>
      </c>
    </row>
    <row r="1070" spans="28:28" x14ac:dyDescent="0.2">
      <c r="AB1070" s="149">
        <f t="shared" ca="1" si="27"/>
        <v>43.867499143843688</v>
      </c>
    </row>
    <row r="1071" spans="28:28" x14ac:dyDescent="0.2">
      <c r="AB1071" s="149">
        <f t="shared" ca="1" si="27"/>
        <v>121.77615555481613</v>
      </c>
    </row>
    <row r="1072" spans="28:28" x14ac:dyDescent="0.2">
      <c r="AB1072" s="149">
        <f t="shared" ca="1" si="27"/>
        <v>361.63901254335161</v>
      </c>
    </row>
    <row r="1073" spans="28:28" x14ac:dyDescent="0.2">
      <c r="AB1073" s="149">
        <f t="shared" ca="1" si="27"/>
        <v>902.89852717203473</v>
      </c>
    </row>
    <row r="1074" spans="28:28" x14ac:dyDescent="0.2">
      <c r="AB1074" s="149">
        <f t="shared" ca="1" si="27"/>
        <v>911.76133252447835</v>
      </c>
    </row>
    <row r="1075" spans="28:28" x14ac:dyDescent="0.2">
      <c r="AB1075" s="149">
        <f t="shared" ca="1" si="27"/>
        <v>490.42983373860648</v>
      </c>
    </row>
    <row r="1076" spans="28:28" x14ac:dyDescent="0.2">
      <c r="AB1076" s="149">
        <f t="shared" ca="1" si="27"/>
        <v>426.54950751880239</v>
      </c>
    </row>
    <row r="1077" spans="28:28" x14ac:dyDescent="0.2">
      <c r="AB1077" s="149">
        <f t="shared" ca="1" si="27"/>
        <v>414.31656497111669</v>
      </c>
    </row>
    <row r="1078" spans="28:28" x14ac:dyDescent="0.2">
      <c r="AB1078" s="149">
        <f t="shared" ca="1" si="27"/>
        <v>195.94418709534989</v>
      </c>
    </row>
    <row r="1079" spans="28:28" x14ac:dyDescent="0.2">
      <c r="AB1079" s="149">
        <f t="shared" ca="1" si="27"/>
        <v>781.88862356553352</v>
      </c>
    </row>
    <row r="1080" spans="28:28" x14ac:dyDescent="0.2">
      <c r="AB1080" s="149">
        <f t="shared" ca="1" si="27"/>
        <v>188.98150385314972</v>
      </c>
    </row>
    <row r="1081" spans="28:28" x14ac:dyDescent="0.2">
      <c r="AB1081" s="149">
        <f t="shared" ca="1" si="27"/>
        <v>266.0881789640448</v>
      </c>
    </row>
    <row r="1082" spans="28:28" x14ac:dyDescent="0.2">
      <c r="AB1082" s="149">
        <f t="shared" ca="1" si="27"/>
        <v>648.72573698905808</v>
      </c>
    </row>
    <row r="1083" spans="28:28" x14ac:dyDescent="0.2">
      <c r="AB1083" s="149">
        <f t="shared" ca="1" si="27"/>
        <v>995.52145869486253</v>
      </c>
    </row>
    <row r="1084" spans="28:28" x14ac:dyDescent="0.2">
      <c r="AB1084" s="149">
        <f t="shared" ca="1" si="27"/>
        <v>673.10961568127607</v>
      </c>
    </row>
    <row r="1085" spans="28:28" x14ac:dyDescent="0.2">
      <c r="AB1085" s="149">
        <f t="shared" ca="1" si="27"/>
        <v>305.8462209652667</v>
      </c>
    </row>
    <row r="1086" spans="28:28" x14ac:dyDescent="0.2">
      <c r="AB1086" s="149">
        <f t="shared" ca="1" si="27"/>
        <v>762.5040680440452</v>
      </c>
    </row>
    <row r="1087" spans="28:28" x14ac:dyDescent="0.2">
      <c r="AB1087" s="149">
        <f t="shared" ca="1" si="27"/>
        <v>360.12533721588136</v>
      </c>
    </row>
    <row r="1088" spans="28:28" x14ac:dyDescent="0.2">
      <c r="AB1088" s="149">
        <f t="shared" ca="1" si="27"/>
        <v>80.767793439324052</v>
      </c>
    </row>
    <row r="1089" spans="28:28" x14ac:dyDescent="0.2">
      <c r="AB1089" s="149">
        <f t="shared" ca="1" si="27"/>
        <v>651.90904017124672</v>
      </c>
    </row>
    <row r="1090" spans="28:28" x14ac:dyDescent="0.2">
      <c r="AB1090" s="149">
        <f t="shared" ca="1" si="27"/>
        <v>178.13432454882016</v>
      </c>
    </row>
    <row r="1091" spans="28:28" x14ac:dyDescent="0.2">
      <c r="AB1091" s="149">
        <f t="shared" ca="1" si="27"/>
        <v>366.04727449513388</v>
      </c>
    </row>
    <row r="1092" spans="28:28" x14ac:dyDescent="0.2">
      <c r="AB1092" s="149">
        <f t="shared" ca="1" si="27"/>
        <v>444.89356231825337</v>
      </c>
    </row>
    <row r="1093" spans="28:28" x14ac:dyDescent="0.2">
      <c r="AB1093" s="149">
        <f t="shared" ref="AB1093:AB1156" ca="1" si="28">RAND()*1000</f>
        <v>108.27722413343332</v>
      </c>
    </row>
    <row r="1094" spans="28:28" x14ac:dyDescent="0.2">
      <c r="AB1094" s="149">
        <f t="shared" ca="1" si="28"/>
        <v>943.10386973280481</v>
      </c>
    </row>
    <row r="1095" spans="28:28" x14ac:dyDescent="0.2">
      <c r="AB1095" s="149">
        <f t="shared" ca="1" si="28"/>
        <v>571.05447611645775</v>
      </c>
    </row>
    <row r="1096" spans="28:28" x14ac:dyDescent="0.2">
      <c r="AB1096" s="149">
        <f t="shared" ca="1" si="28"/>
        <v>706.09954428800154</v>
      </c>
    </row>
    <row r="1097" spans="28:28" x14ac:dyDescent="0.2">
      <c r="AB1097" s="149">
        <f t="shared" ca="1" si="28"/>
        <v>862.02407522544593</v>
      </c>
    </row>
    <row r="1098" spans="28:28" x14ac:dyDescent="0.2">
      <c r="AB1098" s="149">
        <f t="shared" ca="1" si="28"/>
        <v>992.86385956862046</v>
      </c>
    </row>
    <row r="1099" spans="28:28" x14ac:dyDescent="0.2">
      <c r="AB1099" s="149">
        <f t="shared" ca="1" si="28"/>
        <v>911.95200548444927</v>
      </c>
    </row>
    <row r="1100" spans="28:28" x14ac:dyDescent="0.2">
      <c r="AB1100" s="149">
        <f t="shared" ca="1" si="28"/>
        <v>858.8553470715317</v>
      </c>
    </row>
    <row r="1101" spans="28:28" x14ac:dyDescent="0.2">
      <c r="AB1101" s="149">
        <f t="shared" ca="1" si="28"/>
        <v>106.0832413665771</v>
      </c>
    </row>
    <row r="1102" spans="28:28" x14ac:dyDescent="0.2">
      <c r="AB1102" s="149">
        <f t="shared" ca="1" si="28"/>
        <v>761.23132986749158</v>
      </c>
    </row>
    <row r="1103" spans="28:28" x14ac:dyDescent="0.2">
      <c r="AB1103" s="149">
        <f t="shared" ca="1" si="28"/>
        <v>848.05962918103569</v>
      </c>
    </row>
    <row r="1104" spans="28:28" x14ac:dyDescent="0.2">
      <c r="AB1104" s="149">
        <f t="shared" ca="1" si="28"/>
        <v>986.03731618941208</v>
      </c>
    </row>
    <row r="1105" spans="28:28" x14ac:dyDescent="0.2">
      <c r="AB1105" s="149">
        <f t="shared" ca="1" si="28"/>
        <v>465.84391587533082</v>
      </c>
    </row>
    <row r="1106" spans="28:28" x14ac:dyDescent="0.2">
      <c r="AB1106" s="149">
        <f t="shared" ca="1" si="28"/>
        <v>573.79569547828646</v>
      </c>
    </row>
    <row r="1107" spans="28:28" x14ac:dyDescent="0.2">
      <c r="AB1107" s="149">
        <f t="shared" ca="1" si="28"/>
        <v>420.54447291791308</v>
      </c>
    </row>
    <row r="1108" spans="28:28" x14ac:dyDescent="0.2">
      <c r="AB1108" s="149">
        <f t="shared" ca="1" si="28"/>
        <v>760.07553458987888</v>
      </c>
    </row>
    <row r="1109" spans="28:28" x14ac:dyDescent="0.2">
      <c r="AB1109" s="149">
        <f t="shared" ca="1" si="28"/>
        <v>585.9844000751724</v>
      </c>
    </row>
    <row r="1110" spans="28:28" x14ac:dyDescent="0.2">
      <c r="AB1110" s="149">
        <f t="shared" ca="1" si="28"/>
        <v>939.33234132975451</v>
      </c>
    </row>
    <row r="1111" spans="28:28" x14ac:dyDescent="0.2">
      <c r="AB1111" s="149">
        <f t="shared" ca="1" si="28"/>
        <v>521.98027975632215</v>
      </c>
    </row>
    <row r="1112" spans="28:28" x14ac:dyDescent="0.2">
      <c r="AB1112" s="149">
        <f t="shared" ca="1" si="28"/>
        <v>875.4222551351229</v>
      </c>
    </row>
    <row r="1113" spans="28:28" x14ac:dyDescent="0.2">
      <c r="AB1113" s="149">
        <f t="shared" ca="1" si="28"/>
        <v>761.51129764423854</v>
      </c>
    </row>
    <row r="1114" spans="28:28" x14ac:dyDescent="0.2">
      <c r="AB1114" s="149">
        <f t="shared" ca="1" si="28"/>
        <v>313.85513302656057</v>
      </c>
    </row>
    <row r="1115" spans="28:28" x14ac:dyDescent="0.2">
      <c r="AB1115" s="149">
        <f t="shared" ca="1" si="28"/>
        <v>602.70365862965593</v>
      </c>
    </row>
    <row r="1116" spans="28:28" x14ac:dyDescent="0.2">
      <c r="AB1116" s="149">
        <f t="shared" ca="1" si="28"/>
        <v>210.22598901247059</v>
      </c>
    </row>
    <row r="1117" spans="28:28" x14ac:dyDescent="0.2">
      <c r="AB1117" s="149">
        <f t="shared" ca="1" si="28"/>
        <v>644.27092008377383</v>
      </c>
    </row>
    <row r="1118" spans="28:28" x14ac:dyDescent="0.2">
      <c r="AB1118" s="149">
        <f t="shared" ca="1" si="28"/>
        <v>882.56029865353571</v>
      </c>
    </row>
    <row r="1119" spans="28:28" x14ac:dyDescent="0.2">
      <c r="AB1119" s="149">
        <f t="shared" ca="1" si="28"/>
        <v>70.221540897987708</v>
      </c>
    </row>
    <row r="1120" spans="28:28" x14ac:dyDescent="0.2">
      <c r="AB1120" s="149">
        <f t="shared" ca="1" si="28"/>
        <v>902.53879110962998</v>
      </c>
    </row>
    <row r="1121" spans="28:28" x14ac:dyDescent="0.2">
      <c r="AB1121" s="149">
        <f t="shared" ca="1" si="28"/>
        <v>734.21201271487303</v>
      </c>
    </row>
    <row r="1122" spans="28:28" x14ac:dyDescent="0.2">
      <c r="AB1122" s="149">
        <f t="shared" ca="1" si="28"/>
        <v>6.7612990488379321</v>
      </c>
    </row>
    <row r="1123" spans="28:28" x14ac:dyDescent="0.2">
      <c r="AB1123" s="149">
        <f t="shared" ca="1" si="28"/>
        <v>597.60911418556702</v>
      </c>
    </row>
    <row r="1124" spans="28:28" x14ac:dyDescent="0.2">
      <c r="AB1124" s="149">
        <f t="shared" ca="1" si="28"/>
        <v>47.438559524342615</v>
      </c>
    </row>
    <row r="1125" spans="28:28" x14ac:dyDescent="0.2">
      <c r="AB1125" s="149">
        <f t="shared" ca="1" si="28"/>
        <v>377.49910717919931</v>
      </c>
    </row>
    <row r="1126" spans="28:28" x14ac:dyDescent="0.2">
      <c r="AB1126" s="149">
        <f t="shared" ca="1" si="28"/>
        <v>464.15087295248304</v>
      </c>
    </row>
    <row r="1127" spans="28:28" x14ac:dyDescent="0.2">
      <c r="AB1127" s="149">
        <f t="shared" ca="1" si="28"/>
        <v>997.11101006845035</v>
      </c>
    </row>
    <row r="1128" spans="28:28" x14ac:dyDescent="0.2">
      <c r="AB1128" s="149">
        <f t="shared" ca="1" si="28"/>
        <v>69.655291645871145</v>
      </c>
    </row>
    <row r="1129" spans="28:28" x14ac:dyDescent="0.2">
      <c r="AB1129" s="149">
        <f t="shared" ca="1" si="28"/>
        <v>406.26955737906167</v>
      </c>
    </row>
    <row r="1130" spans="28:28" x14ac:dyDescent="0.2">
      <c r="AB1130" s="149">
        <f t="shared" ca="1" si="28"/>
        <v>825.41519220231805</v>
      </c>
    </row>
    <row r="1131" spans="28:28" x14ac:dyDescent="0.2">
      <c r="AB1131" s="149">
        <f t="shared" ca="1" si="28"/>
        <v>697.49106629640892</v>
      </c>
    </row>
    <row r="1132" spans="28:28" x14ac:dyDescent="0.2">
      <c r="AB1132" s="149">
        <f t="shared" ca="1" si="28"/>
        <v>634.40906204185751</v>
      </c>
    </row>
    <row r="1133" spans="28:28" x14ac:dyDescent="0.2">
      <c r="AB1133" s="149">
        <f t="shared" ca="1" si="28"/>
        <v>573.78649789739222</v>
      </c>
    </row>
    <row r="1134" spans="28:28" x14ac:dyDescent="0.2">
      <c r="AB1134" s="149">
        <f t="shared" ca="1" si="28"/>
        <v>377.89028013330108</v>
      </c>
    </row>
    <row r="1135" spans="28:28" x14ac:dyDescent="0.2">
      <c r="AB1135" s="149">
        <f t="shared" ca="1" si="28"/>
        <v>81.059705570162066</v>
      </c>
    </row>
    <row r="1136" spans="28:28" x14ac:dyDescent="0.2">
      <c r="AB1136" s="149">
        <f t="shared" ca="1" si="28"/>
        <v>126.38248287625863</v>
      </c>
    </row>
    <row r="1137" spans="28:28" x14ac:dyDescent="0.2">
      <c r="AB1137" s="149">
        <f t="shared" ca="1" si="28"/>
        <v>830.68610957424414</v>
      </c>
    </row>
    <row r="1138" spans="28:28" x14ac:dyDescent="0.2">
      <c r="AB1138" s="149">
        <f t="shared" ca="1" si="28"/>
        <v>980.86433578956189</v>
      </c>
    </row>
    <row r="1139" spans="28:28" x14ac:dyDescent="0.2">
      <c r="AB1139" s="149">
        <f t="shared" ca="1" si="28"/>
        <v>491.42039557517904</v>
      </c>
    </row>
    <row r="1140" spans="28:28" x14ac:dyDescent="0.2">
      <c r="AB1140" s="149">
        <f t="shared" ca="1" si="28"/>
        <v>558.41127138006755</v>
      </c>
    </row>
    <row r="1141" spans="28:28" x14ac:dyDescent="0.2">
      <c r="AB1141" s="149">
        <f t="shared" ca="1" si="28"/>
        <v>942.56006512776537</v>
      </c>
    </row>
    <row r="1142" spans="28:28" x14ac:dyDescent="0.2">
      <c r="AB1142" s="149">
        <f t="shared" ca="1" si="28"/>
        <v>821.37513236416441</v>
      </c>
    </row>
    <row r="1143" spans="28:28" x14ac:dyDescent="0.2">
      <c r="AB1143" s="149">
        <f t="shared" ca="1" si="28"/>
        <v>360.08310280916766</v>
      </c>
    </row>
    <row r="1144" spans="28:28" x14ac:dyDescent="0.2">
      <c r="AB1144" s="149">
        <f t="shared" ca="1" si="28"/>
        <v>912.65029692289397</v>
      </c>
    </row>
    <row r="1145" spans="28:28" x14ac:dyDescent="0.2">
      <c r="AB1145" s="149">
        <f t="shared" ca="1" si="28"/>
        <v>546.50175668663928</v>
      </c>
    </row>
    <row r="1146" spans="28:28" x14ac:dyDescent="0.2">
      <c r="AB1146" s="149">
        <f t="shared" ca="1" si="28"/>
        <v>234.78584243326327</v>
      </c>
    </row>
    <row r="1147" spans="28:28" x14ac:dyDescent="0.2">
      <c r="AB1147" s="149">
        <f t="shared" ca="1" si="28"/>
        <v>501.40897352923628</v>
      </c>
    </row>
    <row r="1148" spans="28:28" x14ac:dyDescent="0.2">
      <c r="AB1148" s="149">
        <f t="shared" ca="1" si="28"/>
        <v>748.53270153602284</v>
      </c>
    </row>
    <row r="1149" spans="28:28" x14ac:dyDescent="0.2">
      <c r="AB1149" s="149">
        <f t="shared" ca="1" si="28"/>
        <v>330.99139247895135</v>
      </c>
    </row>
    <row r="1150" spans="28:28" x14ac:dyDescent="0.2">
      <c r="AB1150" s="149">
        <f t="shared" ca="1" si="28"/>
        <v>414.77498038946027</v>
      </c>
    </row>
    <row r="1151" spans="28:28" x14ac:dyDescent="0.2">
      <c r="AB1151" s="149">
        <f t="shared" ca="1" si="28"/>
        <v>916.42695319334246</v>
      </c>
    </row>
    <row r="1152" spans="28:28" x14ac:dyDescent="0.2">
      <c r="AB1152" s="149">
        <f t="shared" ca="1" si="28"/>
        <v>921.58662088583617</v>
      </c>
    </row>
    <row r="1153" spans="28:28" x14ac:dyDescent="0.2">
      <c r="AB1153" s="149">
        <f t="shared" ca="1" si="28"/>
        <v>509.76637459017473</v>
      </c>
    </row>
    <row r="1154" spans="28:28" x14ac:dyDescent="0.2">
      <c r="AB1154" s="149">
        <f t="shared" ca="1" si="28"/>
        <v>563.52367064523378</v>
      </c>
    </row>
    <row r="1155" spans="28:28" x14ac:dyDescent="0.2">
      <c r="AB1155" s="149">
        <f t="shared" ca="1" si="28"/>
        <v>451.04894596046972</v>
      </c>
    </row>
    <row r="1156" spans="28:28" x14ac:dyDescent="0.2">
      <c r="AB1156" s="149">
        <f t="shared" ca="1" si="28"/>
        <v>471.92753786173381</v>
      </c>
    </row>
    <row r="1157" spans="28:28" x14ac:dyDescent="0.2">
      <c r="AB1157" s="149">
        <f t="shared" ref="AB1157:AB1220" ca="1" si="29">RAND()*1000</f>
        <v>937.06865429996606</v>
      </c>
    </row>
    <row r="1158" spans="28:28" x14ac:dyDescent="0.2">
      <c r="AB1158" s="149">
        <f t="shared" ca="1" si="29"/>
        <v>884.35788028706486</v>
      </c>
    </row>
    <row r="1159" spans="28:28" x14ac:dyDescent="0.2">
      <c r="AB1159" s="149">
        <f t="shared" ca="1" si="29"/>
        <v>302.78815987846451</v>
      </c>
    </row>
    <row r="1160" spans="28:28" x14ac:dyDescent="0.2">
      <c r="AB1160" s="149">
        <f t="shared" ca="1" si="29"/>
        <v>31.673862739939661</v>
      </c>
    </row>
    <row r="1161" spans="28:28" x14ac:dyDescent="0.2">
      <c r="AB1161" s="149">
        <f t="shared" ca="1" si="29"/>
        <v>482.25826814924477</v>
      </c>
    </row>
    <row r="1162" spans="28:28" x14ac:dyDescent="0.2">
      <c r="AB1162" s="149">
        <f t="shared" ca="1" si="29"/>
        <v>521.72325573999592</v>
      </c>
    </row>
    <row r="1163" spans="28:28" x14ac:dyDescent="0.2">
      <c r="AB1163" s="149">
        <f t="shared" ca="1" si="29"/>
        <v>287.55192866069291</v>
      </c>
    </row>
    <row r="1164" spans="28:28" x14ac:dyDescent="0.2">
      <c r="AB1164" s="149">
        <f t="shared" ca="1" si="29"/>
        <v>643.48414894177404</v>
      </c>
    </row>
    <row r="1165" spans="28:28" x14ac:dyDescent="0.2">
      <c r="AB1165" s="149">
        <f t="shared" ca="1" si="29"/>
        <v>899.709307268364</v>
      </c>
    </row>
    <row r="1166" spans="28:28" x14ac:dyDescent="0.2">
      <c r="AB1166" s="149">
        <f t="shared" ca="1" si="29"/>
        <v>172.42970784738054</v>
      </c>
    </row>
    <row r="1167" spans="28:28" x14ac:dyDescent="0.2">
      <c r="AB1167" s="149">
        <f t="shared" ca="1" si="29"/>
        <v>772.43392481707292</v>
      </c>
    </row>
    <row r="1168" spans="28:28" x14ac:dyDescent="0.2">
      <c r="AB1168" s="149">
        <f t="shared" ca="1" si="29"/>
        <v>886.15293402182795</v>
      </c>
    </row>
    <row r="1169" spans="28:28" x14ac:dyDescent="0.2">
      <c r="AB1169" s="149">
        <f t="shared" ca="1" si="29"/>
        <v>820.51577508565629</v>
      </c>
    </row>
    <row r="1170" spans="28:28" x14ac:dyDescent="0.2">
      <c r="AB1170" s="149">
        <f t="shared" ca="1" si="29"/>
        <v>916.57163367274484</v>
      </c>
    </row>
    <row r="1171" spans="28:28" x14ac:dyDescent="0.2">
      <c r="AB1171" s="149">
        <f t="shared" ca="1" si="29"/>
        <v>94.037331505843042</v>
      </c>
    </row>
    <row r="1172" spans="28:28" x14ac:dyDescent="0.2">
      <c r="AB1172" s="149">
        <f t="shared" ca="1" si="29"/>
        <v>618.80386524731568</v>
      </c>
    </row>
    <row r="1173" spans="28:28" x14ac:dyDescent="0.2">
      <c r="AB1173" s="149">
        <f t="shared" ca="1" si="29"/>
        <v>216.4044241653188</v>
      </c>
    </row>
    <row r="1174" spans="28:28" x14ac:dyDescent="0.2">
      <c r="AB1174" s="149">
        <f t="shared" ca="1" si="29"/>
        <v>690.99754669839456</v>
      </c>
    </row>
    <row r="1175" spans="28:28" x14ac:dyDescent="0.2">
      <c r="AB1175" s="149">
        <f t="shared" ca="1" si="29"/>
        <v>241.94794907226591</v>
      </c>
    </row>
    <row r="1176" spans="28:28" x14ac:dyDescent="0.2">
      <c r="AB1176" s="149">
        <f t="shared" ca="1" si="29"/>
        <v>358.4378807129923</v>
      </c>
    </row>
    <row r="1177" spans="28:28" x14ac:dyDescent="0.2">
      <c r="AB1177" s="149">
        <f t="shared" ca="1" si="29"/>
        <v>731.47014396772693</v>
      </c>
    </row>
    <row r="1178" spans="28:28" x14ac:dyDescent="0.2">
      <c r="AB1178" s="149">
        <f t="shared" ca="1" si="29"/>
        <v>573.74046781744664</v>
      </c>
    </row>
    <row r="1179" spans="28:28" x14ac:dyDescent="0.2">
      <c r="AB1179" s="149">
        <f t="shared" ca="1" si="29"/>
        <v>459.73948305420822</v>
      </c>
    </row>
    <row r="1180" spans="28:28" x14ac:dyDescent="0.2">
      <c r="AB1180" s="149">
        <f t="shared" ca="1" si="29"/>
        <v>716.26756531672243</v>
      </c>
    </row>
    <row r="1181" spans="28:28" x14ac:dyDescent="0.2">
      <c r="AB1181" s="149">
        <f t="shared" ca="1" si="29"/>
        <v>79.410686118613796</v>
      </c>
    </row>
    <row r="1182" spans="28:28" x14ac:dyDescent="0.2">
      <c r="AB1182" s="149">
        <f t="shared" ca="1" si="29"/>
        <v>376.59369002987364</v>
      </c>
    </row>
    <row r="1183" spans="28:28" x14ac:dyDescent="0.2">
      <c r="AB1183" s="149">
        <f t="shared" ca="1" si="29"/>
        <v>264.01045254826749</v>
      </c>
    </row>
    <row r="1184" spans="28:28" x14ac:dyDescent="0.2">
      <c r="AB1184" s="149">
        <f t="shared" ca="1" si="29"/>
        <v>418.20002688913814</v>
      </c>
    </row>
    <row r="1185" spans="28:28" x14ac:dyDescent="0.2">
      <c r="AB1185" s="149">
        <f t="shared" ca="1" si="29"/>
        <v>136.8661139414933</v>
      </c>
    </row>
    <row r="1186" spans="28:28" x14ac:dyDescent="0.2">
      <c r="AB1186" s="149">
        <f t="shared" ca="1" si="29"/>
        <v>671.65567740354152</v>
      </c>
    </row>
    <row r="1187" spans="28:28" x14ac:dyDescent="0.2">
      <c r="AB1187" s="149">
        <f t="shared" ca="1" si="29"/>
        <v>12.809299917633021</v>
      </c>
    </row>
    <row r="1188" spans="28:28" x14ac:dyDescent="0.2">
      <c r="AB1188" s="149">
        <f t="shared" ca="1" si="29"/>
        <v>904.62805108363625</v>
      </c>
    </row>
    <row r="1189" spans="28:28" x14ac:dyDescent="0.2">
      <c r="AB1189" s="149">
        <f t="shared" ca="1" si="29"/>
        <v>454.17738454064403</v>
      </c>
    </row>
    <row r="1190" spans="28:28" x14ac:dyDescent="0.2">
      <c r="AB1190" s="149">
        <f t="shared" ca="1" si="29"/>
        <v>204.19763823906055</v>
      </c>
    </row>
    <row r="1191" spans="28:28" x14ac:dyDescent="0.2">
      <c r="AB1191" s="149">
        <f t="shared" ca="1" si="29"/>
        <v>854.61403530247878</v>
      </c>
    </row>
    <row r="1192" spans="28:28" x14ac:dyDescent="0.2">
      <c r="AB1192" s="149">
        <f t="shared" ca="1" si="29"/>
        <v>67.083017412028596</v>
      </c>
    </row>
    <row r="1193" spans="28:28" x14ac:dyDescent="0.2">
      <c r="AB1193" s="149">
        <f t="shared" ca="1" si="29"/>
        <v>950.38733900281863</v>
      </c>
    </row>
    <row r="1194" spans="28:28" x14ac:dyDescent="0.2">
      <c r="AB1194" s="149">
        <f t="shared" ca="1" si="29"/>
        <v>715.80666130790291</v>
      </c>
    </row>
    <row r="1195" spans="28:28" x14ac:dyDescent="0.2">
      <c r="AB1195" s="149">
        <f t="shared" ca="1" si="29"/>
        <v>933.51083554265665</v>
      </c>
    </row>
    <row r="1196" spans="28:28" x14ac:dyDescent="0.2">
      <c r="AB1196" s="149">
        <f t="shared" ca="1" si="29"/>
        <v>605.25515282202173</v>
      </c>
    </row>
    <row r="1197" spans="28:28" x14ac:dyDescent="0.2">
      <c r="AB1197" s="149">
        <f t="shared" ca="1" si="29"/>
        <v>691.32361374207176</v>
      </c>
    </row>
    <row r="1198" spans="28:28" x14ac:dyDescent="0.2">
      <c r="AB1198" s="149">
        <f t="shared" ca="1" si="29"/>
        <v>504.99128182509668</v>
      </c>
    </row>
    <row r="1199" spans="28:28" x14ac:dyDescent="0.2">
      <c r="AB1199" s="149">
        <f t="shared" ca="1" si="29"/>
        <v>343.07948258433277</v>
      </c>
    </row>
    <row r="1200" spans="28:28" x14ac:dyDescent="0.2">
      <c r="AB1200" s="149">
        <f t="shared" ca="1" si="29"/>
        <v>425.7124099929743</v>
      </c>
    </row>
    <row r="1201" spans="28:28" x14ac:dyDescent="0.2">
      <c r="AB1201" s="149">
        <f t="shared" ca="1" si="29"/>
        <v>110.7299389345997</v>
      </c>
    </row>
    <row r="1202" spans="28:28" x14ac:dyDescent="0.2">
      <c r="AB1202" s="149">
        <f t="shared" ca="1" si="29"/>
        <v>613.19812907290168</v>
      </c>
    </row>
    <row r="1203" spans="28:28" x14ac:dyDescent="0.2">
      <c r="AB1203" s="149">
        <f t="shared" ca="1" si="29"/>
        <v>231.83285185594849</v>
      </c>
    </row>
    <row r="1204" spans="28:28" x14ac:dyDescent="0.2">
      <c r="AB1204" s="149">
        <f t="shared" ca="1" si="29"/>
        <v>720.00737562603479</v>
      </c>
    </row>
    <row r="1205" spans="28:28" x14ac:dyDescent="0.2">
      <c r="AB1205" s="149">
        <f t="shared" ca="1" si="29"/>
        <v>57.229340870909581</v>
      </c>
    </row>
    <row r="1206" spans="28:28" x14ac:dyDescent="0.2">
      <c r="AB1206" s="149">
        <f t="shared" ca="1" si="29"/>
        <v>852.3867112955553</v>
      </c>
    </row>
    <row r="1207" spans="28:28" x14ac:dyDescent="0.2">
      <c r="AB1207" s="149">
        <f t="shared" ca="1" si="29"/>
        <v>487.56943849728532</v>
      </c>
    </row>
    <row r="1208" spans="28:28" x14ac:dyDescent="0.2">
      <c r="AB1208" s="149">
        <f t="shared" ca="1" si="29"/>
        <v>692.04424037366789</v>
      </c>
    </row>
    <row r="1209" spans="28:28" x14ac:dyDescent="0.2">
      <c r="AB1209" s="149">
        <f t="shared" ca="1" si="29"/>
        <v>666.75104548227591</v>
      </c>
    </row>
    <row r="1210" spans="28:28" x14ac:dyDescent="0.2">
      <c r="AB1210" s="149">
        <f t="shared" ca="1" si="29"/>
        <v>628.57678084754161</v>
      </c>
    </row>
    <row r="1211" spans="28:28" x14ac:dyDescent="0.2">
      <c r="AB1211" s="149">
        <f t="shared" ca="1" si="29"/>
        <v>674.34215202226619</v>
      </c>
    </row>
    <row r="1212" spans="28:28" x14ac:dyDescent="0.2">
      <c r="AB1212" s="149">
        <f t="shared" ca="1" si="29"/>
        <v>448.52004022042667</v>
      </c>
    </row>
    <row r="1213" spans="28:28" x14ac:dyDescent="0.2">
      <c r="AB1213" s="149">
        <f t="shared" ca="1" si="29"/>
        <v>961.70882907492489</v>
      </c>
    </row>
    <row r="1214" spans="28:28" x14ac:dyDescent="0.2">
      <c r="AB1214" s="149">
        <f t="shared" ca="1" si="29"/>
        <v>730.1995891290926</v>
      </c>
    </row>
    <row r="1215" spans="28:28" x14ac:dyDescent="0.2">
      <c r="AB1215" s="149">
        <f t="shared" ca="1" si="29"/>
        <v>915.67647617761941</v>
      </c>
    </row>
    <row r="1216" spans="28:28" x14ac:dyDescent="0.2">
      <c r="AB1216" s="149">
        <f t="shared" ca="1" si="29"/>
        <v>621.92811765568183</v>
      </c>
    </row>
    <row r="1217" spans="28:28" x14ac:dyDescent="0.2">
      <c r="AB1217" s="149">
        <f t="shared" ca="1" si="29"/>
        <v>252.54428466452728</v>
      </c>
    </row>
    <row r="1218" spans="28:28" x14ac:dyDescent="0.2">
      <c r="AB1218" s="149">
        <f t="shared" ca="1" si="29"/>
        <v>379.11818860317493</v>
      </c>
    </row>
    <row r="1219" spans="28:28" x14ac:dyDescent="0.2">
      <c r="AB1219" s="149">
        <f t="shared" ca="1" si="29"/>
        <v>720.06352301564618</v>
      </c>
    </row>
    <row r="1220" spans="28:28" x14ac:dyDescent="0.2">
      <c r="AB1220" s="149">
        <f t="shared" ca="1" si="29"/>
        <v>854.23744858374653</v>
      </c>
    </row>
    <row r="1221" spans="28:28" x14ac:dyDescent="0.2">
      <c r="AB1221" s="149">
        <f t="shared" ref="AB1221:AB1284" ca="1" si="30">RAND()*1000</f>
        <v>323.98132074864282</v>
      </c>
    </row>
    <row r="1222" spans="28:28" x14ac:dyDescent="0.2">
      <c r="AB1222" s="149">
        <f t="shared" ca="1" si="30"/>
        <v>127.5187886869038</v>
      </c>
    </row>
    <row r="1223" spans="28:28" x14ac:dyDescent="0.2">
      <c r="AB1223" s="149">
        <f t="shared" ca="1" si="30"/>
        <v>64.401091925623817</v>
      </c>
    </row>
    <row r="1224" spans="28:28" x14ac:dyDescent="0.2">
      <c r="AB1224" s="149">
        <f t="shared" ca="1" si="30"/>
        <v>718.00300830475521</v>
      </c>
    </row>
    <row r="1225" spans="28:28" x14ac:dyDescent="0.2">
      <c r="AB1225" s="149">
        <f t="shared" ca="1" si="30"/>
        <v>424.34310134267884</v>
      </c>
    </row>
    <row r="1226" spans="28:28" x14ac:dyDescent="0.2">
      <c r="AB1226" s="149">
        <f t="shared" ca="1" si="30"/>
        <v>489.69415934973335</v>
      </c>
    </row>
    <row r="1227" spans="28:28" x14ac:dyDescent="0.2">
      <c r="AB1227" s="149">
        <f t="shared" ca="1" si="30"/>
        <v>427.13813750877995</v>
      </c>
    </row>
    <row r="1228" spans="28:28" x14ac:dyDescent="0.2">
      <c r="AB1228" s="149">
        <f t="shared" ca="1" si="30"/>
        <v>358.21459825315225</v>
      </c>
    </row>
    <row r="1229" spans="28:28" x14ac:dyDescent="0.2">
      <c r="AB1229" s="149">
        <f t="shared" ca="1" si="30"/>
        <v>252.22000951081324</v>
      </c>
    </row>
    <row r="1230" spans="28:28" x14ac:dyDescent="0.2">
      <c r="AB1230" s="149">
        <f t="shared" ca="1" si="30"/>
        <v>167.16179470163883</v>
      </c>
    </row>
    <row r="1231" spans="28:28" x14ac:dyDescent="0.2">
      <c r="AB1231" s="149">
        <f t="shared" ca="1" si="30"/>
        <v>439.88182623092786</v>
      </c>
    </row>
    <row r="1232" spans="28:28" x14ac:dyDescent="0.2">
      <c r="AB1232" s="149">
        <f t="shared" ca="1" si="30"/>
        <v>658.61310438182011</v>
      </c>
    </row>
    <row r="1233" spans="28:28" x14ac:dyDescent="0.2">
      <c r="AB1233" s="149">
        <f t="shared" ca="1" si="30"/>
        <v>828.15968113181634</v>
      </c>
    </row>
    <row r="1234" spans="28:28" x14ac:dyDescent="0.2">
      <c r="AB1234" s="149">
        <f t="shared" ca="1" si="30"/>
        <v>691.35867469394952</v>
      </c>
    </row>
    <row r="1235" spans="28:28" x14ac:dyDescent="0.2">
      <c r="AB1235" s="149">
        <f t="shared" ca="1" si="30"/>
        <v>879.72969165820928</v>
      </c>
    </row>
    <row r="1236" spans="28:28" x14ac:dyDescent="0.2">
      <c r="AB1236" s="149">
        <f t="shared" ca="1" si="30"/>
        <v>69.874604836206998</v>
      </c>
    </row>
    <row r="1237" spans="28:28" x14ac:dyDescent="0.2">
      <c r="AB1237" s="149">
        <f t="shared" ca="1" si="30"/>
        <v>218.5293490194955</v>
      </c>
    </row>
    <row r="1238" spans="28:28" x14ac:dyDescent="0.2">
      <c r="AB1238" s="149">
        <f t="shared" ca="1" si="30"/>
        <v>490.92280297134647</v>
      </c>
    </row>
    <row r="1239" spans="28:28" x14ac:dyDescent="0.2">
      <c r="AB1239" s="149">
        <f t="shared" ca="1" si="30"/>
        <v>433.61282165806881</v>
      </c>
    </row>
    <row r="1240" spans="28:28" x14ac:dyDescent="0.2">
      <c r="AB1240" s="149">
        <f t="shared" ca="1" si="30"/>
        <v>605.82366149825395</v>
      </c>
    </row>
    <row r="1241" spans="28:28" x14ac:dyDescent="0.2">
      <c r="AB1241" s="149">
        <f t="shared" ca="1" si="30"/>
        <v>606.52110195537773</v>
      </c>
    </row>
    <row r="1242" spans="28:28" x14ac:dyDescent="0.2">
      <c r="AB1242" s="149">
        <f t="shared" ca="1" si="30"/>
        <v>870.14268536340353</v>
      </c>
    </row>
    <row r="1243" spans="28:28" x14ac:dyDescent="0.2">
      <c r="AB1243" s="149">
        <f t="shared" ca="1" si="30"/>
        <v>662.63357897062451</v>
      </c>
    </row>
    <row r="1244" spans="28:28" x14ac:dyDescent="0.2">
      <c r="AB1244" s="149">
        <f t="shared" ca="1" si="30"/>
        <v>931.675622036042</v>
      </c>
    </row>
    <row r="1245" spans="28:28" x14ac:dyDescent="0.2">
      <c r="AB1245" s="149">
        <f t="shared" ca="1" si="30"/>
        <v>359.1487303529849</v>
      </c>
    </row>
    <row r="1246" spans="28:28" x14ac:dyDescent="0.2">
      <c r="AB1246" s="149">
        <f t="shared" ca="1" si="30"/>
        <v>2.5081287335091407</v>
      </c>
    </row>
    <row r="1247" spans="28:28" x14ac:dyDescent="0.2">
      <c r="AB1247" s="149">
        <f t="shared" ca="1" si="30"/>
        <v>743.88850840098507</v>
      </c>
    </row>
    <row r="1248" spans="28:28" x14ac:dyDescent="0.2">
      <c r="AB1248" s="149">
        <f t="shared" ca="1" si="30"/>
        <v>63.47475617142662</v>
      </c>
    </row>
    <row r="1249" spans="28:28" x14ac:dyDescent="0.2">
      <c r="AB1249" s="149">
        <f t="shared" ca="1" si="30"/>
        <v>561.29871484279408</v>
      </c>
    </row>
    <row r="1250" spans="28:28" x14ac:dyDescent="0.2">
      <c r="AB1250" s="149">
        <f t="shared" ca="1" si="30"/>
        <v>131.15892501804072</v>
      </c>
    </row>
    <row r="1251" spans="28:28" x14ac:dyDescent="0.2">
      <c r="AB1251" s="149">
        <f t="shared" ca="1" si="30"/>
        <v>443.10363525996331</v>
      </c>
    </row>
    <row r="1252" spans="28:28" x14ac:dyDescent="0.2">
      <c r="AB1252" s="149">
        <f t="shared" ca="1" si="30"/>
        <v>575.96341375311761</v>
      </c>
    </row>
    <row r="1253" spans="28:28" x14ac:dyDescent="0.2">
      <c r="AB1253" s="149">
        <f t="shared" ca="1" si="30"/>
        <v>56.748291682371942</v>
      </c>
    </row>
    <row r="1254" spans="28:28" x14ac:dyDescent="0.2">
      <c r="AB1254" s="149">
        <f t="shared" ca="1" si="30"/>
        <v>778.85064228483407</v>
      </c>
    </row>
    <row r="1255" spans="28:28" x14ac:dyDescent="0.2">
      <c r="AB1255" s="149">
        <f t="shared" ca="1" si="30"/>
        <v>10.264971754146091</v>
      </c>
    </row>
    <row r="1256" spans="28:28" x14ac:dyDescent="0.2">
      <c r="AB1256" s="149">
        <f t="shared" ca="1" si="30"/>
        <v>479.32106045981271</v>
      </c>
    </row>
    <row r="1257" spans="28:28" x14ac:dyDescent="0.2">
      <c r="AB1257" s="149">
        <f t="shared" ca="1" si="30"/>
        <v>66.154229753081822</v>
      </c>
    </row>
    <row r="1258" spans="28:28" x14ac:dyDescent="0.2">
      <c r="AB1258" s="149">
        <f t="shared" ca="1" si="30"/>
        <v>103.16946836165519</v>
      </c>
    </row>
    <row r="1259" spans="28:28" x14ac:dyDescent="0.2">
      <c r="AB1259" s="149">
        <f t="shared" ca="1" si="30"/>
        <v>305.31765371937001</v>
      </c>
    </row>
    <row r="1260" spans="28:28" x14ac:dyDescent="0.2">
      <c r="AB1260" s="149">
        <f t="shared" ca="1" si="30"/>
        <v>505.91926509101427</v>
      </c>
    </row>
    <row r="1261" spans="28:28" x14ac:dyDescent="0.2">
      <c r="AB1261" s="149">
        <f t="shared" ca="1" si="30"/>
        <v>15.493861702048584</v>
      </c>
    </row>
    <row r="1262" spans="28:28" x14ac:dyDescent="0.2">
      <c r="AB1262" s="149">
        <f t="shared" ca="1" si="30"/>
        <v>408.11609991642126</v>
      </c>
    </row>
    <row r="1263" spans="28:28" x14ac:dyDescent="0.2">
      <c r="AB1263" s="149">
        <f t="shared" ca="1" si="30"/>
        <v>159.55485106041999</v>
      </c>
    </row>
    <row r="1264" spans="28:28" x14ac:dyDescent="0.2">
      <c r="AB1264" s="149">
        <f t="shared" ca="1" si="30"/>
        <v>324.21312113992826</v>
      </c>
    </row>
    <row r="1265" spans="28:28" x14ac:dyDescent="0.2">
      <c r="AB1265" s="149">
        <f t="shared" ca="1" si="30"/>
        <v>177.24169293180091</v>
      </c>
    </row>
    <row r="1266" spans="28:28" x14ac:dyDescent="0.2">
      <c r="AB1266" s="149">
        <f t="shared" ca="1" si="30"/>
        <v>19.572989063237344</v>
      </c>
    </row>
    <row r="1267" spans="28:28" x14ac:dyDescent="0.2">
      <c r="AB1267" s="149">
        <f t="shared" ca="1" si="30"/>
        <v>158.62997103446276</v>
      </c>
    </row>
    <row r="1268" spans="28:28" x14ac:dyDescent="0.2">
      <c r="AB1268" s="149">
        <f t="shared" ca="1" si="30"/>
        <v>718.27608387061605</v>
      </c>
    </row>
    <row r="1269" spans="28:28" x14ac:dyDescent="0.2">
      <c r="AB1269" s="149">
        <f t="shared" ca="1" si="30"/>
        <v>177.74383900837421</v>
      </c>
    </row>
    <row r="1270" spans="28:28" x14ac:dyDescent="0.2">
      <c r="AB1270" s="149">
        <f t="shared" ca="1" si="30"/>
        <v>39.782203452836896</v>
      </c>
    </row>
    <row r="1271" spans="28:28" x14ac:dyDescent="0.2">
      <c r="AB1271" s="149">
        <f t="shared" ca="1" si="30"/>
        <v>707.83042798993426</v>
      </c>
    </row>
    <row r="1272" spans="28:28" x14ac:dyDescent="0.2">
      <c r="AB1272" s="149">
        <f t="shared" ca="1" si="30"/>
        <v>681.24385464053023</v>
      </c>
    </row>
    <row r="1273" spans="28:28" x14ac:dyDescent="0.2">
      <c r="AB1273" s="149">
        <f t="shared" ca="1" si="30"/>
        <v>74.232018952160701</v>
      </c>
    </row>
    <row r="1274" spans="28:28" x14ac:dyDescent="0.2">
      <c r="AB1274" s="149">
        <f t="shared" ca="1" si="30"/>
        <v>139.83479765057615</v>
      </c>
    </row>
    <row r="1275" spans="28:28" x14ac:dyDescent="0.2">
      <c r="AB1275" s="149">
        <f t="shared" ca="1" si="30"/>
        <v>127.17239237129175</v>
      </c>
    </row>
    <row r="1276" spans="28:28" x14ac:dyDescent="0.2">
      <c r="AB1276" s="149">
        <f t="shared" ca="1" si="30"/>
        <v>372.29912229604787</v>
      </c>
    </row>
    <row r="1277" spans="28:28" x14ac:dyDescent="0.2">
      <c r="AB1277" s="149">
        <f t="shared" ca="1" si="30"/>
        <v>313.46604366468176</v>
      </c>
    </row>
    <row r="1278" spans="28:28" x14ac:dyDescent="0.2">
      <c r="AB1278" s="149">
        <f t="shared" ca="1" si="30"/>
        <v>309.08951840986566</v>
      </c>
    </row>
    <row r="1279" spans="28:28" x14ac:dyDescent="0.2">
      <c r="AB1279" s="149">
        <f t="shared" ca="1" si="30"/>
        <v>679.927142836092</v>
      </c>
    </row>
    <row r="1280" spans="28:28" x14ac:dyDescent="0.2">
      <c r="AB1280" s="149">
        <f t="shared" ca="1" si="30"/>
        <v>128.98963323628155</v>
      </c>
    </row>
    <row r="1281" spans="28:28" x14ac:dyDescent="0.2">
      <c r="AB1281" s="149">
        <f t="shared" ca="1" si="30"/>
        <v>898.98607835411531</v>
      </c>
    </row>
    <row r="1282" spans="28:28" x14ac:dyDescent="0.2">
      <c r="AB1282" s="149">
        <f t="shared" ca="1" si="30"/>
        <v>903.78160553148109</v>
      </c>
    </row>
    <row r="1283" spans="28:28" x14ac:dyDescent="0.2">
      <c r="AB1283" s="149">
        <f t="shared" ca="1" si="30"/>
        <v>314.72549124320483</v>
      </c>
    </row>
    <row r="1284" spans="28:28" x14ac:dyDescent="0.2">
      <c r="AB1284" s="149">
        <f t="shared" ca="1" si="30"/>
        <v>622.10326144246426</v>
      </c>
    </row>
    <row r="1285" spans="28:28" x14ac:dyDescent="0.2">
      <c r="AB1285" s="149">
        <f t="shared" ref="AB1285:AB1348" ca="1" si="31">RAND()*1000</f>
        <v>589.28878636571221</v>
      </c>
    </row>
    <row r="1286" spans="28:28" x14ac:dyDescent="0.2">
      <c r="AB1286" s="149">
        <f t="shared" ca="1" si="31"/>
        <v>2.9673615622068938</v>
      </c>
    </row>
    <row r="1287" spans="28:28" x14ac:dyDescent="0.2">
      <c r="AB1287" s="149">
        <f t="shared" ca="1" si="31"/>
        <v>405.23907431188513</v>
      </c>
    </row>
    <row r="1288" spans="28:28" x14ac:dyDescent="0.2">
      <c r="AB1288" s="149">
        <f t="shared" ca="1" si="31"/>
        <v>663.92168070993216</v>
      </c>
    </row>
    <row r="1289" spans="28:28" x14ac:dyDescent="0.2">
      <c r="AB1289" s="149">
        <f t="shared" ca="1" si="31"/>
        <v>598.80448432171613</v>
      </c>
    </row>
    <row r="1290" spans="28:28" x14ac:dyDescent="0.2">
      <c r="AB1290" s="149">
        <f t="shared" ca="1" si="31"/>
        <v>535.45377627936409</v>
      </c>
    </row>
    <row r="1291" spans="28:28" x14ac:dyDescent="0.2">
      <c r="AB1291" s="149">
        <f t="shared" ca="1" si="31"/>
        <v>784.01777402733831</v>
      </c>
    </row>
    <row r="1292" spans="28:28" x14ac:dyDescent="0.2">
      <c r="AB1292" s="149">
        <f t="shared" ca="1" si="31"/>
        <v>482.1326013342686</v>
      </c>
    </row>
    <row r="1293" spans="28:28" x14ac:dyDescent="0.2">
      <c r="AB1293" s="149">
        <f t="shared" ca="1" si="31"/>
        <v>842.15307274687052</v>
      </c>
    </row>
    <row r="1294" spans="28:28" x14ac:dyDescent="0.2">
      <c r="AB1294" s="149">
        <f t="shared" ca="1" si="31"/>
        <v>6.8944379812307943</v>
      </c>
    </row>
    <row r="1295" spans="28:28" x14ac:dyDescent="0.2">
      <c r="AB1295" s="149">
        <f t="shared" ca="1" si="31"/>
        <v>84.086238066902965</v>
      </c>
    </row>
    <row r="1296" spans="28:28" x14ac:dyDescent="0.2">
      <c r="AB1296" s="149">
        <f t="shared" ca="1" si="31"/>
        <v>444.74271468010505</v>
      </c>
    </row>
    <row r="1297" spans="28:28" x14ac:dyDescent="0.2">
      <c r="AB1297" s="149">
        <f t="shared" ca="1" si="31"/>
        <v>930.10084824316357</v>
      </c>
    </row>
    <row r="1298" spans="28:28" x14ac:dyDescent="0.2">
      <c r="AB1298" s="149">
        <f t="shared" ca="1" si="31"/>
        <v>428.26861368992832</v>
      </c>
    </row>
    <row r="1299" spans="28:28" x14ac:dyDescent="0.2">
      <c r="AB1299" s="149">
        <f t="shared" ca="1" si="31"/>
        <v>818.97175122609076</v>
      </c>
    </row>
    <row r="1300" spans="28:28" x14ac:dyDescent="0.2">
      <c r="AB1300" s="149">
        <f t="shared" ca="1" si="31"/>
        <v>122.91313156661032</v>
      </c>
    </row>
    <row r="1301" spans="28:28" x14ac:dyDescent="0.2">
      <c r="AB1301" s="149">
        <f t="shared" ca="1" si="31"/>
        <v>182.99379871835743</v>
      </c>
    </row>
    <row r="1302" spans="28:28" x14ac:dyDescent="0.2">
      <c r="AB1302" s="149">
        <f t="shared" ca="1" si="31"/>
        <v>397.18796060317828</v>
      </c>
    </row>
    <row r="1303" spans="28:28" x14ac:dyDescent="0.2">
      <c r="AB1303" s="149">
        <f t="shared" ca="1" si="31"/>
        <v>379.46338568956008</v>
      </c>
    </row>
    <row r="1304" spans="28:28" x14ac:dyDescent="0.2">
      <c r="AB1304" s="149">
        <f t="shared" ca="1" si="31"/>
        <v>490.11306541689146</v>
      </c>
    </row>
    <row r="1305" spans="28:28" x14ac:dyDescent="0.2">
      <c r="AB1305" s="149">
        <f t="shared" ca="1" si="31"/>
        <v>498.34827438560126</v>
      </c>
    </row>
    <row r="1306" spans="28:28" x14ac:dyDescent="0.2">
      <c r="AB1306" s="149">
        <f t="shared" ca="1" si="31"/>
        <v>676.95685404319454</v>
      </c>
    </row>
    <row r="1307" spans="28:28" x14ac:dyDescent="0.2">
      <c r="AB1307" s="149">
        <f t="shared" ca="1" si="31"/>
        <v>619.9602251987186</v>
      </c>
    </row>
    <row r="1308" spans="28:28" x14ac:dyDescent="0.2">
      <c r="AB1308" s="149">
        <f t="shared" ca="1" si="31"/>
        <v>468.21075148006821</v>
      </c>
    </row>
    <row r="1309" spans="28:28" x14ac:dyDescent="0.2">
      <c r="AB1309" s="149">
        <f t="shared" ca="1" si="31"/>
        <v>478.85551707471518</v>
      </c>
    </row>
    <row r="1310" spans="28:28" x14ac:dyDescent="0.2">
      <c r="AB1310" s="149">
        <f t="shared" ca="1" si="31"/>
        <v>327.50397031187083</v>
      </c>
    </row>
    <row r="1311" spans="28:28" x14ac:dyDescent="0.2">
      <c r="AB1311" s="149">
        <f t="shared" ca="1" si="31"/>
        <v>880.43449314143948</v>
      </c>
    </row>
    <row r="1312" spans="28:28" x14ac:dyDescent="0.2">
      <c r="AB1312" s="149">
        <f t="shared" ca="1" si="31"/>
        <v>512.31501179647648</v>
      </c>
    </row>
    <row r="1313" spans="28:28" x14ac:dyDescent="0.2">
      <c r="AB1313" s="149">
        <f t="shared" ca="1" si="31"/>
        <v>945.55977560712859</v>
      </c>
    </row>
    <row r="1314" spans="28:28" x14ac:dyDescent="0.2">
      <c r="AB1314" s="149">
        <f t="shared" ca="1" si="31"/>
        <v>158.10432627867709</v>
      </c>
    </row>
    <row r="1315" spans="28:28" x14ac:dyDescent="0.2">
      <c r="AB1315" s="149">
        <f t="shared" ca="1" si="31"/>
        <v>903.82579103589603</v>
      </c>
    </row>
    <row r="1316" spans="28:28" x14ac:dyDescent="0.2">
      <c r="AB1316" s="149">
        <f t="shared" ca="1" si="31"/>
        <v>958.74829527395423</v>
      </c>
    </row>
    <row r="1317" spans="28:28" x14ac:dyDescent="0.2">
      <c r="AB1317" s="149">
        <f t="shared" ca="1" si="31"/>
        <v>339.03056009643137</v>
      </c>
    </row>
    <row r="1318" spans="28:28" x14ac:dyDescent="0.2">
      <c r="AB1318" s="149">
        <f t="shared" ca="1" si="31"/>
        <v>898.70056537086896</v>
      </c>
    </row>
    <row r="1319" spans="28:28" x14ac:dyDescent="0.2">
      <c r="AB1319" s="149">
        <f t="shared" ca="1" si="31"/>
        <v>12.103503831189855</v>
      </c>
    </row>
    <row r="1320" spans="28:28" x14ac:dyDescent="0.2">
      <c r="AB1320" s="149">
        <f t="shared" ca="1" si="31"/>
        <v>599.88654290874842</v>
      </c>
    </row>
    <row r="1321" spans="28:28" x14ac:dyDescent="0.2">
      <c r="AB1321" s="149">
        <f t="shared" ca="1" si="31"/>
        <v>812.00561764558449</v>
      </c>
    </row>
    <row r="1322" spans="28:28" x14ac:dyDescent="0.2">
      <c r="AB1322" s="149">
        <f t="shared" ca="1" si="31"/>
        <v>143.62577922699472</v>
      </c>
    </row>
    <row r="1323" spans="28:28" x14ac:dyDescent="0.2">
      <c r="AB1323" s="149">
        <f t="shared" ca="1" si="31"/>
        <v>628.28700850563587</v>
      </c>
    </row>
    <row r="1324" spans="28:28" x14ac:dyDescent="0.2">
      <c r="AB1324" s="149">
        <f t="shared" ca="1" si="31"/>
        <v>544.3264388778357</v>
      </c>
    </row>
    <row r="1325" spans="28:28" x14ac:dyDescent="0.2">
      <c r="AB1325" s="149">
        <f t="shared" ca="1" si="31"/>
        <v>993.46785571198234</v>
      </c>
    </row>
    <row r="1326" spans="28:28" x14ac:dyDescent="0.2">
      <c r="AB1326" s="149">
        <f t="shared" ca="1" si="31"/>
        <v>174.41879173647402</v>
      </c>
    </row>
    <row r="1327" spans="28:28" x14ac:dyDescent="0.2">
      <c r="AB1327" s="149">
        <f t="shared" ca="1" si="31"/>
        <v>797.34479415076692</v>
      </c>
    </row>
    <row r="1328" spans="28:28" x14ac:dyDescent="0.2">
      <c r="AB1328" s="149">
        <f t="shared" ca="1" si="31"/>
        <v>346.58739639283118</v>
      </c>
    </row>
    <row r="1329" spans="28:28" x14ac:dyDescent="0.2">
      <c r="AB1329" s="149">
        <f t="shared" ca="1" si="31"/>
        <v>172.80130846861852</v>
      </c>
    </row>
    <row r="1330" spans="28:28" x14ac:dyDescent="0.2">
      <c r="AB1330" s="149">
        <f t="shared" ca="1" si="31"/>
        <v>592.24446309445591</v>
      </c>
    </row>
    <row r="1331" spans="28:28" x14ac:dyDescent="0.2">
      <c r="AB1331" s="149">
        <f t="shared" ca="1" si="31"/>
        <v>260.46341872177811</v>
      </c>
    </row>
    <row r="1332" spans="28:28" x14ac:dyDescent="0.2">
      <c r="AB1332" s="149">
        <f t="shared" ca="1" si="31"/>
        <v>487.39787312673002</v>
      </c>
    </row>
    <row r="1333" spans="28:28" x14ac:dyDescent="0.2">
      <c r="AB1333" s="149">
        <f t="shared" ca="1" si="31"/>
        <v>27.735188341275308</v>
      </c>
    </row>
    <row r="1334" spans="28:28" x14ac:dyDescent="0.2">
      <c r="AB1334" s="149">
        <f t="shared" ca="1" si="31"/>
        <v>32.150554563723844</v>
      </c>
    </row>
    <row r="1335" spans="28:28" x14ac:dyDescent="0.2">
      <c r="AB1335" s="149">
        <f t="shared" ca="1" si="31"/>
        <v>532.02845258881064</v>
      </c>
    </row>
    <row r="1336" spans="28:28" x14ac:dyDescent="0.2">
      <c r="AB1336" s="149">
        <f t="shared" ca="1" si="31"/>
        <v>665.18577123273064</v>
      </c>
    </row>
    <row r="1337" spans="28:28" x14ac:dyDescent="0.2">
      <c r="AB1337" s="149">
        <f t="shared" ca="1" si="31"/>
        <v>210.38705807846981</v>
      </c>
    </row>
    <row r="1338" spans="28:28" x14ac:dyDescent="0.2">
      <c r="AB1338" s="149">
        <f t="shared" ca="1" si="31"/>
        <v>479.37047213598885</v>
      </c>
    </row>
    <row r="1339" spans="28:28" x14ac:dyDescent="0.2">
      <c r="AB1339" s="149">
        <f t="shared" ca="1" si="31"/>
        <v>169.85189426362146</v>
      </c>
    </row>
    <row r="1340" spans="28:28" x14ac:dyDescent="0.2">
      <c r="AB1340" s="149">
        <f t="shared" ca="1" si="31"/>
        <v>244.7520335026565</v>
      </c>
    </row>
    <row r="1341" spans="28:28" x14ac:dyDescent="0.2">
      <c r="AB1341" s="149">
        <f t="shared" ca="1" si="31"/>
        <v>291.31640505538269</v>
      </c>
    </row>
    <row r="1342" spans="28:28" x14ac:dyDescent="0.2">
      <c r="AB1342" s="149">
        <f t="shared" ca="1" si="31"/>
        <v>44.928602709786936</v>
      </c>
    </row>
    <row r="1343" spans="28:28" x14ac:dyDescent="0.2">
      <c r="AB1343" s="149">
        <f t="shared" ca="1" si="31"/>
        <v>838.13330345746556</v>
      </c>
    </row>
    <row r="1344" spans="28:28" x14ac:dyDescent="0.2">
      <c r="AB1344" s="149">
        <f t="shared" ca="1" si="31"/>
        <v>807.63492073501357</v>
      </c>
    </row>
    <row r="1345" spans="28:28" x14ac:dyDescent="0.2">
      <c r="AB1345" s="149">
        <f t="shared" ca="1" si="31"/>
        <v>912.6478391552705</v>
      </c>
    </row>
    <row r="1346" spans="28:28" x14ac:dyDescent="0.2">
      <c r="AB1346" s="149">
        <f t="shared" ca="1" si="31"/>
        <v>409.52554463621374</v>
      </c>
    </row>
    <row r="1347" spans="28:28" x14ac:dyDescent="0.2">
      <c r="AB1347" s="149">
        <f t="shared" ca="1" si="31"/>
        <v>476.73705652291642</v>
      </c>
    </row>
    <row r="1348" spans="28:28" x14ac:dyDescent="0.2">
      <c r="AB1348" s="149">
        <f t="shared" ca="1" si="31"/>
        <v>218.38523713609615</v>
      </c>
    </row>
    <row r="1349" spans="28:28" x14ac:dyDescent="0.2">
      <c r="AB1349" s="149">
        <f t="shared" ref="AB1349:AB1370" ca="1" si="32">RAND()*1000</f>
        <v>791.17894647262619</v>
      </c>
    </row>
    <row r="1350" spans="28:28" x14ac:dyDescent="0.2">
      <c r="AB1350" s="149">
        <f t="shared" ca="1" si="32"/>
        <v>841.57320231258177</v>
      </c>
    </row>
    <row r="1351" spans="28:28" x14ac:dyDescent="0.2">
      <c r="AB1351" s="149">
        <f t="shared" ca="1" si="32"/>
        <v>188.67098475455512</v>
      </c>
    </row>
    <row r="1352" spans="28:28" x14ac:dyDescent="0.2">
      <c r="AB1352" s="149">
        <f t="shared" ca="1" si="32"/>
        <v>146.16936270394766</v>
      </c>
    </row>
    <row r="1353" spans="28:28" x14ac:dyDescent="0.2">
      <c r="AB1353" s="149">
        <f t="shared" ca="1" si="32"/>
        <v>725.35007221208116</v>
      </c>
    </row>
    <row r="1354" spans="28:28" x14ac:dyDescent="0.2">
      <c r="AB1354" s="149">
        <f t="shared" ca="1" si="32"/>
        <v>279.83736766168289</v>
      </c>
    </row>
    <row r="1355" spans="28:28" x14ac:dyDescent="0.2">
      <c r="AB1355" s="149">
        <f t="shared" ca="1" si="32"/>
        <v>464.33752164820299</v>
      </c>
    </row>
    <row r="1356" spans="28:28" x14ac:dyDescent="0.2">
      <c r="AB1356" s="149">
        <f t="shared" ca="1" si="32"/>
        <v>571.36680712664383</v>
      </c>
    </row>
    <row r="1357" spans="28:28" x14ac:dyDescent="0.2">
      <c r="AB1357" s="149">
        <f t="shared" ca="1" si="32"/>
        <v>39.916035023500605</v>
      </c>
    </row>
    <row r="1358" spans="28:28" x14ac:dyDescent="0.2">
      <c r="AB1358" s="149">
        <f t="shared" ca="1" si="32"/>
        <v>331.67079934998412</v>
      </c>
    </row>
    <row r="1359" spans="28:28" x14ac:dyDescent="0.2">
      <c r="AB1359" s="149">
        <f t="shared" ca="1" si="32"/>
        <v>988.41680941767106</v>
      </c>
    </row>
    <row r="1360" spans="28:28" x14ac:dyDescent="0.2">
      <c r="AB1360" s="149">
        <f t="shared" ca="1" si="32"/>
        <v>472.43537489266305</v>
      </c>
    </row>
    <row r="1361" spans="28:28" x14ac:dyDescent="0.2">
      <c r="AB1361" s="149">
        <f t="shared" ca="1" si="32"/>
        <v>289.66689459714956</v>
      </c>
    </row>
    <row r="1362" spans="28:28" x14ac:dyDescent="0.2">
      <c r="AB1362" s="149">
        <f t="shared" ca="1" si="32"/>
        <v>467.9020890810541</v>
      </c>
    </row>
    <row r="1363" spans="28:28" x14ac:dyDescent="0.2">
      <c r="AB1363" s="149">
        <f t="shared" ca="1" si="32"/>
        <v>86.251623537641265</v>
      </c>
    </row>
    <row r="1364" spans="28:28" x14ac:dyDescent="0.2">
      <c r="AB1364" s="149">
        <f t="shared" ca="1" si="32"/>
        <v>509.58461153618362</v>
      </c>
    </row>
    <row r="1365" spans="28:28" x14ac:dyDescent="0.2">
      <c r="AB1365" s="149">
        <f t="shared" ca="1" si="32"/>
        <v>924.12860098896192</v>
      </c>
    </row>
    <row r="1366" spans="28:28" x14ac:dyDescent="0.2">
      <c r="AB1366" s="149">
        <f t="shared" ca="1" si="32"/>
        <v>485.12801994238566</v>
      </c>
    </row>
    <row r="1367" spans="28:28" x14ac:dyDescent="0.2">
      <c r="AB1367" s="149">
        <f t="shared" ca="1" si="32"/>
        <v>425.86285644706868</v>
      </c>
    </row>
    <row r="1368" spans="28:28" x14ac:dyDescent="0.2">
      <c r="AB1368" s="149">
        <f t="shared" ca="1" si="32"/>
        <v>832.81350021980643</v>
      </c>
    </row>
    <row r="1369" spans="28:28" x14ac:dyDescent="0.2">
      <c r="AB1369" s="149">
        <f t="shared" ca="1" si="32"/>
        <v>33.571243314699181</v>
      </c>
    </row>
    <row r="1370" spans="28:28" x14ac:dyDescent="0.2">
      <c r="AB1370" s="149">
        <f t="shared" ca="1" si="32"/>
        <v>751.12752300163731</v>
      </c>
    </row>
  </sheetData>
  <phoneticPr fontId="16" type="noConversion"/>
  <pageMargins left="0.75" right="0.75" top="1" bottom="1" header="0" footer="0"/>
  <pageSetup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AG22"/>
  <sheetViews>
    <sheetView zoomScale="115" zoomScaleNormal="115" workbookViewId="0">
      <selection activeCell="F31" sqref="F31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20" style="84" customWidth="1"/>
    <col min="4" max="4" width="11.42578125" customWidth="1"/>
    <col min="5" max="5" width="14.28515625" customWidth="1"/>
    <col min="6" max="6" width="11.85546875" bestFit="1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89">
        <v>0.45</v>
      </c>
    </row>
    <row r="2" spans="1:33" x14ac:dyDescent="0.25">
      <c r="B2" t="s">
        <v>1224</v>
      </c>
      <c r="C2" s="84">
        <v>70</v>
      </c>
      <c r="AB2" s="22">
        <v>22</v>
      </c>
    </row>
    <row r="3" spans="1:33" x14ac:dyDescent="0.25">
      <c r="B3" t="s">
        <v>1264</v>
      </c>
      <c r="AB3" s="22">
        <v>40</v>
      </c>
      <c r="AC3" s="28">
        <v>6.8699999999999997E-2</v>
      </c>
      <c r="AD3" s="28">
        <v>5.7000000000000002E-2</v>
      </c>
      <c r="AE3" s="28">
        <f>+AC3+AD3</f>
        <v>0.12570000000000001</v>
      </c>
    </row>
    <row r="4" spans="1:33" x14ac:dyDescent="0.25">
      <c r="B4" t="s">
        <v>1248</v>
      </c>
      <c r="C4" s="85">
        <v>2500000</v>
      </c>
      <c r="AB4" s="46">
        <v>60</v>
      </c>
      <c r="AC4" s="83">
        <v>5.4699999999999999E-2</v>
      </c>
      <c r="AD4" s="83">
        <v>5.9799999999999999E-2</v>
      </c>
      <c r="AE4" s="83">
        <f t="shared" ref="AE4:AE17" si="0">+AC4+AD4</f>
        <v>0.11449999999999999</v>
      </c>
    </row>
    <row r="5" spans="1:33" x14ac:dyDescent="0.25">
      <c r="B5" t="s">
        <v>1247</v>
      </c>
      <c r="C5" s="88">
        <f>+D5*C4</f>
        <v>2000000</v>
      </c>
      <c r="D5" s="86">
        <v>0.8</v>
      </c>
      <c r="AB5" s="22">
        <v>65</v>
      </c>
      <c r="AC5" s="28">
        <v>4.07E-2</v>
      </c>
      <c r="AD5" s="28">
        <v>7.5600000000000001E-2</v>
      </c>
      <c r="AE5" s="28">
        <f t="shared" si="0"/>
        <v>0.1163</v>
      </c>
    </row>
    <row r="6" spans="1:33" x14ac:dyDescent="0.25">
      <c r="AB6" s="46">
        <v>70</v>
      </c>
      <c r="AC6" s="83">
        <v>2.3E-2</v>
      </c>
      <c r="AD6" s="83">
        <v>6.4000000000000001E-2</v>
      </c>
      <c r="AE6" s="83">
        <f t="shared" si="0"/>
        <v>8.6999999999999994E-2</v>
      </c>
    </row>
    <row r="7" spans="1:33" x14ac:dyDescent="0.25">
      <c r="A7" t="s">
        <v>1251</v>
      </c>
      <c r="B7" t="s">
        <v>1250</v>
      </c>
      <c r="C7" s="88">
        <f>+C5*D7</f>
        <v>260000</v>
      </c>
      <c r="D7" s="86">
        <v>0.13</v>
      </c>
      <c r="AB7" s="22">
        <v>73</v>
      </c>
      <c r="AC7" s="52">
        <v>1.8582066957347734E-2</v>
      </c>
      <c r="AD7" s="52">
        <v>5.6299645449944147E-2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v>1.4E-2</v>
      </c>
      <c r="AD8" s="83">
        <v>0.05</v>
      </c>
      <c r="AE8" s="83">
        <f t="shared" si="0"/>
        <v>6.4000000000000001E-2</v>
      </c>
    </row>
    <row r="9" spans="1:33" ht="15.75" thickBot="1" x14ac:dyDescent="0.3">
      <c r="A9" s="91"/>
      <c r="B9" s="91" t="s">
        <v>1254</v>
      </c>
      <c r="C9" s="92">
        <f>+C7-C8</f>
        <v>160000</v>
      </c>
      <c r="D9" s="91"/>
      <c r="AB9" s="22">
        <v>77</v>
      </c>
      <c r="AC9" s="28">
        <v>8.9999999999999993E-3</v>
      </c>
      <c r="AD9" s="28">
        <v>0.11799999999999999</v>
      </c>
      <c r="AE9" s="28">
        <f t="shared" si="0"/>
        <v>0.127</v>
      </c>
    </row>
    <row r="10" spans="1:33" x14ac:dyDescent="0.25">
      <c r="AB10" s="46">
        <v>80</v>
      </c>
      <c r="AC10" s="83">
        <v>5.3E-3</v>
      </c>
      <c r="AD10" s="83">
        <v>2.18E-2</v>
      </c>
      <c r="AE10" s="83">
        <f t="shared" si="0"/>
        <v>2.7099999999999999E-2</v>
      </c>
    </row>
    <row r="11" spans="1:33" x14ac:dyDescent="0.25">
      <c r="A11" t="s">
        <v>1251</v>
      </c>
      <c r="B11" t="s">
        <v>1249</v>
      </c>
      <c r="C11" s="88">
        <f>+C4*D11</f>
        <v>125000</v>
      </c>
      <c r="D11" s="101">
        <v>0.05</v>
      </c>
      <c r="AB11" s="22">
        <v>83</v>
      </c>
      <c r="AC11" s="28">
        <v>2E-3</v>
      </c>
      <c r="AD11" s="28">
        <v>2.0400000000000001E-2</v>
      </c>
      <c r="AE11" s="28">
        <f t="shared" si="0"/>
        <v>2.2400000000000003E-2</v>
      </c>
    </row>
    <row r="12" spans="1:33" x14ac:dyDescent="0.25">
      <c r="A12" t="s">
        <v>1251</v>
      </c>
      <c r="B12" t="s">
        <v>1255</v>
      </c>
      <c r="C12" s="94">
        <f>+D12*G12</f>
        <v>8699.9999999999982</v>
      </c>
      <c r="D12" s="95">
        <v>0.04</v>
      </c>
      <c r="E12" t="s">
        <v>1257</v>
      </c>
      <c r="F12" s="50" t="s">
        <v>1256</v>
      </c>
      <c r="G12" s="93">
        <f>C4*VLOOKUP(C2,AB2:AE17,4,0)</f>
        <v>217499.99999999997</v>
      </c>
      <c r="AB12" s="46">
        <v>85</v>
      </c>
      <c r="AC12" s="83">
        <v>1.9E-3</v>
      </c>
      <c r="AD12" s="83">
        <v>0.1226</v>
      </c>
      <c r="AE12" s="83">
        <f t="shared" si="0"/>
        <v>0.1245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v>1.5E-3</v>
      </c>
      <c r="AD13" s="52">
        <v>1.7000000000000001E-2</v>
      </c>
      <c r="AE13" s="28">
        <f t="shared" si="0"/>
        <v>1.8500000000000003E-2</v>
      </c>
    </row>
    <row r="14" spans="1:33" x14ac:dyDescent="0.25">
      <c r="A14" t="s">
        <v>1258</v>
      </c>
      <c r="B14" t="s">
        <v>1260</v>
      </c>
      <c r="C14" s="87">
        <f>+D14*C5</f>
        <v>46000</v>
      </c>
      <c r="D14" s="52">
        <f>VLOOKUP(C2,$AB$2:$AE$17,2,0)</f>
        <v>2.3E-2</v>
      </c>
      <c r="AB14" s="46">
        <v>90</v>
      </c>
      <c r="AC14" s="83">
        <v>1.194511492180083E-3</v>
      </c>
      <c r="AD14" s="83">
        <v>1.4963766258320287E-2</v>
      </c>
      <c r="AE14" s="83">
        <f t="shared" si="0"/>
        <v>1.6158277750500369E-2</v>
      </c>
    </row>
    <row r="15" spans="1:33" x14ac:dyDescent="0.25">
      <c r="AB15" s="46">
        <v>93</v>
      </c>
      <c r="AC15" s="83">
        <v>8.0000000000000004E-4</v>
      </c>
      <c r="AD15" s="83">
        <v>4.0899999999999999E-2</v>
      </c>
      <c r="AE15" s="83">
        <f t="shared" si="0"/>
        <v>4.1700000000000001E-2</v>
      </c>
    </row>
    <row r="16" spans="1:33" ht="15.75" thickBot="1" x14ac:dyDescent="0.3">
      <c r="A16" s="96"/>
      <c r="B16" s="96" t="s">
        <v>1263</v>
      </c>
      <c r="C16" s="97">
        <f>+C9+C11+C12-C13-C14</f>
        <v>47700</v>
      </c>
      <c r="D16" s="96"/>
      <c r="AB16" s="22">
        <v>95</v>
      </c>
      <c r="AC16" s="28">
        <v>5.0000000000000001E-4</v>
      </c>
      <c r="AD16" s="28">
        <v>6.1000000000000004E-3</v>
      </c>
      <c r="AE16" s="28">
        <f t="shared" si="0"/>
        <v>6.6E-3</v>
      </c>
    </row>
    <row r="17" spans="1:31" ht="15.75" thickTop="1" x14ac:dyDescent="0.25">
      <c r="B17" s="98" t="s">
        <v>1261</v>
      </c>
      <c r="C17" s="94">
        <f>+IF(C16&gt;0,C16*D17,0)</f>
        <v>14310</v>
      </c>
      <c r="D17" s="89">
        <v>0.3</v>
      </c>
      <c r="AB17" s="46">
        <v>99</v>
      </c>
      <c r="AC17" s="83">
        <v>1E-4</v>
      </c>
      <c r="AD17" s="83">
        <v>0</v>
      </c>
      <c r="AE17" s="83">
        <f t="shared" si="0"/>
        <v>1E-4</v>
      </c>
    </row>
    <row r="18" spans="1:31" ht="15.75" thickBot="1" x14ac:dyDescent="0.3">
      <c r="A18" s="96"/>
      <c r="B18" s="99" t="s">
        <v>1262</v>
      </c>
      <c r="C18" s="100">
        <f>+C16-C17</f>
        <v>33390</v>
      </c>
      <c r="D18" s="96"/>
    </row>
    <row r="19" spans="1:31" ht="15.75" thickTop="1" x14ac:dyDescent="0.25"/>
    <row r="20" spans="1:31" x14ac:dyDescent="0.25">
      <c r="B20" t="s">
        <v>1265</v>
      </c>
      <c r="C20" s="102">
        <f>+C18/G12</f>
        <v>0.15351724137931036</v>
      </c>
    </row>
    <row r="21" spans="1:31" x14ac:dyDescent="0.25">
      <c r="B21" t="s">
        <v>1266</v>
      </c>
      <c r="C21" s="88">
        <f>+C16</f>
        <v>47700</v>
      </c>
    </row>
    <row r="22" spans="1:31" x14ac:dyDescent="0.25">
      <c r="B22" t="s">
        <v>1267</v>
      </c>
      <c r="C22" s="102">
        <f>+C21/(G12-C14)</f>
        <v>0.27813411078717204</v>
      </c>
    </row>
  </sheetData>
  <phoneticPr fontId="11" type="noConversion"/>
  <dataValidations count="1">
    <dataValidation type="list" allowBlank="1" showInputMessage="1" showErrorMessage="1" sqref="C2" xr:uid="{00000000-0002-0000-0C00-000000000000}">
      <formula1>$AB$2:$AB$17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EstadoResultados Microfinanzas</vt:lpstr>
      <vt:lpstr>EstadoResultados Empresarial</vt:lpstr>
      <vt:lpstr>EstadoResultados Planauto</vt:lpstr>
      <vt:lpstr>EstadoResultados TDC</vt:lpstr>
      <vt:lpstr>EstadoResultados General</vt:lpstr>
      <vt:lpstr>Generadora</vt:lpstr>
      <vt:lpstr>Sheet1</vt:lpstr>
      <vt:lpstr>BDClientes</vt:lpstr>
      <vt:lpstr>CreditMetrics</vt:lpstr>
      <vt:lpstr>Escenarios</vt:lpstr>
      <vt:lpstr>CrediRisk+</vt:lpstr>
      <vt:lpstr>beta</vt:lpstr>
      <vt:lpstr>EstadoResultados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EdgarCastillo</dc:creator>
  <cp:lastModifiedBy>Christian Miranda</cp:lastModifiedBy>
  <cp:lastPrinted>2018-10-30T02:54:01Z</cp:lastPrinted>
  <dcterms:created xsi:type="dcterms:W3CDTF">2011-01-25T14:25:55Z</dcterms:created>
  <dcterms:modified xsi:type="dcterms:W3CDTF">2020-05-19T00:49:19Z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